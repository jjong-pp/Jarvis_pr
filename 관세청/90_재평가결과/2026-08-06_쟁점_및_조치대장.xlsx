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783d8d684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9e8e819608314dcd"/>
    <x:sheet xmlns:r="http://schemas.openxmlformats.org/officeDocument/2006/relationships" name="쟁점대장" sheetId="2" r:id="Re2aa3427f8f940ae"/>
    <x:sheet xmlns:r="http://schemas.openxmlformats.org/officeDocument/2006/relationships" name="필드정정" sheetId="3" r:id="Ref829c8a9dde4752"/>
    <x:sheet xmlns:r="http://schemas.openxmlformats.org/officeDocument/2006/relationships" name="상태전이" sheetId="4" r:id="R48c893d34b294f67"/>
    <x:sheet xmlns:r="http://schemas.openxmlformats.org/officeDocument/2006/relationships" name="확인질문" sheetId="5" r:id="R2e266794b20545c6"/>
    <x:sheet xmlns:r="http://schemas.openxmlformats.org/officeDocument/2006/relationships" name="자료인벤토리" sheetId="6" r:id="R5a6d23604536422a"/>
    <x:sheet xmlns:r="http://schemas.openxmlformats.org/officeDocument/2006/relationships" name="출처" sheetId="7" r:id="R8d2bbe9c27cb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color rgb="FF9C0006"/>
      <x:name val="Carlito"/>
    </x:font>
    <x:font>
      <x:sz val="9"/>
      <x:name val="Carlito"/>
    </x:font>
    <x:font>
      <x:b/>
      <x:sz val="12"/>
      <x:color rgb="FF7F6000"/>
      <x:name val="Carlito"/>
    </x:font>
    <x:font>
      <x:b/>
      <x:sz val="18"/>
      <x:color rgb="FFFFFFFF"/>
      <x:name val="맑은 고딕"/>
    </x:font>
    <x:font>
      <x:i/>
      <x:sz val="10"/>
      <x:color rgb="FF595959"/>
      <x:name val="맑은 고딕"/>
    </x:font>
    <x:font>
      <x:sz val="11"/>
      <x:name val="맑은 고딕"/>
    </x:font>
    <x:font>
      <x:b/>
      <x:sz val="11"/>
      <x:color rgb="FFFFFFFF"/>
      <x:name val="맑은 고딕"/>
    </x:font>
    <x:font>
      <x:b/>
      <x:sz val="14"/>
      <x:name val="맑은 고딕"/>
    </x:font>
    <x:font>
      <x:b/>
      <x:sz val="11"/>
      <x:color rgb="FF9C0006"/>
      <x:name val="맑은 고딕"/>
    </x:font>
    <x:font>
      <x:sz val="9"/>
      <x:name val="맑은 고딕"/>
    </x:font>
    <x:font>
      <x:b/>
      <x:sz val="12"/>
      <x:color rgb="FF7F6000"/>
      <x:name val="맑은 고딕"/>
    </x:font>
    <x:font>
      <x:b/>
      <x:sz val="9"/>
      <x:color rgb="FFC00000"/>
      <x:name val="Carlito"/>
    </x:font>
    <x:font>
      <x:b/>
      <x:sz val="9"/>
      <x:color rgb="FF595959"/>
      <x:name val="Carlito"/>
    </x:font>
    <x:font>
      <x:b/>
      <x:sz val="9"/>
      <x:color rgb="FFC00000"/>
      <x:name val="맑은 고딕"/>
    </x:font>
    <x:font>
      <x:b/>
      <x:sz val="9"/>
      <x:color rgb="FF595959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E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F4B084"/>
      </x:left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medium">
        <x:color rgb="FFF4B183"/>
      </x:left>
      <x:top style="medium">
        <x:color rgb="FFF4B183"/>
      </x:top>
    </x:border>
    <x:border>
      <x:top style="medium">
        <x:color rgb="FFF4B183"/>
      </x:top>
    </x:border>
    <x:border>
      <x:right style="medium">
        <x:color rgb="FFF4B183"/>
      </x:right>
      <x:top style="medium">
        <x:color rgb="FFF4B183"/>
      </x:top>
    </x:border>
    <x:border>
      <x:left style="medium">
        <x:color rgb="FFF4B183"/>
      </x:left>
    </x:border>
    <x:border>
      <x:right style="medium">
        <x:color rgb="FFF4B183"/>
      </x:right>
    </x:border>
    <x:border>
      <x:left style="medium">
        <x:color rgb="FFF4B183"/>
      </x:left>
      <x:bottom style="medium">
        <x:color rgb="FFF4B183"/>
      </x:bottom>
    </x:border>
    <x:border>
      <x:bottom style="medium">
        <x:color rgb="FFF4B183"/>
      </x:bottom>
    </x:border>
    <x:border>
      <x:right style="medium">
        <x:color rgb="FFF4B183"/>
      </x:right>
      <x:bottom style="medium">
        <x:color rgb="FFF4B183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 applyAlignment="1">
      <x:alignment horizontal="center" vertical="center"/>
    </x:xf>
    <x:xf numFmtId="0" fontId="13" fillId="5" borderId="2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vertical="top" wrapText="1"/>
    </x:xf>
    <x:xf numFmtId="0" fontId="15" fillId="6" borderId="4" xfId="0" applyNumberFormat="1" applyFont="1" applyFill="1" applyBorder="1" applyAlignment="1">
      <x:alignment vertical="center" wrapText="1"/>
    </x:xf>
    <x:xf numFmtId="0" fontId="15" fillId="6" borderId="5" xfId="0" applyNumberFormat="1" applyFont="1" applyFill="1" applyBorder="1" applyAlignment="1">
      <x:alignment vertical="center" wrapText="1"/>
    </x:xf>
    <x:xf numFmtId="0" fontId="15" fillId="6" borderId="6" xfId="0" applyNumberFormat="1" applyFont="1" applyFill="1" applyBorder="1" applyAlignment="1">
      <x:alignment vertical="center" wrapText="1"/>
    </x:xf>
    <x:xf numFmtId="0" fontId="15" fillId="6" borderId="7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8" xfId="0" applyNumberFormat="1" applyFont="1" applyFill="1" applyBorder="1" applyAlignment="1">
      <x:alignment vertical="center" wrapText="1"/>
    </x:xf>
    <x:xf numFmtId="0" fontId="15" fillId="6" borderId="9" xfId="0" applyNumberFormat="1" applyFont="1" applyFill="1" applyBorder="1" applyAlignment="1">
      <x:alignment vertical="center" wrapText="1"/>
    </x:xf>
    <x:xf numFmtId="0" fontId="15" fillId="6" borderId="10" xfId="0" applyNumberFormat="1" applyFont="1" applyFill="1" applyBorder="1" applyAlignment="1">
      <x:alignment vertical="center" wrapText="1"/>
    </x:xf>
    <x:xf numFmtId="0" fontId="15" fillId="6" borderId="11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top" wrapText="1"/>
    </x:xf>
    <x:xf numFmtId="0" fontId="16" fillId="5" borderId="3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17" fillId="7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17" fillId="6" borderId="3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0" fontId="18" fillId="5" borderId="3" xfId="0" applyNumberFormat="1" applyFont="1" applyFill="1" applyBorder="1" applyAlignment="1">
      <x:alignment vertical="top" wrapText="1"/>
    </x:xf>
    <x:xf numFmtId="0" fontId="14" fillId="5" borderId="3" xfId="0" applyNumberFormat="1" applyFont="1" applyFill="1" applyBorder="1" applyAlignment="1">
      <x:alignment vertical="top" wrapText="1"/>
    </x:xf>
    <x:xf numFmtId="0" fontId="19" fillId="7" borderId="3" xfId="0" applyNumberFormat="1" applyFont="1" applyFill="1" applyBorder="1" applyAlignment="1">
      <x:alignment vertical="top" wrapText="1"/>
    </x:xf>
    <x:xf numFmtId="0" fontId="14" fillId="7" borderId="3" xfId="0" applyNumberFormat="1" applyFont="1" applyFill="1" applyBorder="1" applyAlignment="1">
      <x:alignment vertical="top" wrapText="1"/>
    </x:xf>
    <x:xf numFmtId="0" fontId="19" fillId="6" borderId="3" xfId="0" applyNumberFormat="1" applyFont="1" applyFill="1" applyBorder="1" applyAlignment="1">
      <x:alignment vertical="top" wrapText="1"/>
    </x:xf>
    <x:xf numFmtId="0" fontId="14" fillId="6" borderId="3" xfId="0" applyNumberFormat="1" applyFont="1" applyFill="1" applyBorder="1" applyAlignment="1">
      <x:alignment vertical="top" wrapText="1"/>
    </x:xf>
    <x:xf numFmtId="200" fontId="1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8005bac844a77" /><Relationship Type="http://schemas.openxmlformats.org/officeDocument/2006/relationships/theme" Target="/xl/theme/theme1.xml" Id="R1d624a2acbeb414e" /><Relationship Type="http://schemas.openxmlformats.org/officeDocument/2006/relationships/sharedStrings" Target="/xl/sharedStrings.xml" Id="Rd131cfffc1d042e4" /><Relationship Type="http://schemas.openxmlformats.org/officeDocument/2006/relationships/worksheet" Target="/xl/worksheets/sheet1.xml" Id="R9e8e819608314dcd" /><Relationship Type="http://schemas.openxmlformats.org/officeDocument/2006/relationships/worksheet" Target="/xl/worksheets/sheet2.xml" Id="Re2aa3427f8f940ae" /><Relationship Type="http://schemas.openxmlformats.org/officeDocument/2006/relationships/worksheet" Target="/xl/worksheets/sheet3.xml" Id="Ref829c8a9dde4752" /><Relationship Type="http://schemas.openxmlformats.org/officeDocument/2006/relationships/worksheet" Target="/xl/worksheets/sheet4.xml" Id="R48c893d34b294f67" /><Relationship Type="http://schemas.openxmlformats.org/officeDocument/2006/relationships/worksheet" Target="/xl/worksheets/sheet5.xml" Id="R2e266794b20545c6" /><Relationship Type="http://schemas.openxmlformats.org/officeDocument/2006/relationships/worksheet" Target="/xl/worksheets/sheet6.xml" Id="R5a6d23604536422a" /><Relationship Type="http://schemas.openxmlformats.org/officeDocument/2006/relationships/worksheet" Target="/xl/worksheets/sheet7.xml" Id="R8d2bbe9c27cb460e" /></Relationships>
</file>

<file path=xl/tables/table1.xml><?xml version="1.0" encoding="utf-8"?>
<x:table xmlns:x="http://schemas.openxmlformats.org/spreadsheetml/2006/main" id="1" name="IssuesTable" displayName="IssuesTable" ref="A1:M55" headerRowCount="1" totalsRowCount="0" totalsRowShown="0">
  <x:autoFilter ref="A1:M55"/>
  <x:tableColumns count="13">
    <x:tableColumn id="1" name="ID"/>
    <x:tableColumn id="2" name="영역"/>
    <x:tableColumn id="3" name="등급"/>
    <x:tableColumn id="4" name="판정"/>
    <x:tableColumn id="5" name="쟁점"/>
    <x:tableColumn id="6" name="현재 기획/주장"/>
    <x:tableColumn id="7" name="확인 근거"/>
    <x:tableColumn id="8" name="영향"/>
    <x:tableColumn id="9" name="시정조치"/>
    <x:tableColumn id="10" name="권고 책임"/>
    <x:tableColumn id="11" name="상태"/>
    <x:tableColumn id="12" name="완료 목표"/>
    <x:tableColumn id="13" name="근거 자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CorrectionsTable" displayName="FieldCorrectionsTable" ref="A1:H38" headerRowCount="1" totalsRowCount="0" totalsRowShown="0">
  <x:autoFilter ref="A1:H38"/>
  <x:tableColumns count="8">
    <x:tableColumn id="1" name="API"/>
    <x:tableColumn id="2" name="레벨"/>
    <x:tableColumn id="3" name="공식 태그"/>
    <x:tableColumn id="4" name="공식 조건"/>
    <x:tableColumn id="5" name="값의 의미"/>
    <x:tableColumn id="6" name="권고 원천"/>
    <x:tableColumn id="7" name="핵심 검증/주의"/>
    <x:tableColumn id="8" name="조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TransitionsTable" displayName="StateTransitionsTable" ref="A1:F17" headerRowCount="1" totalsRowCount="0" totalsRowShown="0">
  <x:autoFilter ref="A1:F17"/>
  <x:tableColumns count="6">
    <x:tableColumn id="1" name="상태"/>
    <x:tableColumn id="2" name="진입 이벤트"/>
    <x:tableColumn id="3" name="수행 작업"/>
    <x:tableColumn id="4" name="권위 시스템"/>
    <x:tableColumn id="5" name="필수 조건"/>
    <x:tableColumn id="6" name="실패 처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estionsTable" displayName="QuestionsTable" ref="A1:G31" headerRowCount="1" totalsRowCount="0" totalsRowShown="0">
  <x:autoFilter ref="A1:G31"/>
  <x:tableColumns count="7">
    <x:tableColumn id="1" name="ID"/>
    <x:tableColumn id="2" name="수신처"/>
    <x:tableColumn id="3" name="확인 질문"/>
    <x:tableColumn id="4" name="우선순위"/>
    <x:tableColumn id="5" name="필요 증빙"/>
    <x:tableColumn id="6" name="담당"/>
    <x:tableColumn id="7" name="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ntoryTable" displayName="InventoryTable" ref="A1:G41" headerRowCount="1" totalsRowCount="0" totalsRowShown="0">
  <x:autoFilter ref="A1:G41"/>
  <x:tableColumns count="7">
    <x:tableColumn id="1" name="No"/>
    <x:tableColumn id="2" name="분류"/>
    <x:tableColumn id="3" name="상대경로"/>
    <x:tableColumn id="4" name="확장자"/>
    <x:tableColumn id="5" name="크기(Byte)"/>
    <x:tableColumn id="6" name="수정시각(UTC)"/>
    <x:tableColumn id="7" name="SHA-25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E20" headerRowCount="1" totalsRowCount="0" totalsRowShown="0">
  <x:autoFilter ref="A1:E20"/>
  <x:tableColumns count="5">
    <x:tableColumn id="1" name="ID"/>
    <x:tableColumn id="2" name="구분"/>
    <x:tableColumn id="3" name="자료명"/>
    <x:tableColumn id="4" name="경로/URL"/>
    <x:tableColumn id="5" name="사용 목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2e8c4b433a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f2a29d7f6740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a1e49ee8c645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72f62694054f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f6a5dcb65e46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5f1d9ecb46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8" t="str">
        <x:v>관세청 연동 기획 전면 재평가</x:v>
      </x:c>
      <x:c r="B1" s="38"/>
      <x:c r="C1" s="38"/>
      <x:c r="D1" s="38"/>
      <x:c r="E1" s="38"/>
      <x:c r="F1" s="38"/>
      <x:c r="G1" s="38"/>
      <x:c r="H1" s="38"/>
    </x:row>
    <x:row r="2" ht="28" customHeight="1">
      <x:c r="A2" s="39" t="str">
        <x:v>기준일 2026-08-06 · 현재 판정: 운영 반영 NO-GO</x:v>
      </x:c>
      <x:c r="B2" s="39" t="str">
        <x:v>기준일 2026-08-06 · 현재 판정: 운영 반영 NO-GO</x:v>
      </x:c>
      <x:c r="C2" s="39" t="str">
        <x:v>기준일 2026-08-06 · 현재 판정: 운영 반영 NO-GO</x:v>
      </x:c>
      <x:c r="D2" s="39" t="str">
        <x:v>기준일 2026-08-06 · 현재 판정: 운영 반영 NO-GO</x:v>
      </x:c>
      <x:c r="E2" s="39" t="str">
        <x:v>기준일 2026-08-06 · 현재 판정: 운영 반영 NO-GO</x:v>
      </x:c>
      <x:c r="F2" s="39" t="str">
        <x:v>기준일 2026-08-06 · 현재 판정: 운영 반영 NO-GO</x:v>
      </x:c>
      <x:c r="G2" s="39" t="str">
        <x:v>기준일 2026-08-06 · 현재 판정: 운영 반영 NO-GO</x:v>
      </x:c>
      <x:c r="H2" s="39" t="str">
        <x:v>기준일 2026-08-06 · 현재 판정: 운영 반영 NO-GO</x:v>
      </x:c>
    </x:row>
    <x:row r="3">
      <x:c r="A3" s="40"/>
      <x:c r="B3" s="40"/>
      <x:c r="C3" s="40"/>
      <x:c r="D3" s="40"/>
      <x:c r="E3" s="40"/>
      <x:c r="F3" s="40"/>
      <x:c r="G3" s="40"/>
      <x:c r="H3" s="40"/>
    </x:row>
    <x:row r="4" ht="30" customHeight="1">
      <x:c r="A4" s="41" t="str">
        <x:v>등록 쟁점</x:v>
      </x:c>
      <x:c r="B4" s="42" t="n">
        <x:f>COUNTA('쟁점대장'!A2:A200)</x:f>
        <x:v>54</x:v>
      </x:c>
      <x:c r="C4" s="40"/>
      <x:c r="D4" s="41" t="str">
        <x:v>운영 전 필수 게이트</x:v>
      </x:c>
      <x:c r="E4" s="41"/>
      <x:c r="F4" s="41"/>
      <x:c r="G4" s="41"/>
      <x:c r="H4" s="41"/>
    </x:row>
    <x:row r="5" ht="30" customHeight="1">
      <x:c r="A5" s="41" t="str">
        <x:v>P0 치명</x:v>
      </x:c>
      <x:c r="B5" s="42" t="n">
        <x:f>COUNTIF('쟁점대장'!C2:C200,"P0 치명")</x:f>
        <x:v>27</x:v>
      </x:c>
      <x:c r="C5" s="40"/>
      <x:c r="D5" s="43" t="str">
        <x:v>1. v1.4.1 스키마·조건부 필드 계약테스트 100%</x:v>
      </x:c>
      <x:c r="E5" s="43"/>
      <x:c r="F5" s="43"/>
      <x:c r="G5" s="43"/>
      <x:c r="H5" s="43"/>
    </x:row>
    <x:row r="6" ht="30" customHeight="1">
      <x:c r="A6" s="41" t="str">
        <x:v>P1 높음</x:v>
      </x:c>
      <x:c r="B6" s="42" t="n">
        <x:f>COUNTIF('쟁점대장'!C2:C200,"P1 높음")</x:f>
        <x:v>26</x:v>
      </x:c>
      <x:c r="C6" s="40"/>
      <x:c r="D6" s="43" t="str">
        <x:v>2. TRA002 01/02/03·3030·재제출 전 분기 통과</x:v>
      </x:c>
      <x:c r="E6" s="43"/>
      <x:c r="F6" s="43"/>
      <x:c r="G6" s="43"/>
      <x:c r="H6" s="43"/>
    </x:row>
    <x:row r="7" ht="30" customHeight="1">
      <x:c r="A7" s="41" t="str">
        <x:v>P2 중간</x:v>
      </x:c>
      <x:c r="B7" s="42" t="n">
        <x:f>COUNTIF('쟁점대장'!C2:C200,"P2 중간")</x:f>
        <x:v>1</x:v>
      </x:c>
      <x:c r="C7" s="40"/>
      <x:c r="D7" s="43" t="str">
        <x:v>3. 일반 PER/동일인 PER 경로 결정 및 종단간 테스트</x:v>
      </x:c>
      <x:c r="E7" s="43"/>
      <x:c r="F7" s="43"/>
      <x:c r="G7" s="43"/>
      <x:c r="H7" s="43"/>
    </x:row>
    <x:row r="8" ht="30" customHeight="1">
      <x:c r="A8" s="41" t="str">
        <x:v>P3 낮음</x:v>
      </x:c>
      <x:c r="B8" s="42" t="n">
        <x:f>COUNTIF('쟁점대장'!C2:C200,"P3 낮음")</x:f>
        <x:v>0</x:v>
      </x:c>
      <x:c r="C8" s="40"/>
      <x:c r="D8" s="43" t="str">
        <x:v>4. 고객결제/조달/신고 3원장 분리와 표본 대사</x:v>
      </x:c>
      <x:c r="E8" s="43"/>
      <x:c r="F8" s="43"/>
      <x:c r="G8" s="43"/>
      <x:c r="H8" s="43"/>
    </x:row>
    <x:row r="9" ht="30" customHeight="1">
      <x:c r="A9" s="41" t="str">
        <x:v>완료</x:v>
      </x:c>
      <x:c r="B9" s="42" t="n">
        <x:f>COUNTIF('쟁점대장'!K2:K200,"완료")</x:f>
        <x:v>0</x:v>
      </x:c>
      <x:c r="C9" s="40"/>
      <x:c r="D9" s="43" t="str">
        <x:v>5. 다중 HBL·세트·혼합주문 관세청 서면확인</x:v>
      </x:c>
      <x:c r="E9" s="43"/>
      <x:c r="F9" s="43"/>
      <x:c r="G9" s="43"/>
      <x:c r="H9" s="43"/>
    </x:row>
    <x:row r="10" ht="30" customHeight="1">
      <x:c r="A10" s="41" t="str">
        <x:v>미완료</x:v>
      </x:c>
      <x:c r="B10" s="42" t="n">
        <x:f>B4-B9</x:f>
        <x:v>54</x:v>
      </x:c>
      <x:c r="C10" s="40"/>
      <x:c r="D10" s="43" t="str">
        <x:v>6. 개인정보·약관 변호사 승인</x:v>
      </x:c>
      <x:c r="E10" s="43"/>
      <x:c r="F10" s="43"/>
      <x:c r="G10" s="43"/>
      <x:c r="H10" s="43"/>
    </x:row>
    <x:row r="11">
      <x:c r="A11" s="40"/>
      <x:c r="B11" s="40"/>
      <x:c r="C11" s="40"/>
      <x:c r="D11" s="43" t="str">
        <x:v>7. 계약 변경합의 및 운영 롤백 훈련</x:v>
      </x:c>
      <x:c r="E11" s="43"/>
      <x:c r="F11" s="43"/>
      <x:c r="G11" s="43"/>
      <x:c r="H11" s="43"/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 ht="30" customHeight="1">
      <x:c r="A13" s="41" t="str">
        <x:v>영역</x:v>
      </x:c>
      <x:c r="B13" s="41" t="str">
        <x:v>쟁점 수</x:v>
      </x:c>
      <x:c r="C13" s="40"/>
      <x:c r="D13" s="41" t="str">
        <x:v>핵심 판단</x:v>
      </x:c>
      <x:c r="E13" s="41"/>
      <x:c r="F13" s="41"/>
      <x:c r="G13" s="41"/>
      <x:c r="H13" s="41"/>
    </x:row>
    <x:row r="14">
      <x:c r="A14" s="44" t="str">
        <x:v>TRA 결과</x:v>
      </x:c>
      <x:c r="B14" s="44" t="n">
        <x:f>COUNTIF('쟁점대장'!B2:B200,A14)</x:f>
        <x:v>2</x:v>
      </x:c>
      <x:c r="C14" s="40"/>
      <x:c r="D14" s="45" t="str">
        <x:v>현재 기획은 단순 필드 누락이 아니라 성공판정·오류단위·가격의 의미·인증방식·법률고지·계약범위가 서로 충돌합니다. 운영 배포를 중단하고 공식 질의→스키마/데이터모델 교정→법률/계약 승인→파일럿 순으로 재개해야 합니다.</x:v>
      </x:c>
      <x:c r="E14" s="46"/>
      <x:c r="F14" s="46"/>
      <x:c r="G14" s="46"/>
      <x:c r="H14" s="47"/>
    </x:row>
    <x:row r="15">
      <x:c r="A15" s="44" t="str">
        <x:v>TRA 접수</x:v>
      </x:c>
      <x:c r="B15" s="44" t="n">
        <x:f>COUNTIF('쟁점대장'!B2:B200,A15)</x:f>
        <x:v>1</x:v>
      </x:c>
      <x:c r="C15" s="40"/>
      <x:c r="D15" s="48"/>
      <x:c r="E15" s="49"/>
      <x:c r="F15" s="49"/>
      <x:c r="G15" s="49"/>
      <x:c r="H15" s="50"/>
    </x:row>
    <x:row r="16">
      <x:c r="A16" s="44" t="str">
        <x:v>TRA 스키마</x:v>
      </x:c>
      <x:c r="B16" s="44" t="n">
        <x:f>COUNTIF('쟁점대장'!B2:B200,A16)</x:f>
        <x:v>4</x:v>
      </x:c>
      <x:c r="C16" s="40"/>
      <x:c r="D16" s="48"/>
      <x:c r="E16" s="49"/>
      <x:c r="F16" s="49"/>
      <x:c r="G16" s="49"/>
      <x:c r="H16" s="50"/>
    </x:row>
    <x:row r="17">
      <x:c r="A17" s="44" t="str">
        <x:v>PER 스키마</x:v>
      </x:c>
      <x:c r="B17" s="44" t="n">
        <x:f>COUNTIF('쟁점대장'!B2:B200,A17)</x:f>
        <x:v>1</x:v>
      </x:c>
      <x:c r="C17" s="40"/>
      <x:c r="D17" s="48"/>
      <x:c r="E17" s="49"/>
      <x:c r="F17" s="49"/>
      <x:c r="G17" s="49"/>
      <x:c r="H17" s="50"/>
    </x:row>
    <x:row r="18">
      <x:c r="A18" s="44" t="str">
        <x:v>PER 인증</x:v>
      </x:c>
      <x:c r="B18" s="44" t="n">
        <x:f>COUNTIF('쟁점대장'!B2:B200,A18)</x:f>
        <x:v>1</x:v>
      </x:c>
      <x:c r="C18" s="40"/>
      <x:c r="D18" s="48"/>
      <x:c r="E18" s="49"/>
      <x:c r="F18" s="49"/>
      <x:c r="G18" s="49"/>
      <x:c r="H18" s="50"/>
    </x:row>
    <x:row r="19">
      <x:c r="A19" s="44" t="str">
        <x:v>PER 아키텍처</x:v>
      </x:c>
      <x:c r="B19" s="44" t="n">
        <x:f>COUNTIF('쟁점대장'!B2:B200,A19)</x:f>
        <x:v>1</x:v>
      </x:c>
      <x:c r="C19" s="40"/>
      <x:c r="D19" s="48"/>
      <x:c r="E19" s="49"/>
      <x:c r="F19" s="49"/>
      <x:c r="G19" s="49"/>
      <x:c r="H19" s="50"/>
    </x:row>
    <x:row r="20">
      <x:c r="A20" s="44" t="str">
        <x:v>가격</x:v>
      </x:c>
      <x:c r="B20" s="44" t="n">
        <x:f>COUNTIF('쟁점대장'!B2:B200,A20)</x:f>
        <x:v>2</x:v>
      </x:c>
      <x:c r="C20" s="40"/>
      <x:c r="D20" s="51"/>
      <x:c r="E20" s="52"/>
      <x:c r="F20" s="52"/>
      <x:c r="G20" s="52"/>
      <x:c r="H20" s="53"/>
    </x:row>
    <x:row r="21">
      <x:c r="A21" s="44" t="str">
        <x:v>판매유형</x:v>
      </x:c>
      <x:c r="B21" s="44" t="n">
        <x:f>COUNTIF('쟁점대장'!B2:B200,A21)</x:f>
        <x:v>1</x:v>
      </x:c>
      <x:c r="C21" s="40"/>
      <x:c r="D21" s="40"/>
      <x:c r="E21" s="40"/>
      <x:c r="F21" s="40"/>
      <x:c r="G21" s="40"/>
      <x:c r="H21" s="40"/>
    </x:row>
    <x:row r="22">
      <x:c r="A22" s="44" t="str">
        <x:v>상태</x:v>
      </x:c>
      <x:c r="B22" s="44" t="n">
        <x:f>COUNTIF('쟁점대장'!B2:B200,A22)</x:f>
        <x:v>1</x:v>
      </x:c>
      <x:c r="C22" s="40"/>
      <x:c r="D22" s="40"/>
      <x:c r="E22" s="40"/>
      <x:c r="F22" s="40"/>
      <x:c r="G22" s="40"/>
      <x:c r="H22" s="40"/>
    </x:row>
    <x:row r="23">
      <x:c r="A23" s="44" t="str">
        <x:v>법적근거</x:v>
      </x:c>
      <x:c r="B23" s="44" t="n">
        <x:f>COUNTIF('쟁점대장'!B2:B200,A23)</x:f>
        <x:v>1</x:v>
      </x:c>
      <x:c r="C23" s="40"/>
      <x:c r="D23" s="40"/>
      <x:c r="E23" s="40"/>
      <x:c r="F23" s="40"/>
      <x:c r="G23" s="40"/>
      <x:c r="H23" s="40"/>
    </x:row>
    <x:row r="24">
      <x:c r="A24" s="44" t="str">
        <x:v>보유기간</x:v>
      </x:c>
      <x:c r="B24" s="44" t="n">
        <x:f>COUNTIF('쟁점대장'!B2:B200,A24)</x:f>
        <x:v>2</x:v>
      </x:c>
      <x:c r="C24" s="40"/>
      <x:c r="D24" s="40"/>
      <x:c r="E24" s="40"/>
      <x:c r="F24" s="40"/>
      <x:c r="G24" s="40"/>
      <x:c r="H24" s="40"/>
    </x:row>
    <x:row r="25">
      <x:c r="A25" s="44" t="str">
        <x:v>청약철회</x:v>
      </x:c>
      <x:c r="B25" s="44" t="n">
        <x:f>COUNTIF('쟁점대장'!B2:B200,A25)</x:f>
        <x:v>1</x:v>
      </x:c>
      <x:c r="C25" s="40"/>
      <x:c r="D25" s="40"/>
      <x:c r="E25" s="40"/>
      <x:c r="F25" s="40"/>
      <x:c r="G25" s="40"/>
      <x:c r="H25" s="40"/>
    </x:row>
    <x:row r="26">
      <x:c r="A26" s="44" t="str">
        <x:v>합산과세</x:v>
      </x:c>
      <x:c r="B26" s="44" t="n">
        <x:f>COUNTIF('쟁점대장'!B2:B200,A26)</x:f>
        <x:v>1</x:v>
      </x:c>
      <x:c r="C26" s="40"/>
      <x:c r="D26" s="40"/>
      <x:c r="E26" s="40"/>
      <x:c r="F26" s="40"/>
      <x:c r="G26" s="40"/>
      <x:c r="H26" s="40"/>
    </x:row>
    <x:row r="27">
      <x:c r="A27" s="44" t="str">
        <x:v>계약</x:v>
      </x:c>
      <x:c r="B27" s="44" t="n">
        <x:f>COUNTIF('쟁점대장'!B2:B200,A27)</x:f>
        <x:v>3</x:v>
      </x:c>
      <x:c r="C27" s="40"/>
      <x:c r="D27" s="40"/>
      <x:c r="E27" s="40"/>
      <x:c r="F27" s="40"/>
      <x:c r="G27" s="40"/>
      <x:c r="H27" s="40"/>
    </x:row>
    <x:row r="28">
      <x:c r="A28" s="44" t="str">
        <x:v>변경관리</x:v>
      </x:c>
      <x:c r="B28" s="44" t="n">
        <x:f>COUNTIF('쟁점대장'!B2:B200,A28)</x:f>
        <x:v>1</x:v>
      </x:c>
      <x:c r="C28" s="40"/>
      <x:c r="D28" s="40"/>
      <x:c r="E28" s="40"/>
      <x:c r="F28" s="40"/>
      <x:c r="G28" s="40"/>
      <x:c r="H28" s="40"/>
    </x:row>
    <x:row r="29">
      <x:c r="A29" s="40"/>
      <x:c r="B29" s="40"/>
      <x:c r="C29" s="40"/>
      <x:c r="D29" s="40"/>
      <x:c r="E29" s="40"/>
      <x:c r="F29" s="40"/>
      <x:c r="G29" s="40"/>
      <x:c r="H29" s="40"/>
    </x:row>
    <x:row r="30">
      <x:c r="A30" s="40"/>
      <x:c r="B30" s="40"/>
      <x:c r="C30" s="40"/>
      <x:c r="D30" s="40"/>
      <x:c r="E30" s="40"/>
      <x:c r="F30" s="40"/>
      <x:c r="G30" s="40"/>
      <x:c r="H30" s="40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3:H13"/>
    <x:mergeCell ref="D14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29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 ht="30" customHeight="1">
      <x:c r="A1" s="41" t="str">
        <x:v>ID</x:v>
      </x:c>
      <x:c r="B1" s="41" t="str">
        <x:v>영역</x:v>
      </x:c>
      <x:c r="C1" s="41" t="str">
        <x:v>등급</x:v>
      </x:c>
      <x:c r="D1" s="41" t="str">
        <x:v>판정</x:v>
      </x:c>
      <x:c r="E1" s="41" t="str">
        <x:v>쟁점</x:v>
      </x:c>
      <x:c r="F1" s="41" t="str">
        <x:v>현재 기획/주장</x:v>
      </x:c>
      <x:c r="G1" s="41" t="str">
        <x:v>확인 근거</x:v>
      </x:c>
      <x:c r="H1" s="41" t="str">
        <x:v>영향</x:v>
      </x:c>
      <x:c r="I1" s="41" t="str">
        <x:v>시정조치</x:v>
      </x:c>
      <x:c r="J1" s="41" t="str">
        <x:v>권고 책임</x:v>
      </x:c>
      <x:c r="K1" s="41" t="str">
        <x:v>상태</x:v>
      </x:c>
      <x:c r="L1" s="41" t="str">
        <x:v>완료 목표</x:v>
      </x:c>
      <x:c r="M1" s="41" t="str">
        <x:v>근거 자료</x:v>
      </x:c>
    </x:row>
    <x:row r="2" ht="58" customHeight="1">
      <x:c r="A2" s="61" t="str">
        <x:v>API-01</x:v>
      </x:c>
      <x:c r="B2" s="61" t="str">
        <x:v>TRA 결과</x:v>
      </x:c>
      <x:c r="C2" s="61" t="str">
        <x:v>P0 치명</x:v>
      </x:c>
      <x:c r="D2" s="61" t="str">
        <x:v>부적합</x:v>
      </x:c>
      <x:c r="E2" s="62" t="str">
        <x:v>TRA003 무응답을 성공으로 판정</x:v>
      </x:c>
      <x:c r="F2" s="62" t="str">
        <x:v>정해진 시각에 TRA003 1회 호출 후 오류가 없으면 승인</x:v>
      </x:c>
      <x:c r="G2" s="62" t="str">
        <x:v>v1.4.1은 TRA002를 제출번호별 결과조회로 정의하고 TRA003은 최근 7일 미확인 오류만 반환</x:v>
      </x:c>
      <x:c r="H2" s="62" t="str">
        <x:v>거짓 성공으로 출고·통관 진행</x:v>
      </x:c>
      <x:c r="I2" s="62" t="str">
        <x:v>TRA002 백오프 조회를 권위 상태로 사용하고 TRA003은 누락오류 보조수집기로 제한</x:v>
      </x:c>
      <x:c r="J2" s="62" t="str">
        <x:v>Geek</x:v>
      </x:c>
      <x:c r="K2" s="62" t="str">
        <x:v>미착수</x:v>
      </x:c>
      <x:c r="L2" s="62" t="str"/>
      <x:c r="M2" s="62" t="str">
        <x:v>REST API v1.4.1 p.29~35</x:v>
      </x:c>
    </x:row>
    <x:row r="3" ht="58" customHeight="1">
      <x:c r="A3" s="63" t="str">
        <x:v>API-02</x:v>
      </x:c>
      <x:c r="B3" s="63" t="str">
        <x:v>TRA 결과</x:v>
      </x:c>
      <x:c r="C3" s="63" t="str">
        <x:v>P1 높음</x:v>
      </x:c>
      <x:c r="D3" s="63" t="str">
        <x:v>부적합</x:v>
      </x:c>
      <x:c r="E3" s="64" t="str">
        <x:v>고정 30~40분/11:50 조회</x:v>
      </x:c>
      <x:c r="F3" s="64" t="str">
        <x:v>검증 완료시간을 고정시각으로 가정</x:v>
      </x:c>
      <x:c r="G3" s="64" t="str">
        <x:v>TRA002는 처리 중 3030을 반환할 수 있고 검증은 접수 직후 비동기로 진행</x:v>
      </x:c>
      <x:c r="H3" s="64" t="str">
        <x:v>빠른 건 지연, 늦은 건 오판</x:v>
      </x:c>
      <x:c r="I3" s="64" t="str">
        <x:v>지수 백오프·최대대기·운영알림·수동재조회 정책 구현</x:v>
      </x:c>
      <x:c r="J3" s="64" t="str">
        <x:v>Geek</x:v>
      </x:c>
      <x:c r="K3" s="64" t="str">
        <x:v>미착수</x:v>
      </x:c>
      <x:c r="L3" s="64" t="str"/>
      <x:c r="M3" s="64" t="str">
        <x:v>REST API v1.4.1 TRA002</x:v>
      </x:c>
    </x:row>
    <x:row r="4" ht="58" customHeight="1">
      <x:c r="A4" s="61" t="str">
        <x:v>API-03</x:v>
      </x:c>
      <x:c r="B4" s="61" t="str">
        <x:v>TRA 접수</x:v>
      </x:c>
      <x:c r="C4" s="61" t="str">
        <x:v>P0 치명</x:v>
      </x:c>
      <x:c r="D4" s="61" t="str">
        <x:v>부적합</x:v>
      </x:c>
      <x:c r="E4" s="62" t="str">
        <x:v>TRA001 정상응답을 최종 승인으로 해석</x:v>
      </x:c>
      <x:c r="F4" s="62" t="str">
        <x:v>응답코드 0000이면 출고 가능</x:v>
      </x:c>
      <x:c r="G4" s="62" t="str">
        <x:v>TRA001은 접수 결과이고 업무검증 상태는 TRA002의 01/02/03</x:v>
      </x:c>
      <x:c r="H4" s="62" t="str">
        <x:v>미검증 주문 출고</x:v>
      </x:c>
      <x:c r="I4" s="62" t="str">
        <x:v>접수/검증/물류 상태를 분리</x:v>
      </x:c>
      <x:c r="J4" s="62" t="str">
        <x:v>Geek</x:v>
      </x:c>
      <x:c r="K4" s="62" t="str">
        <x:v>미착수</x:v>
      </x:c>
      <x:c r="L4" s="62" t="str"/>
      <x:c r="M4" s="62" t="str">
        <x:v>REST API v1.4.1 TRA001·TRA002</x:v>
      </x:c>
    </x:row>
    <x:row r="5" ht="58" customHeight="1">
      <x:c r="A5" s="61" t="str">
        <x:v>API-04</x:v>
      </x:c>
      <x:c r="B5" s="61" t="str">
        <x:v>재제출</x:v>
      </x:c>
      <x:c r="C5" s="61" t="str">
        <x:v>P0 치명</x:v>
      </x:c>
      <x:c r="D5" s="61" t="str">
        <x:v>부적합</x:v>
      </x:c>
      <x:c r="E5" s="62" t="str">
        <x:v>재제출 식별자 계보 미설계</x:v>
      </x:c>
      <x:c r="F5" s="62" t="str">
        <x:v>오류 수정 후 동일 제출번호 재사용 가능성</x:v>
      </x:c>
      <x:c r="G5" s="62" t="str">
        <x:v>동일 txif_sbmt_no 재사용은 3000 오류</x:v>
      </x:c>
      <x:c r="H5" s="62" t="str">
        <x:v>재처리 불가·중복 혼선</x:v>
      </x:c>
      <x:c r="I5" s="62" t="str">
        <x:v>새 제출번호 생성, parent_submission_id와 버전 저장</x:v>
      </x:c>
      <x:c r="J5" s="62" t="str">
        <x:v>Geek</x:v>
      </x:c>
      <x:c r="K5" s="62" t="str">
        <x:v>미착수</x:v>
      </x:c>
      <x:c r="L5" s="62" t="str"/>
      <x:c r="M5" s="62" t="str">
        <x:v>REST API v1.4.1 오류코드</x:v>
      </x:c>
    </x:row>
    <x:row r="6" ht="58" customHeight="1">
      <x:c r="A6" s="61" t="str">
        <x:v>API-05</x:v>
      </x:c>
      <x:c r="B6" s="61" t="str">
        <x:v>TRA 스키마</x:v>
      </x:c>
      <x:c r="C6" s="61" t="str">
        <x:v>P0 치명</x:v>
      </x:c>
      <x:c r="D6" s="61" t="str">
        <x:v>부적합</x:v>
      </x:c>
      <x:c r="E6" s="62" t="str">
        <x:v>v1.4.1에 없는 필드 전송</x:v>
      </x:c>
      <x:c r="F6" s="62" t="str">
        <x:v>tot_wt, hs_cd, ord_qty_ut, stlm_mns_cd, stlm_dttm, insrc_amt, tax_amt, ordrr_email 등 포함</x:v>
      </x:c>
      <x:c r="G6" s="62" t="str">
        <x:v>v1.4.1 TRA001 스키마에 없음</x:v>
      </x:c>
      <x:c r="H6" s="62" t="str">
        <x:v>전체 요청 스키마 오류 가능</x:v>
      </x:c>
      <x:c r="I6" s="62" t="str">
        <x:v>공식 태그 화이트리스트 직렬화</x:v>
      </x:c>
      <x:c r="J6" s="62" t="str">
        <x:v>Geek</x:v>
      </x:c>
      <x:c r="K6" s="62" t="str">
        <x:v>미착수</x:v>
      </x:c>
      <x:c r="L6" s="62" t="str"/>
      <x:c r="M6" s="62" t="str">
        <x:v>api_field_mapping / REST API v1.4.1</x:v>
      </x:c>
    </x:row>
    <x:row r="7" ht="58" customHeight="1">
      <x:c r="A7" s="61" t="str">
        <x:v>API-06</x:v>
      </x:c>
      <x:c r="B7" s="61" t="str">
        <x:v>TRA 스키마</x:v>
      </x:c>
      <x:c r="C7" s="61" t="str">
        <x:v>P0 치명</x:v>
      </x:c>
      <x:c r="D7" s="61" t="str">
        <x:v>부적합</x:v>
      </x:c>
      <x:c r="E7" s="62" t="str">
        <x:v>필수 ord_site_url 누락</x:v>
      </x:c>
      <x:c r="F7" s="62" t="str">
        <x:v>상품 URL만 일부 고려</x:v>
      </x:c>
      <x:c r="G7" s="62" t="str">
        <x:v>Order 레벨 ord_site_url은 필수 String(200)</x:v>
      </x:c>
      <x:c r="H7" s="62" t="str">
        <x:v>주문 전체 반려</x:v>
      </x:c>
      <x:c r="I7" s="62" t="str">
        <x:v>주문 채널 URL 원천과 보존 규칙 추가</x:v>
      </x:c>
      <x:c r="J7" s="62" t="str">
        <x:v>Dongshu/Geek</x:v>
      </x:c>
      <x:c r="K7" s="62" t="str">
        <x:v>미착수</x:v>
      </x:c>
      <x:c r="L7" s="62" t="str"/>
      <x:c r="M7" s="62" t="str">
        <x:v>REST API v1.4.1 p.19~21</x:v>
      </x:c>
    </x:row>
    <x:row r="8" ht="58" customHeight="1">
      <x:c r="A8" s="61" t="str">
        <x:v>API-07</x:v>
      </x:c>
      <x:c r="B8" s="61" t="str">
        <x:v>TRA 스키마</x:v>
      </x:c>
      <x:c r="C8" s="61" t="str">
        <x:v>P0 치명</x:v>
      </x:c>
      <x:c r="D8" s="61" t="str">
        <x:v>부적합</x:v>
      </x:c>
      <x:c r="E8" s="62" t="str">
        <x:v>배송대행사업자 태그 오기</x:v>
      </x:c>
      <x:c r="F8" s="62" t="str">
        <x:v>dlvr_vcex_bsmn_sgn/nm</x:v>
      </x:c>
      <x:c r="G8" s="62" t="str">
        <x:v>공식 태그는 shpn_vcex_bsmn_sgn/nm</x:v>
      </x:c>
      <x:c r="H8" s="62" t="str">
        <x:v>C유형 반려</x:v>
      </x:c>
      <x:c r="I8" s="62" t="str">
        <x:v>태그 전수 자동비교 후 교정</x:v>
      </x:c>
      <x:c r="J8" s="62" t="str">
        <x:v>Geek</x:v>
      </x:c>
      <x:c r="K8" s="62" t="str">
        <x:v>미착수</x:v>
      </x:c>
      <x:c r="L8" s="62" t="str"/>
      <x:c r="M8" s="62" t="str">
        <x:v>REST API v1.4.1</x:v>
      </x:c>
    </x:row>
    <x:row r="9" ht="58" customHeight="1">
      <x:c r="A9" s="63" t="str">
        <x:v>API-08</x:v>
      </x:c>
      <x:c r="B9" s="63" t="str">
        <x:v>TRA 스키마</x:v>
      </x:c>
      <x:c r="C9" s="63" t="str">
        <x:v>P1 높음</x:v>
      </x:c>
      <x:c r="D9" s="63" t="str">
        <x:v>부적합</x:v>
      </x:c>
      <x:c r="E9" s="64" t="str">
        <x:v>타입·길이 불일치</x:v>
      </x:c>
      <x:c r="F9" s="64" t="str">
        <x:v>prod_srno String(20), ord_prod_nm String(300)</x:v>
      </x:c>
      <x:c r="G9" s="64" t="str">
        <x:v>공식은 prod_srno Integer(3), ord_prod_nm String(600)</x:v>
      </x:c>
      <x:c r="H9" s="64" t="str">
        <x:v>유효값 거부·잘림</x:v>
      </x:c>
      <x:c r="I9" s="64" t="str">
        <x:v>JSON Schema로 타입·길이 계약테스트</x:v>
      </x:c>
      <x:c r="J9" s="64" t="str">
        <x:v>Geek</x:v>
      </x:c>
      <x:c r="K9" s="64" t="str">
        <x:v>미착수</x:v>
      </x:c>
      <x:c r="L9" s="64" t="str"/>
      <x:c r="M9" s="64" t="str">
        <x:v>상세매핑 v3 / REST API v1.4.1</x:v>
      </x:c>
    </x:row>
    <x:row r="10" ht="58" customHeight="1">
      <x:c r="A10" s="61" t="str">
        <x:v>API-09</x:v>
      </x:c>
      <x:c r="B10" s="61" t="str">
        <x:v>상품 URL</x:v>
      </x:c>
      <x:c r="C10" s="61" t="str">
        <x:v>P0 치명</x:v>
      </x:c>
      <x:c r="D10" s="61" t="str">
        <x:v>부적합</x:v>
      </x:c>
      <x:c r="E10" s="62" t="str">
        <x:v>실제 판매페이지 대신 대표 도메인</x:v>
      </x:c>
      <x:c r="F10" s="62" t="str">
        <x:v>상품ID가 없으면 krone.com 등 주입</x:v>
      </x:c>
      <x:c r="G10" s="62" t="str">
        <x:v>prod_sale_pge_url은 상품이 실제 판매된 페이지</x:v>
      </x:c>
      <x:c r="H10" s="62" t="str">
        <x:v>허위·무의미 정보 제출</x:v>
      </x:c>
      <x:c r="I10" s="62" t="str">
        <x:v>구매시점 실제 URL과 리다이렉트 원본 스냅샷</x:v>
      </x:c>
      <x:c r="J10" s="62" t="str">
        <x:v>Dongshu</x:v>
      </x:c>
      <x:c r="K10" s="62" t="str">
        <x:v>미착수</x:v>
      </x:c>
      <x:c r="L10" s="62" t="str"/>
      <x:c r="M10" s="62" t="str">
        <x:v>REST API v1.4.1 Product</x:v>
      </x:c>
    </x:row>
    <x:row r="11" ht="58" customHeight="1">
      <x:c r="A11" s="61" t="str">
        <x:v>API-10</x:v>
      </x:c>
      <x:c r="B11" s="61" t="str">
        <x:v>판매기업</x:v>
      </x:c>
      <x:c r="C11" s="61" t="str">
        <x:v>P0 치명</x:v>
      </x:c>
      <x:c r="D11" s="61" t="str">
        <x:v>부적합</x:v>
      </x:c>
      <x:c r="E11" s="62" t="str">
        <x:v>A유형 sale_ents_nm 누락</x:v>
      </x:c>
      <x:c r="F11" s="62" t="str">
        <x:v>판매기업명·부호를 모두 선택값/Null</x:v>
      </x:c>
      <x:c r="G11" s="62" t="str">
        <x:v>직접판매 A에서 판매기업명은 조건부 필수</x:v>
      </x:c>
      <x:c r="H11" s="62" t="str">
        <x:v>A유형 반려</x:v>
      </x:c>
      <x:c r="I11" s="62" t="str">
        <x:v>유형별 조건부 필수 검증</x:v>
      </x:c>
      <x:c r="J11" s="62" t="str">
        <x:v>Geek</x:v>
      </x:c>
      <x:c r="K11" s="62" t="str">
        <x:v>미착수</x:v>
      </x:c>
      <x:c r="L11" s="62" t="str"/>
      <x:c r="M11" s="62" t="str">
        <x:v>REST API v1.4.1 Product</x:v>
      </x:c>
    </x:row>
    <x:row r="12" ht="58" customHeight="1">
      <x:c r="A12" s="61" t="str">
        <x:v>API-11</x:v>
      </x:c>
      <x:c r="B12" s="61" t="str">
        <x:v>부분오류</x:v>
      </x:c>
      <x:c r="C12" s="61" t="str">
        <x:v>P0 치명</x:v>
      </x:c>
      <x:c r="D12" s="61" t="str">
        <x:v>부적합</x:v>
      </x:c>
      <x:c r="E12" s="62" t="str">
        <x:v>상품부분오류를 주문전체 오류로 합침</x:v>
      </x:c>
      <x:c r="F12" s="62" t="str">
        <x:v>오류 하나면 주문삭제</x:v>
      </x:c>
      <x:c r="G12" s="62" t="str">
        <x:v>정상 상품이 있고 일부 상품만 오류일 수 있음</x:v>
      </x:c>
      <x:c r="H12" s="62" t="str">
        <x:v>정상 데이터 삭제·재전송 중복</x:v>
      </x:c>
      <x:c r="I12" s="62" t="str">
        <x:v>주문/상품 오류 단위 분리 및 HOLD</x:v>
      </x:c>
      <x:c r="J12" s="62" t="str">
        <x:v>Geek</x:v>
      </x:c>
      <x:c r="K12" s="62" t="str">
        <x:v>미착수</x:v>
      </x:c>
      <x:c r="L12" s="62" t="str"/>
      <x:c r="M12" s="62" t="str">
        <x:v>REST API v1.4.1 TRA002</x:v>
      </x:c>
    </x:row>
    <x:row r="13" ht="58" customHeight="1">
      <x:c r="A13" s="63" t="str">
        <x:v>API-12</x:v>
      </x:c>
      <x:c r="B13" s="63" t="str">
        <x:v>전송제약</x:v>
      </x:c>
      <x:c r="C13" s="63" t="str">
        <x:v>P1 높음</x:v>
      </x:c>
      <x:c r="D13" s="63" t="str">
        <x:v>부적합</x:v>
      </x:c>
      <x:c r="E13" s="64" t="str">
        <x:v>3MB·순차요청 제약 미반영</x:v>
      </x:c>
      <x:c r="F13" s="64" t="str">
        <x:v>고정 100건 배치만 정의</x:v>
      </x:c>
      <x:c r="G13" s="64" t="str">
        <x:v>order_info 1~300, 본문 3MB, 동시호출 금지</x:v>
      </x:c>
      <x:c r="H13" s="64" t="str">
        <x:v>대형 요청 거부·레이트 문제</x:v>
      </x:c>
      <x:c r="I13" s="64" t="str">
        <x:v>UTF-8 바이트 기준 재분할과 단일 전송큐</x:v>
      </x:c>
      <x:c r="J13" s="64" t="str">
        <x:v>Geek</x:v>
      </x:c>
      <x:c r="K13" s="64" t="str">
        <x:v>미착수</x:v>
      </x:c>
      <x:c r="L13" s="64" t="str"/>
      <x:c r="M13" s="64" t="str">
        <x:v>REST API v1.4.1 TRA001</x:v>
      </x:c>
    </x:row>
    <x:row r="14" ht="58" customHeight="1">
      <x:c r="A14" s="63" t="str">
        <x:v>API-13</x:v>
      </x:c>
      <x:c r="B14" s="63" t="str">
        <x:v>오류코드</x:v>
      </x:c>
      <x:c r="C14" s="63" t="str">
        <x:v>P1 높음</x:v>
      </x:c>
      <x:c r="D14" s="63" t="str">
        <x:v>부적합</x:v>
      </x:c>
      <x:c r="E14" s="64" t="str">
        <x:v>117/118/Hold 등 비공식 코드 사용</x:v>
      </x:c>
      <x:c r="F14" s="64" t="str">
        <x:v>기획 고유 오류명으로 업무분기</x:v>
      </x:c>
      <x:c r="G14" s="64" t="str">
        <x:v>v1.4.1 오류구조는 err_item_nm, err_data_cn, err_cn 등</x:v>
      </x:c>
      <x:c r="H14" s="64" t="str">
        <x:v>실제 오류 분류 실패</x:v>
      </x:c>
      <x:c r="I14" s="64" t="str">
        <x:v>원문코드 보존 + 내부 표준코드 매핑</x:v>
      </x:c>
      <x:c r="J14" s="64" t="str">
        <x:v>Geek</x:v>
      </x:c>
      <x:c r="K14" s="64" t="str">
        <x:v>미착수</x:v>
      </x:c>
      <x:c r="L14" s="64" t="str"/>
      <x:c r="M14" s="64" t="str">
        <x:v>planning_v5 / REST API v1.4.1</x:v>
      </x:c>
    </x:row>
    <x:row r="15" ht="58" customHeight="1">
      <x:c r="A15" s="63" t="str">
        <x:v>API-14</x:v>
      </x:c>
      <x:c r="B15" s="63" t="str">
        <x:v>감사</x:v>
      </x:c>
      <x:c r="C15" s="63" t="str">
        <x:v>P1 높음</x:v>
      </x:c>
      <x:c r="D15" s="63" t="str">
        <x:v>부적합</x:v>
      </x:c>
      <x:c r="E15" s="64" t="str">
        <x:v>성공/실패 현황 목록 제거</x:v>
      </x:c>
      <x:c r="F15" s="64" t="str">
        <x:v>관리자 목록을 없애고 실패만 일시 처리</x:v>
      </x:c>
      <x:c r="G15" s="64" t="str">
        <x:v>원계약·추가견적에 상태/실패 목록이 포함</x:v>
      </x:c>
      <x:c r="H15" s="64" t="str">
        <x:v>감사·민원·재처리 불가</x:v>
      </x:c>
      <x:c r="I15" s="64" t="str">
        <x:v>제출/결과/오류/재제출 계보 조회 유지</x:v>
      </x:c>
      <x:c r="J15" s="64" t="str">
        <x:v>Geek/사업</x:v>
      </x:c>
      <x:c r="K15" s="64" t="str">
        <x:v>미착수</x:v>
      </x:c>
      <x:c r="L15" s="64" t="str"/>
      <x:c r="M15" s="64" t="str">
        <x:v>계약·견적·메신저</x:v>
      </x:c>
    </x:row>
    <x:row r="16" ht="58" customHeight="1">
      <x:c r="A16" s="63" t="str">
        <x:v>API-15</x:v>
      </x:c>
      <x:c r="B16" s="63" t="str">
        <x:v>다중 HBL</x:v>
      </x:c>
      <x:c r="C16" s="63" t="str">
        <x:v>P1 높음</x:v>
      </x:c>
      <x:c r="D16" s="63" t="str">
        <x:v>부적합</x:v>
      </x:c>
      <x:c r="E16" s="64" t="str">
        <x:v>HBL별 별도 TRA001 고정</x:v>
      </x:c>
      <x:c r="F16" s="64" t="str">
        <x:v>한 주문 2 HBL이면 무조건 2회 제출</x:v>
      </x:c>
      <x:c r="G16" s="64" t="str">
        <x:v>공식 예시는 동일 ord_no와 여러 HBL, 주문전체 금액 반복</x:v>
      </x:c>
      <x:c r="H16" s="64" t="str">
        <x:v>중복합산·상품범위 오류</x:v>
      </x:c>
      <x:c r="I16" s="64" t="str">
        <x:v>관세청 서면확인 후 예시 JSON 고정</x:v>
      </x:c>
      <x:c r="J16" s="64" t="str">
        <x:v>사업/Geek</x:v>
      </x:c>
      <x:c r="K16" s="64" t="str">
        <x:v>미착수</x:v>
      </x:c>
      <x:c r="L16" s="64" t="str"/>
      <x:c r="M16" s="64" t="str">
        <x:v>REST API v1.4.1 예시</x:v>
      </x:c>
    </x:row>
    <x:row r="17" ht="58" customHeight="1">
      <x:c r="A17" s="61" t="str">
        <x:v>PER-01</x:v>
      </x:c>
      <x:c r="B17" s="61" t="str">
        <x:v>PER 스키마</x:v>
      </x:c>
      <x:c r="C17" s="61" t="str">
        <x:v>P0 치명</x:v>
      </x:c>
      <x:c r="D17" s="61" t="str">
        <x:v>부적합</x:v>
      </x:c>
      <x:c r="E17" s="62" t="str">
        <x:v>PER001 필수 구조 누락</x:v>
      </x:c>
      <x:c r="F17" s="62" t="str">
        <x:v>수취인 이름/PCCC/전화 중심</x:v>
      </x:c>
      <x:c r="G17" s="62" t="str">
        <x:v>reqt_no, reqt_tp, 주문자·수취인·우편번호·주문번호 조건 필요</x:v>
      </x:c>
      <x:c r="H17" s="62" t="str">
        <x:v>요청 전량 오류</x:v>
      </x:c>
      <x:c r="I17" s="62" t="str">
        <x:v>공식 요청 JSON 전수 매핑</x:v>
      </x:c>
      <x:c r="J17" s="62" t="str">
        <x:v>Geek</x:v>
      </x:c>
      <x:c r="K17" s="62" t="str">
        <x:v>미착수</x:v>
      </x:c>
      <x:c r="L17" s="62" t="str"/>
      <x:c r="M17" s="62" t="str">
        <x:v>REST API v1.4.1 PER001</x:v>
      </x:c>
    </x:row>
    <x:row r="18" ht="58" customHeight="1">
      <x:c r="A18" s="61" t="str">
        <x:v>PER-02</x:v>
      </x:c>
      <x:c r="B18" s="61" t="str">
        <x:v>PER 인증</x:v>
      </x:c>
      <x:c r="C18" s="61" t="str">
        <x:v>P0 치명</x:v>
      </x:c>
      <x:c r="D18" s="61" t="str">
        <x:v>부적합</x:v>
      </x:c>
      <x:c r="E18" s="62" t="str">
        <x:v>일반응답을 자동 인증으로 오해</x:v>
      </x:c>
      <x:c r="F18" s="62" t="str">
        <x:v>API 응답만으로 결제완료 가능</x:v>
      </x:c>
      <x:c r="G18" s="62" t="str">
        <x:v>일반 reqt_tp=01은 사업자에게 OTP 일부만 제공하며 사용자 수신값 검증 필요</x:v>
      </x:c>
      <x:c r="H18" s="62" t="str">
        <x:v>미인증 PCCC 사용</x:v>
      </x:c>
      <x:c r="I18" s="62" t="str">
        <x:v>OTP 입력·검증 UI와 만료/재전송 설계</x:v>
      </x:c>
      <x:c r="J18" s="62" t="str">
        <x:v>Geek/프론트</x:v>
      </x:c>
      <x:c r="K18" s="62" t="str">
        <x:v>미착수</x:v>
      </x:c>
      <x:c r="L18" s="62" t="str"/>
      <x:c r="M18" s="62" t="str">
        <x:v>REST API v1.4.1 PER001</x:v>
      </x:c>
    </x:row>
    <x:row r="19" ht="58" customHeight="1">
      <x:c r="A19" s="61" t="str">
        <x:v>PER-03</x:v>
      </x:c>
      <x:c r="B19" s="61" t="str">
        <x:v>PER 아키텍처</x:v>
      </x:c>
      <x:c r="C19" s="61" t="str">
        <x:v>P0 치명</x:v>
      </x:c>
      <x:c r="D19" s="61" t="str">
        <x:v>부적합</x:v>
      </x:c>
      <x:c r="E19" s="62" t="str">
        <x:v>관세청 직접 PER와 NICE CI 흐름 혼재</x:v>
      </x:c>
      <x:c r="F19" s="62" t="str">
        <x:v>CI 저장·미사용·직접 API가 문서마다 다름</x:v>
      </x:c>
      <x:c r="G19" s="62" t="str">
        <x:v>NICE CheckPlus는 별도 계약/처리이고 일반 PER은 CI 불필요</x:v>
      </x:c>
      <x:c r="H19" s="62" t="str">
        <x:v>중복수집·구현불능·고지오류</x:v>
      </x:c>
      <x:c r="I19" s="62" t="str">
        <x:v>일반 PER 또는 CI 동일인 경로 중 하나를 공식 결정</x:v>
      </x:c>
      <x:c r="J19" s="62" t="str">
        <x:v>사업/법무</x:v>
      </x:c>
      <x:c r="K19" s="62" t="str">
        <x:v>미착수</x:v>
      </x:c>
      <x:c r="L19" s="62" t="str"/>
      <x:c r="M19" s="62" t="str">
        <x:v>NICE 가이드·기획·메신저</x:v>
      </x:c>
    </x:row>
    <x:row r="20" ht="58" customHeight="1">
      <x:c r="A20" s="61" t="str">
        <x:v>PER-04</x:v>
      </x:c>
      <x:c r="B20" s="61" t="str">
        <x:v>한시부호</x:v>
      </x:c>
      <x:c r="C20" s="61" t="str">
        <x:v>P0 치명</x:v>
      </x:c>
      <x:c r="D20" s="61" t="str">
        <x:v>부적합</x:v>
      </x:c>
      <x:c r="E20" s="62" t="str">
        <x:v>Z99999를 PER 응답/연말 대체값으로 사용</x:v>
      </x:c>
      <x:c r="F20" s="62" t="str">
        <x:v>2026년 말까지 Z99999</x:v>
      </x:c>
      <x:c r="G20" s="62" t="str">
        <x:v>업무소개 자료는 2026-08-15~09-14 기존 신고/목록 일회용 칸 한시 허용</x:v>
      </x:c>
      <x:c r="H20" s="62" t="str">
        <x:v>잘못된 부호 신고</x:v>
      </x:c>
      <x:c r="I20" s="62" t="str">
        <x:v>정확한 적용위치·대상·종료일을 서면 확인</x:v>
      </x:c>
      <x:c r="J20" s="62" t="str">
        <x:v>통관</x:v>
      </x:c>
      <x:c r="K20" s="62" t="str">
        <x:v>미착수</x:v>
      </x:c>
      <x:c r="L20" s="62" t="str"/>
      <x:c r="M20" s="62" t="str">
        <x:v>업무소개 v1.6 p.39</x:v>
      </x:c>
    </x:row>
    <x:row r="21" ht="58" customHeight="1">
      <x:c r="A21" s="63" t="str">
        <x:v>PER-05</x:v>
      </x:c>
      <x:c r="B21" s="63" t="str">
        <x:v>적용일정</x:v>
      </x:c>
      <x:c r="C21" s="63" t="str">
        <x:v>P1 높음</x:v>
      </x:c>
      <x:c r="D21" s="63" t="str">
        <x:v>부적합</x:v>
      </x:c>
      <x:c r="E21" s="64" t="str">
        <x:v>2026-08-28 전면 오픈 전제</x:v>
      </x:c>
      <x:c r="F21" s="64" t="str">
        <x:v>한 날짜에 전체 대상 전환</x:v>
      </x:c>
      <x:c r="G21" s="64" t="str">
        <x:v>공식 자료는 2026 부분, 2027 확대, 2028 전면 단계</x:v>
      </x:c>
      <x:c r="H21" s="64" t="str">
        <x:v>대상 아닌 주문 차단 또는 누락</x:v>
      </x:c>
      <x:c r="I21" s="64" t="str">
        <x:v>사업자별 적용대상 조회와 기능플래그</x:v>
      </x:c>
      <x:c r="J21" s="64" t="str">
        <x:v>사업</x:v>
      </x:c>
      <x:c r="K21" s="64" t="str">
        <x:v>미착수</x:v>
      </x:c>
      <x:c r="L21" s="64" t="str"/>
      <x:c r="M21" s="64" t="str">
        <x:v>업무소개 v1.6 p.38</x:v>
      </x:c>
    </x:row>
    <x:row r="22" ht="58" customHeight="1">
      <x:c r="A22" s="63" t="str">
        <x:v>PER-06</x:v>
      </x:c>
      <x:c r="B22" s="63" t="str">
        <x:v>동일인</x:v>
      </x:c>
      <x:c r="C22" s="63" t="str">
        <x:v>P1 높음</x:v>
      </x:c>
      <x:c r="D22" s="63" t="str">
        <x:v>부적합</x:v>
      </x:c>
      <x:c r="E22" s="64" t="str">
        <x:v>주문자=수취인 조건을 전체에 적용</x:v>
      </x:c>
      <x:c r="F22" s="64" t="str">
        <x:v>다르면 결제 불가</x:v>
      </x:c>
      <x:c r="G22" s="64" t="str">
        <x:v>동일인 조건은 CI 활용 주문기반 경로의 핵심이고 일반 PER은 다를 수 있음</x:v>
      </x:c>
      <x:c r="H22" s="64" t="str">
        <x:v>정상 선물/가족 주문 차단</x:v>
      </x:c>
      <x:c r="I22" s="64" t="str">
        <x:v>PER 유형별 UX·정책 분리</x:v>
      </x:c>
      <x:c r="J22" s="64" t="str">
        <x:v>사업/법무</x:v>
      </x:c>
      <x:c r="K22" s="64" t="str">
        <x:v>미착수</x:v>
      </x:c>
      <x:c r="L22" s="64" t="str"/>
      <x:c r="M22" s="64" t="str">
        <x:v>REST API v1.4.1 PER001</x:v>
      </x:c>
    </x:row>
    <x:row r="23" ht="58" customHeight="1">
      <x:c r="A23" s="63" t="str">
        <x:v>PER-07</x:v>
      </x:c>
      <x:c r="B23" s="63" t="str">
        <x:v>장애</x:v>
      </x:c>
      <x:c r="C23" s="63" t="str">
        <x:v>P1 높음</x:v>
      </x:c>
      <x:c r="D23" s="63" t="str">
        <x:v>부적합</x:v>
      </x:c>
      <x:c r="E23" s="64" t="str">
        <x:v>PER 장애 예외정책 부재</x:v>
      </x:c>
      <x:c r="F23" s="64" t="str">
        <x:v>API 실패 시 주문 전체 중단 또는 우회</x:v>
      </x:c>
      <x:c r="G23" s="64" t="str">
        <x:v>공식 부록은 장애 중 주문 후 사후 PER003·TRA 지연 가능성을 안내</x:v>
      </x:c>
      <x:c r="H23" s="64" t="str">
        <x:v>과차단 또는 무검증 진행</x:v>
      </x:c>
      <x:c r="I23" s="64" t="str">
        <x:v>서면 허용범위와 보류 SLA 정의</x:v>
      </x:c>
      <x:c r="J23" s="64" t="str">
        <x:v>사업/Geek</x:v>
      </x:c>
      <x:c r="K23" s="64" t="str">
        <x:v>미착수</x:v>
      </x:c>
      <x:c r="L23" s="64" t="str"/>
      <x:c r="M23" s="64" t="str">
        <x:v>REST API v1.4.1 부록</x:v>
      </x:c>
    </x:row>
    <x:row r="24" ht="58" customHeight="1">
      <x:c r="A24" s="61" t="str">
        <x:v>DATA-01</x:v>
      </x:c>
      <x:c r="B24" s="61" t="str">
        <x:v>가격</x:v>
      </x:c>
      <x:c r="C24" s="61" t="str">
        <x:v>P0 치명</x:v>
      </x:c>
      <x:c r="D24" s="61" t="str">
        <x:v>부적합</x:v>
      </x:c>
      <x:c r="E24" s="62" t="str">
        <x:v>고객결제가와 조달/신고가 혼용</x:v>
      </x:c>
      <x:c r="F24" s="62" t="str">
        <x:v>Giant unitPrice/totalValueUsd를 TRA에 사용</x:v>
      </x:c>
      <x:c r="G24" s="62" t="str">
        <x:v>TRA는 구매자 실제 거래금액 의미</x:v>
      </x:c>
      <x:c r="H24" s="62" t="str">
        <x:v>허위 거래정보·세금/민원 위험</x:v>
      </x:c>
      <x:c r="I24" s="62" t="str">
        <x:v>고객거래/조달/신고 3원장 분리</x:v>
      </x:c>
      <x:c r="J24" s="62" t="str">
        <x:v>재무/사업</x:v>
      </x:c>
      <x:c r="K24" s="62" t="str">
        <x:v>미착수</x:v>
      </x:c>
      <x:c r="L24" s="62" t="str"/>
      <x:c r="M24" s="62" t="str">
        <x:v>API 규격·화면 캡처 10~13</x:v>
      </x:c>
    </x:row>
    <x:row r="25" ht="58" customHeight="1">
      <x:c r="A25" s="61" t="str">
        <x:v>DATA-02</x:v>
      </x:c>
      <x:c r="B25" s="61" t="str">
        <x:v>통화</x:v>
      </x:c>
      <x:c r="C25" s="61" t="str">
        <x:v>P0 치명</x:v>
      </x:c>
      <x:c r="D25" s="61" t="str">
        <x:v>부적합</x:v>
      </x:c>
      <x:c r="E25" s="62" t="str">
        <x:v>USD 고정 주입</x:v>
      </x:c>
      <x:c r="F25" s="62" t="str">
        <x:v>금액 통화를 전부 USD로 전송</x:v>
      </x:c>
      <x:c r="G25" s="62" t="str">
        <x:v>실제 주문 화면은 KRW 결제도 존재</x:v>
      </x:c>
      <x:c r="H25" s="62" t="str">
        <x:v>금액 의미 왜곡</x:v>
      </x:c>
      <x:c r="I25" s="62" t="str">
        <x:v>결제 원통화·금액 보존, 별도 환산값 관리</x:v>
      </x:c>
      <x:c r="J25" s="62" t="str">
        <x:v>재무/Dongshu</x:v>
      </x:c>
      <x:c r="K25" s="62" t="str">
        <x:v>미착수</x:v>
      </x:c>
      <x:c r="L25" s="62" t="str"/>
      <x:c r="M25" s="62" t="str">
        <x:v>상세매핑 v3·화면 캡처</x:v>
      </x:c>
    </x:row>
    <x:row r="26" ht="58" customHeight="1">
      <x:c r="A26" s="63" t="str">
        <x:v>DATA-03</x:v>
      </x:c>
      <x:c r="B26" s="63" t="str">
        <x:v>할인</x:v>
      </x:c>
      <x:c r="C26" s="63" t="str">
        <x:v>P1 높음</x:v>
      </x:c>
      <x:c r="D26" s="63" t="str">
        <x:v>부적합</x:v>
      </x:c>
      <x:c r="E26" s="64" t="str">
        <x:v>ord_amt 할인 미반영</x:v>
      </x:c>
      <x:c r="F26" s="64" t="str">
        <x:v>qty × unitPrice</x:v>
      </x:c>
      <x:c r="G26" s="64" t="str">
        <x:v>공식 정의는 상품 할인 차감 금액</x:v>
      </x:c>
      <x:c r="H26" s="64" t="str">
        <x:v>상품합계와 결제합계 불일치</x:v>
      </x:c>
      <x:c r="I26" s="64" t="str">
        <x:v>상품/주문 할인 배분·반올림 규칙</x:v>
      </x:c>
      <x:c r="J26" s="64" t="str">
        <x:v>재무/Geek</x:v>
      </x:c>
      <x:c r="K26" s="64" t="str">
        <x:v>미착수</x:v>
      </x:c>
      <x:c r="L26" s="64" t="str"/>
      <x:c r="M26" s="64" t="str">
        <x:v>REST API v1.4.1 Product</x:v>
      </x:c>
    </x:row>
    <x:row r="27" ht="58" customHeight="1">
      <x:c r="A27" s="63" t="str">
        <x:v>DATA-04</x:v>
      </x:c>
      <x:c r="B27" s="63" t="str">
        <x:v>가격</x:v>
      </x:c>
      <x:c r="C27" s="63" t="str">
        <x:v>P1 높음</x:v>
      </x:c>
      <x:c r="D27" s="63" t="str">
        <x:v>부적합</x:v>
      </x:c>
      <x:c r="E27" s="64" t="str">
        <x:v>동일 거래군 값 차이 미대사</x:v>
      </x:c>
      <x:c r="F27" s="64" t="str">
        <x:v>0.18, 17.676, 17.68, 53.028 USD 및 93,000 KRW 병존</x:v>
      </x:c>
      <x:c r="G27" s="64" t="str">
        <x:v>화면별 값의 원천·시점·의미가 다름</x:v>
      </x:c>
      <x:c r="H27" s="64" t="str">
        <x:v>설명 불가능한 신고값</x:v>
      </x:c>
      <x:c r="I27" s="64" t="str">
        <x:v>원천 필드와 계산식별 샘플 100건 대사</x:v>
      </x:c>
      <x:c r="J27" s="64" t="str">
        <x:v>재무</x:v>
      </x:c>
      <x:c r="K27" s="64" t="str">
        <x:v>미착수</x:v>
      </x:c>
      <x:c r="L27" s="64" t="str"/>
      <x:c r="M27" s="64" t="str">
        <x:v>화면 캡처 10~13</x:v>
      </x:c>
    </x:row>
    <x:row r="28" ht="58" customHeight="1">
      <x:c r="A28" s="65" t="str">
        <x:v>DATA-05</x:v>
      </x:c>
      <x:c r="B28" s="65" t="str">
        <x:v>카테고리</x:v>
      </x:c>
      <x:c r="C28" s="65" t="str">
        <x:v>P2 중간</x:v>
      </x:c>
      <x:c r="D28" s="65" t="str">
        <x:v>보완 필요</x:v>
      </x:c>
      <x:c r="E28" s="66" t="str">
        <x:v>현재 상품DB 카테고리 사용 가능성</x:v>
      </x:c>
      <x:c r="F28" s="66" t="str">
        <x:v>Dongshu 현행 분류를 역조회</x:v>
      </x:c>
      <x:c r="G28" s="66" t="str">
        <x:v>구매 후 상품분류 변경 가능</x:v>
      </x:c>
      <x:c r="H28" s="66" t="str">
        <x:v>주문시점 정보와 불일치</x:v>
      </x:c>
      <x:c r="I28" s="66" t="str">
        <x:v>주문시점 1·2차 분류 스냅샷</x:v>
      </x:c>
      <x:c r="J28" s="66" t="str">
        <x:v>Dongshu</x:v>
      </x:c>
      <x:c r="K28" s="66" t="str">
        <x:v>미착수</x:v>
      </x:c>
      <x:c r="L28" s="66" t="str"/>
      <x:c r="M28" s="66" t="str">
        <x:v>상세매핑 v3</x:v>
      </x:c>
    </x:row>
    <x:row r="29" ht="58" customHeight="1">
      <x:c r="A29" s="63" t="str">
        <x:v>DATA-06</x:v>
      </x:c>
      <x:c r="B29" s="63" t="str">
        <x:v>상품순번</x:v>
      </x:c>
      <x:c r="C29" s="63" t="str">
        <x:v>P1 높음</x:v>
      </x:c>
      <x:c r="D29" s="63" t="str">
        <x:v>부적합</x:v>
      </x:c>
      <x:c r="E29" s="64" t="str">
        <x:v>상품순번 안정성 미보장</x:v>
      </x:c>
      <x:c r="F29" s="64" t="str">
        <x:v>WMS API 순서를 그대로 사용</x:v>
      </x:c>
      <x:c r="G29" s="64" t="str">
        <x:v>재호출·부분출고 시 순서가 변하면 오류 계보 단절</x:v>
      </x:c>
      <x:c r="H29" s="64" t="str">
        <x:v>오류 상품 오수정</x:v>
      </x:c>
      <x:c r="I29" s="64" t="str">
        <x:v>주문상품 불변키와 prod_srno 매핑 테이블</x:v>
      </x:c>
      <x:c r="J29" s="64" t="str">
        <x:v>Dongshu/Geek</x:v>
      </x:c>
      <x:c r="K29" s="64" t="str">
        <x:v>미착수</x:v>
      </x:c>
      <x:c r="L29" s="64" t="str"/>
      <x:c r="M29" s="64" t="str">
        <x:v>상세매핑 v3</x:v>
      </x:c>
    </x:row>
    <x:row r="30" ht="58" customHeight="1">
      <x:c r="A30" s="63" t="str">
        <x:v>DATA-07</x:v>
      </x:c>
      <x:c r="B30" s="63" t="str">
        <x:v>세트상품</x:v>
      </x:c>
      <x:c r="C30" s="63" t="str">
        <x:v>P1 높음</x:v>
      </x:c>
      <x:c r="D30" s="63" t="str">
        <x:v>부적합</x:v>
      </x:c>
      <x:c r="E30" s="64" t="str">
        <x:v>묶음을 물리 구성품으로만 분할</x:v>
      </x:c>
      <x:c r="F30" s="64" t="str">
        <x:v>포장상품 기준으로 상품명·가격 변경</x:v>
      </x:c>
      <x:c r="G30" s="64" t="str">
        <x:v>공식 상품명은 인터넷 게시 주문상품 의미</x:v>
      </x:c>
      <x:c r="H30" s="64" t="str">
        <x:v>고객거래와 신고 품목 불일치</x:v>
      </x:c>
      <x:c r="I30" s="64" t="str">
        <x:v>판매묶음/물리구성 이중모델·금액배분·서면확인</x:v>
      </x:c>
      <x:c r="J30" s="64" t="str">
        <x:v>사업/통관</x:v>
      </x:c>
      <x:c r="K30" s="64" t="str">
        <x:v>미착수</x:v>
      </x:c>
      <x:c r="L30" s="64" t="str"/>
      <x:c r="M30" s="64" t="str">
        <x:v>기획·메신저</x:v>
      </x:c>
    </x:row>
    <x:row r="31" ht="58" customHeight="1">
      <x:c r="A31" s="63" t="str">
        <x:v>DATA-08</x:v>
      </x:c>
      <x:c r="B31" s="63" t="str">
        <x:v>혼합주문</x:v>
      </x:c>
      <x:c r="C31" s="63" t="str">
        <x:v>P1 높음</x:v>
      </x:c>
      <x:c r="D31" s="63" t="str">
        <x:v>부적합</x:v>
      </x:c>
      <x:c r="E31" s="64" t="str">
        <x:v>국내/해외 혼합 수량 규칙 미확정</x:v>
      </x:c>
      <x:c r="F31" s="64" t="str">
        <x:v>금액만 국내상품 제외</x:v>
      </x:c>
      <x:c r="G31" s="64" t="str">
        <x:v>tot_ord_prod_qty의 범위가 기획에 없음</x:v>
      </x:c>
      <x:c r="H31" s="64" t="str">
        <x:v>합계 검증 오류</x:v>
      </x:c>
      <x:c r="I31" s="64" t="str">
        <x:v>관세청 공식질의 후 테스트 고정</x:v>
      </x:c>
      <x:c r="J31" s="64" t="str">
        <x:v>통관</x:v>
      </x:c>
      <x:c r="K31" s="64" t="str">
        <x:v>미착수</x:v>
      </x:c>
      <x:c r="L31" s="64" t="str"/>
      <x:c r="M31" s="64" t="str">
        <x:v>REST API v1.4.1</x:v>
      </x:c>
    </x:row>
    <x:row r="32" ht="58" customHeight="1">
      <x:c r="A32" s="61" t="str">
        <x:v>DATA-09</x:v>
      </x:c>
      <x:c r="B32" s="61" t="str">
        <x:v>판매유형</x:v>
      </x:c>
      <x:c r="C32" s="61" t="str">
        <x:v>P0 치명</x:v>
      </x:c>
      <x:c r="D32" s="61" t="str">
        <x:v>부적합</x:v>
      </x:c>
      <x:c r="E32" s="62" t="str">
        <x:v>채널만으로 A/B 고정</x:v>
      </x:c>
      <x:c r="F32" s="62" t="str">
        <x:v>자사몰 A, 외부채널 B</x:v>
      </x:c>
      <x:c r="G32" s="62" t="str">
        <x:v>A/B/C는 실질 거래역할 기준</x:v>
      </x:c>
      <x:c r="H32" s="62" t="str">
        <x:v>조건부 필드·책임주체 오신고</x:v>
      </x:c>
      <x:c r="I32" s="62" t="str">
        <x:v>채널별 판매자/대금/약관/통관 역할 승인표</x:v>
      </x:c>
      <x:c r="J32" s="62" t="str">
        <x:v>법무/사업</x:v>
      </x:c>
      <x:c r="K32" s="62" t="str">
        <x:v>미착수</x:v>
      </x:c>
      <x:c r="L32" s="62" t="str"/>
      <x:c r="M32" s="62" t="str">
        <x:v>유형코드 정리·API 규격</x:v>
      </x:c>
    </x:row>
    <x:row r="33" ht="58" customHeight="1">
      <x:c r="A33" s="63" t="str">
        <x:v>DATA-10</x:v>
      </x:c>
      <x:c r="B33" s="63" t="str">
        <x:v>판매자</x:v>
      </x:c>
      <x:c r="C33" s="63" t="str">
        <x:v>P1 높음</x:v>
      </x:c>
      <x:c r="D33" s="63" t="str">
        <x:v>부적합</x:v>
      </x:c>
      <x:c r="E33" s="64" t="str">
        <x:v>대표 URL과 판매자 식별을 혼용</x:v>
      </x:c>
      <x:c r="F33" s="64" t="str">
        <x:v>채널 대표 도메인으로 판매기업도 추정</x:v>
      </x:c>
      <x:c r="G33" s="64" t="str">
        <x:v>페이지 소유자와 법적 판매자가 다를 수 있음</x:v>
      </x:c>
      <x:c r="H33" s="64" t="str">
        <x:v>판매기업 오신고</x:v>
      </x:c>
      <x:c r="I33" s="64" t="str">
        <x:v>seller-of-record 별도 마스터와 주문스냅샷</x:v>
      </x:c>
      <x:c r="J33" s="64" t="str">
        <x:v>사업</x:v>
      </x:c>
      <x:c r="K33" s="64" t="str">
        <x:v>미착수</x:v>
      </x:c>
      <x:c r="L33" s="64" t="str"/>
      <x:c r="M33" s="64" t="str">
        <x:v>기획·도메인모음.xlsx</x:v>
      </x:c>
    </x:row>
    <x:row r="34" ht="58" customHeight="1">
      <x:c r="A34" s="61" t="str">
        <x:v>OPS-01</x:v>
      </x:c>
      <x:c r="B34" s="61" t="str">
        <x:v>상태</x:v>
      </x:c>
      <x:c r="C34" s="61" t="str">
        <x:v>P0 치명</x:v>
      </x:c>
      <x:c r="D34" s="61" t="str">
        <x:v>부적합</x:v>
      </x:c>
      <x:c r="E34" s="62" t="str">
        <x:v>TRA 성공을 항공출발로 표시</x:v>
      </x:c>
      <x:c r="F34" s="62" t="str">
        <x:v>g5 항공 출발 상태 자동전이</x:v>
      </x:c>
      <x:c r="G34" s="62" t="str">
        <x:v>TRA는 데이터 등록 상태일 뿐 물리 이벤트가 아님</x:v>
      </x:c>
      <x:c r="H34" s="62" t="str">
        <x:v>고객 오안내·운영 통제 실패</x:v>
      </x:c>
      <x:c r="I34" s="62" t="str">
        <x:v>TRA_ACCEPTED와 PHYSICAL_DEPARTED 분리</x:v>
      </x:c>
      <x:c r="J34" s="62" t="str">
        <x:v>Geek/Giant</x:v>
      </x:c>
      <x:c r="K34" s="62" t="str">
        <x:v>미착수</x:v>
      </x:c>
      <x:c r="L34" s="62" t="str"/>
      <x:c r="M34" s="62" t="str">
        <x:v>planning_v5</x:v>
      </x:c>
    </x:row>
    <x:row r="35" ht="58" customHeight="1">
      <x:c r="A35" s="61" t="str">
        <x:v>OPS-02</x:v>
      </x:c>
      <x:c r="B35" s="61" t="str">
        <x:v>삭제</x:v>
      </x:c>
      <x:c r="C35" s="61" t="str">
        <x:v>P0 치명</x:v>
      </x:c>
      <x:c r="D35" s="61" t="str">
        <x:v>부적합</x:v>
      </x:c>
      <x:c r="E35" s="62" t="str">
        <x:v>오류 시 ERP 주문삭제</x:v>
      </x:c>
      <x:c r="F35" s="62" t="str">
        <x:v>통관 오류 하나면 주문 삭제 API 호출</x:v>
      </x:c>
      <x:c r="G35" s="62" t="str">
        <x:v>외부 삭제 API는 1건 단위이며 오류 수정과 주문취소는 다른 행위</x:v>
      </x:c>
      <x:c r="H35" s="62" t="str">
        <x:v>주문·회계·민원 기록 손실</x:v>
      </x:c>
      <x:c r="I35" s="62" t="str">
        <x:v>삭제 금지, 보류/격리/승인취소 절차</x:v>
      </x:c>
      <x:c r="J35" s="62" t="str">
        <x:v>사업/Geek</x:v>
      </x:c>
      <x:c r="K35" s="62" t="str">
        <x:v>미착수</x:v>
      </x:c>
      <x:c r="L35" s="62" t="str"/>
      <x:c r="M35" s="62" t="str">
        <x:v>메신저 삭제 API 설명</x:v>
      </x:c>
    </x:row>
    <x:row r="36" ht="58" customHeight="1">
      <x:c r="A36" s="63" t="str">
        <x:v>OPS-03</x:v>
      </x:c>
      <x:c r="B36" s="63" t="str">
        <x:v>HBL</x:v>
      </x:c>
      <x:c r="C36" s="63" t="str">
        <x:v>P1 높음</x:v>
      </x:c>
      <x:c r="D36" s="63" t="str">
        <x:v>부적합</x:v>
      </x:c>
      <x:c r="E36" s="64" t="str">
        <x:v>HBL 24시간 후 소멸 주장 미검증</x:v>
      </x:c>
      <x:c r="F36" s="64" t="str">
        <x:v>정해진 시간 안에 수집하지 못하면 없음</x:v>
      </x:c>
      <x:c r="G36" s="64" t="str">
        <x:v>공식 Giant 문서/SLA 미제공</x:v>
      </x:c>
      <x:c r="H36" s="64" t="str">
        <x:v>주문 영구 미매칭</x:v>
      </x:c>
      <x:c r="I36" s="64" t="str">
        <x:v>조회가능기간·변경이력·재조회 SLA 서면확보</x:v>
      </x:c>
      <x:c r="J36" s="64" t="str">
        <x:v>Giant</x:v>
      </x:c>
      <x:c r="K36" s="64" t="str">
        <x:v>미착수</x:v>
      </x:c>
      <x:c r="L36" s="64" t="str"/>
      <x:c r="M36" s="64" t="str">
        <x:v>메신저</x:v>
      </x:c>
    </x:row>
    <x:row r="37" ht="58" customHeight="1">
      <x:c r="A37" s="61" t="str">
        <x:v>OPS-04</x:v>
      </x:c>
      <x:c r="B37" s="61" t="str">
        <x:v>대량처리</x:v>
      </x:c>
      <x:c r="C37" s="61" t="str">
        <x:v>P0 치명</x:v>
      </x:c>
      <x:c r="D37" s="61" t="str">
        <x:v>부적합</x:v>
      </x:c>
      <x:c r="E37" s="62" t="str">
        <x:v>엑셀 업로드가 전체 대기열 전송</x:v>
      </x:c>
      <x:c r="F37" s="62" t="str">
        <x:v>선택 주문이 아니라 미제출 전체를 플러시</x:v>
      </x:c>
      <x:c r="G37" s="62" t="str">
        <x:v>화면 행위와 실제 영향 범위 불일치</x:v>
      </x:c>
      <x:c r="H37" s="62" t="str">
        <x:v>대량 오전송</x:v>
      </x:c>
      <x:c r="I37" s="62" t="str">
        <x:v>사전건수·선택범위·2인 승인·취소/롤백</x:v>
      </x:c>
      <x:c r="J37" s="62" t="str">
        <x:v>Geek</x:v>
      </x:c>
      <x:c r="K37" s="62" t="str">
        <x:v>미착수</x:v>
      </x:c>
      <x:c r="L37" s="62" t="str"/>
      <x:c r="M37" s="62" t="str">
        <x:v>개발협의 로그</x:v>
      </x:c>
    </x:row>
    <x:row r="38" ht="58" customHeight="1">
      <x:c r="A38" s="61" t="str">
        <x:v>OPS-05</x:v>
      </x:c>
      <x:c r="B38" s="61" t="str">
        <x:v>테스트</x:v>
      </x:c>
      <x:c r="C38" s="61" t="str">
        <x:v>P0 치명</x:v>
      </x:c>
      <x:c r="D38" s="61" t="str">
        <x:v>부적합</x:v>
      </x:c>
      <x:c r="E38" s="62" t="str">
        <x:v>운영 허위주문 테스트</x:v>
      </x:c>
      <x:c r="F38" s="62" t="str">
        <x:v>가상 주문은 자동 삭제된다고 가정</x:v>
      </x:c>
      <x:c r="G38" s="62" t="str">
        <x:v>관세청 승인·자동삭제 근거 없음</x:v>
      </x:c>
      <x:c r="H38" s="62" t="str">
        <x:v>허위 정보·개인정보·물류 실행</x:v>
      </x:c>
      <x:c r="I38" s="62" t="str">
        <x:v>공식 파일럿/테스트 환경과 승인된 데이터만 사용</x:v>
      </x:c>
      <x:c r="J38" s="62" t="str">
        <x:v>사업/통관</x:v>
      </x:c>
      <x:c r="K38" s="62" t="str">
        <x:v>미착수</x:v>
      </x:c>
      <x:c r="L38" s="62" t="str"/>
      <x:c r="M38" s="62" t="str">
        <x:v>메신저·관세청 공지</x:v>
      </x:c>
    </x:row>
    <x:row r="39" ht="58" customHeight="1">
      <x:c r="A39" s="63" t="str">
        <x:v>OPS-06</x:v>
      </x:c>
      <x:c r="B39" s="63" t="str">
        <x:v>출고게이트</x:v>
      </x:c>
      <x:c r="C39" s="63" t="str">
        <x:v>P1 높음</x:v>
      </x:c>
      <x:c r="D39" s="63" t="str">
        <x:v>부적합</x:v>
      </x:c>
      <x:c r="E39" s="64" t="str">
        <x:v>창고 출고와 TRA 검증의 하드게이트 부재</x:v>
      </x:c>
      <x:c r="F39" s="64" t="str">
        <x:v>시간대 배치로 느슨하게 연계</x:v>
      </x:c>
      <x:c r="G39" s="64" t="str">
        <x:v>미검증 주문 물리출고 가능</x:v>
      </x:c>
      <x:c r="H39" s="64" t="str">
        <x:v>되돌릴 수 없는 출고</x:v>
      </x:c>
      <x:c r="I39" s="64" t="str">
        <x:v>TRA_ACCEPTED 전 출고잠금과 예외 2인 승인</x:v>
      </x:c>
      <x:c r="J39" s="64" t="str">
        <x:v>운영/Geek</x:v>
      </x:c>
      <x:c r="K39" s="64" t="str">
        <x:v>미착수</x:v>
      </x:c>
      <x:c r="L39" s="64" t="str"/>
      <x:c r="M39" s="64" t="str">
        <x:v>planning_v5</x:v>
      </x:c>
    </x:row>
    <x:row r="40" ht="58" customHeight="1">
      <x:c r="A40" s="63" t="str">
        <x:v>OPS-07</x:v>
      </x:c>
      <x:c r="B40" s="63" t="str">
        <x:v>취소</x:v>
      </x:c>
      <x:c r="C40" s="63" t="str">
        <x:v>P1 높음</x:v>
      </x:c>
      <x:c r="D40" s="63" t="str">
        <x:v>부적합</x:v>
      </x:c>
      <x:c r="E40" s="64" t="str">
        <x:v>초기단계 취소 제한이 화면에서 불명확</x:v>
      </x:c>
      <x:c r="F40" s="64" t="str">
        <x:v>g1 이후 고객취소 불가 취급</x:v>
      </x:c>
      <x:c r="G40" s="64" t="str">
        <x:v>실제 출고 전 상태와 법적 청약철회는 별개</x:v>
      </x:c>
      <x:c r="H40" s="64" t="str">
        <x:v>소비자분쟁</x:v>
      </x:c>
      <x:c r="I40" s="64" t="str">
        <x:v>취소 가능성·실비·법정 제한을 상태별 명시</x:v>
      </x:c>
      <x:c r="J40" s="64" t="str">
        <x:v>CS/법무</x:v>
      </x:c>
      <x:c r="K40" s="64" t="str">
        <x:v>미착수</x:v>
      </x:c>
      <x:c r="L40" s="64" t="str"/>
      <x:c r="M40" s="64" t="str">
        <x:v>기획·개인정보/약관</x:v>
      </x:c>
    </x:row>
    <x:row r="41" ht="58" customHeight="1">
      <x:c r="A41" s="63" t="str">
        <x:v>OPS-08</x:v>
      </x:c>
      <x:c r="B41" s="63" t="str">
        <x:v>감사</x:v>
      </x:c>
      <x:c r="C41" s="63" t="str">
        <x:v>P1 높음</x:v>
      </x:c>
      <x:c r="D41" s="63" t="str">
        <x:v>부적합</x:v>
      </x:c>
      <x:c r="E41" s="64" t="str">
        <x:v>멱등·대사·감사로그 미정의</x:v>
      </x:c>
      <x:c r="F41" s="64" t="str">
        <x:v>API 호출 성공 여부만 단기 보관</x:v>
      </x:c>
      <x:c r="G41" s="64" t="str">
        <x:v>다중 시스템 값 변경과 재제출 추적 필요</x:v>
      </x:c>
      <x:c r="H41" s="64" t="str">
        <x:v>중복/누락 원인 규명 불가</x:v>
      </x:c>
      <x:c r="I41" s="64" t="str">
        <x:v>원문 payload 해시·응답·버전·운영자·대사결과 저장</x:v>
      </x:c>
      <x:c r="J41" s="64" t="str">
        <x:v>Geek</x:v>
      </x:c>
      <x:c r="K41" s="64" t="str">
        <x:v>미착수</x:v>
      </x:c>
      <x:c r="L41" s="64" t="str"/>
      <x:c r="M41" s="64" t="str">
        <x:v>전체 기획</x:v>
      </x:c>
    </x:row>
    <x:row r="42" ht="58" customHeight="1">
      <x:c r="A42" s="61" t="str">
        <x:v>LAW-01</x:v>
      </x:c>
      <x:c r="B42" s="61" t="str">
        <x:v>법적근거</x:v>
      </x:c>
      <x:c r="C42" s="61" t="str">
        <x:v>P0 치명</x:v>
      </x:c>
      <x:c r="D42" s="61" t="str">
        <x:v>부적합</x:v>
      </x:c>
      <x:c r="E42" s="62" t="str">
        <x:v>팝업에 관세법 제254조의2·시행령 289조 인용</x:v>
      </x:c>
      <x:c r="F42" s="62" t="str">
        <x:v>본문과 팝업의 조문이 다름</x:v>
      </x:c>
      <x:c r="G42" s="62" t="str">
        <x:v>현행 거래정보 근거는 관세법 254(2)(3), 시행령 258</x:v>
      </x:c>
      <x:c r="H42" s="62" t="str">
        <x:v>허위·오인 고지</x:v>
      </x:c>
      <x:c r="I42" s="62" t="str">
        <x:v>모든 화면·정책·동의문 동시 교정</x:v>
      </x:c>
      <x:c r="J42" s="62" t="str">
        <x:v>법무</x:v>
      </x:c>
      <x:c r="K42" s="62" t="str">
        <x:v>미착수</x:v>
      </x:c>
      <x:c r="L42" s="62" t="str"/>
      <x:c r="M42" s="62" t="str">
        <x:v>개인정보 HTML·법무검토 DOCX</x:v>
      </x:c>
    </x:row>
    <x:row r="43" ht="58" customHeight="1">
      <x:c r="A43" s="61" t="str">
        <x:v>LAW-02</x:v>
      </x:c>
      <x:c r="B43" s="61" t="str">
        <x:v>보유기간</x:v>
      </x:c>
      <x:c r="C43" s="61" t="str">
        <x:v>P0 치명</x:v>
      </x:c>
      <x:c r="D43" s="61" t="str">
        <x:v>부적합</x:v>
      </x:c>
      <x:c r="E43" s="62" t="str">
        <x:v>시행령 258(7)을 관세청 보유기간으로 해석</x:v>
      </x:c>
      <x:c r="F43" s="62" t="str">
        <x:v>제공기간을 보유기간 근거로 기재</x:v>
      </x:c>
      <x:c r="G43" s="62" t="str">
        <x:v>258(7)은 주문/결제완료부터 수입신고 전 제공창구</x:v>
      </x:c>
      <x:c r="H43" s="62" t="str">
        <x:v>잘못된 보유근거</x:v>
      </x:c>
      <x:c r="I43" s="62" t="str">
        <x:v>보유근거를 데이터 주체별 별도 확정</x:v>
      </x:c>
      <x:c r="J43" s="62" t="str">
        <x:v>법무/DPO</x:v>
      </x:c>
      <x:c r="K43" s="62" t="str">
        <x:v>미착수</x:v>
      </x:c>
      <x:c r="L43" s="62" t="str"/>
      <x:c r="M43" s="62" t="str">
        <x:v>법무검토 DOCX·현행 시행령</x:v>
      </x:c>
    </x:row>
    <x:row r="44" ht="58" customHeight="1">
      <x:c r="A44" s="61" t="str">
        <x:v>LAW-03</x:v>
      </x:c>
      <x:c r="B44" s="61" t="str">
        <x:v>보유기간</x:v>
      </x:c>
      <x:c r="C44" s="61" t="str">
        <x:v>P0 치명</x:v>
      </x:c>
      <x:c r="D44" s="61" t="str">
        <x:v>부적합</x:v>
      </x:c>
      <x:c r="E44" s="62" t="str">
        <x:v>즉시삭제와 회원탈퇴까지 보관이 동시 기재</x:v>
      </x:c>
      <x:c r="F44" s="62" t="str">
        <x:v>PCCC/CI/OTP 정책이 상충</x:v>
      </x:c>
      <x:c r="G44" s="62" t="str">
        <x:v>실제 시스템 보유와 고지가 일치해야 함</x:v>
      </x:c>
      <x:c r="H44" s="62" t="str">
        <x:v>과다보유 또는 허위고지</x:v>
      </x:c>
      <x:c r="I44" s="62" t="str">
        <x:v>항목별 시스템 위치·목적·기간·파기 트리거 단일표</x:v>
      </x:c>
      <x:c r="J44" s="62" t="str">
        <x:v>DPO/Geek</x:v>
      </x:c>
      <x:c r="K44" s="62" t="str">
        <x:v>미착수</x:v>
      </x:c>
      <x:c r="L44" s="62" t="str"/>
      <x:c r="M44" s="62" t="str">
        <x:v>privacy_policy_final.html</x:v>
      </x:c>
    </x:row>
    <x:row r="45" ht="58" customHeight="1">
      <x:c r="A45" s="63" t="str">
        <x:v>LAW-04</x:v>
      </x:c>
      <x:c r="B45" s="63" t="str">
        <x:v>최소수집</x:v>
      </x:c>
      <x:c r="C45" s="63" t="str">
        <x:v>P1 높음</x:v>
      </x:c>
      <x:c r="D45" s="63" t="str">
        <x:v>부적합</x:v>
      </x:c>
      <x:c r="E45" s="64" t="str">
        <x:v>모든 해외주문에 CI 필수</x:v>
      </x:c>
      <x:c r="F45" s="64" t="str">
        <x:v>일반 PER에도 CI 수집</x:v>
      </x:c>
      <x:c r="G45" s="64" t="str">
        <x:v>PIPA 최소수집, 일반 PER은 CI 불필요</x:v>
      </x:c>
      <x:c r="H45" s="64" t="str">
        <x:v>과다수집·대체수단 부재</x:v>
      </x:c>
      <x:c r="I45" s="64" t="str">
        <x:v>CI 없는 일반 PER을 기본으로 검토</x:v>
      </x:c>
      <x:c r="J45" s="64" t="str">
        <x:v>법무/DPO</x:v>
      </x:c>
      <x:c r="K45" s="64" t="str">
        <x:v>미착수</x:v>
      </x:c>
      <x:c r="L45" s="64" t="str"/>
      <x:c r="M45" s="64" t="str">
        <x:v>PIPA 16조·REST API</x:v>
      </x:c>
    </x:row>
    <x:row r="46" ht="58" customHeight="1">
      <x:c r="A46" s="61" t="str">
        <x:v>LAW-05</x:v>
      </x:c>
      <x:c r="B46" s="61" t="str">
        <x:v>국외이전</x:v>
      </x:c>
      <x:c r="C46" s="61" t="str">
        <x:v>P0 치명</x:v>
      </x:c>
      <x:c r="D46" s="61" t="str">
        <x:v>부적합</x:v>
      </x:c>
      <x:c r="E46" s="62" t="str">
        <x:v>국외 수령자 연락처·거부방법 부족</x:v>
      </x:c>
      <x:c r="F46" s="62" t="str">
        <x:v>Yantai 등 명칭과 회원탈퇴만 안내</x:v>
      </x:c>
      <x:c r="G46" s="62" t="str">
        <x:v>PIPA 28-8 고지요건은 국가·시기/방법·목적·기간·거부방법/효과 등</x:v>
      </x:c>
      <x:c r="H46" s="62" t="str">
        <x:v>동의/고지 하자</x:v>
      </x:c>
      <x:c r="I46" s="62" t="str">
        <x:v>법인명·연락처·주문별 거부 대안 명시</x:v>
      </x:c>
      <x:c r="J46" s="62" t="str">
        <x:v>법무/DPO</x:v>
      </x:c>
      <x:c r="K46" s="62" t="str">
        <x:v>미착수</x:v>
      </x:c>
      <x:c r="L46" s="62" t="str"/>
      <x:c r="M46" s="62" t="str">
        <x:v>PIPA 28-8·privacy_policy_final</x:v>
      </x:c>
    </x:row>
    <x:row r="47" ht="58" customHeight="1">
      <x:c r="A47" s="63" t="str">
        <x:v>LAW-06</x:v>
      </x:c>
      <x:c r="B47" s="63" t="str">
        <x:v>위탁</x:v>
      </x:c>
      <x:c r="C47" s="63" t="str">
        <x:v>P1 높음</x:v>
      </x:c>
      <x:c r="D47" s="63" t="str">
        <x:v>부적합</x:v>
      </x:c>
      <x:c r="E47" s="64" t="str">
        <x:v>수탁자와 제3자 제공자를 묶음 표기</x:v>
      </x:c>
      <x:c r="F47" s="64" t="str">
        <x:v>Krone/배송사 등으로 포괄</x:v>
      </x:c>
      <x:c r="G47" s="64" t="str">
        <x:v>수탁자와 업무, 재위탁을 구체적으로 공개·관리해야 함</x:v>
      </x:c>
      <x:c r="H47" s="64" t="str">
        <x:v>역할/책임 불명확</x:v>
      </x:c>
      <x:c r="I47" s="64" t="str">
        <x:v>업체별 법적 역할·업무·재수탁 표 작성</x:v>
      </x:c>
      <x:c r="J47" s="64" t="str">
        <x:v>법무/DPO</x:v>
      </x:c>
      <x:c r="K47" s="64" t="str">
        <x:v>미착수</x:v>
      </x:c>
      <x:c r="L47" s="64" t="str"/>
      <x:c r="M47" s="64" t="str">
        <x:v>PIPA 26조</x:v>
      </x:c>
    </x:row>
    <x:row r="48" ht="58" customHeight="1">
      <x:c r="A48" s="61" t="str">
        <x:v>LAW-07</x:v>
      </x:c>
      <x:c r="B48" s="61" t="str">
        <x:v>청약철회</x:v>
      </x:c>
      <x:c r="C48" s="61" t="str">
        <x:v>P0 치명</x:v>
      </x:c>
      <x:c r="D48" s="61" t="str">
        <x:v>부적합</x:v>
      </x:c>
      <x:c r="E48" s="62" t="str">
        <x:v>해외배송 교환·환불 절대 불가</x:v>
      </x:c>
      <x:c r="F48" s="62" t="str">
        <x:v>모든 책임 고객 부담</x:v>
      </x:c>
      <x:c r="G48" s="62" t="str">
        <x:v>전자상거래법상 7일 철회와 계약불일치 시 별도 권리</x:v>
      </x:c>
      <x:c r="H48" s="62" t="str">
        <x:v>약관 무효·제재·분쟁</x:v>
      </x:c>
      <x:c r="I48" s="62" t="str">
        <x:v>법정 권리·제한사유·실비부담을 구분한 약관</x:v>
      </x:c>
      <x:c r="J48" s="62" t="str">
        <x:v>법무/CS</x:v>
      </x:c>
      <x:c r="K48" s="62" t="str">
        <x:v>미착수</x:v>
      </x:c>
      <x:c r="L48" s="62" t="str"/>
      <x:c r="M48" s="62" t="str">
        <x:v>공정위 공식 안내</x:v>
      </x:c>
    </x:row>
    <x:row r="49" ht="58" customHeight="1">
      <x:c r="A49" s="61" t="str">
        <x:v>LAW-08</x:v>
      </x:c>
      <x:c r="B49" s="61" t="str">
        <x:v>합산과세</x:v>
      </x:c>
      <x:c r="C49" s="61" t="str">
        <x:v>P0 치명</x:v>
      </x:c>
      <x:c r="D49" s="61" t="str">
        <x:v>부적합</x:v>
      </x:c>
      <x:c r="E49" s="62" t="str">
        <x:v>다른 판매자라도 같은 날 입항 시 합산</x:v>
      </x:c>
      <x:c r="F49" s="62" t="str">
        <x:v>구 기준 배너 유지</x:v>
      </x:c>
      <x:c r="G49" s="62" t="str">
        <x:v>2022-11-17부터 동일 입항일만으로 합산하지 않음</x:v>
      </x:c>
      <x:c r="H49" s="62" t="str">
        <x:v>고객 오안내</x:v>
      </x:c>
      <x:c r="I49" s="62" t="str">
        <x:v>현행 B/L·동일공급자/동일구매일 기준으로 교정</x:v>
      </x:c>
      <x:c r="J49" s="62" t="str">
        <x:v>통관/CS</x:v>
      </x:c>
      <x:c r="K49" s="62" t="str">
        <x:v>미착수</x:v>
      </x:c>
      <x:c r="L49" s="62" t="str"/>
      <x:c r="M49" s="62" t="str">
        <x:v>관세청 합산과세 개정 안내</x:v>
      </x:c>
    </x:row>
    <x:row r="50" ht="58" customHeight="1">
      <x:c r="A50" s="63" t="str">
        <x:v>CON-01</x:v>
      </x:c>
      <x:c r="B50" s="63" t="str">
        <x:v>계약</x:v>
      </x:c>
      <x:c r="C50" s="63" t="str">
        <x:v>P1 높음</x:v>
      </x:c>
      <x:c r="D50" s="63" t="str">
        <x:v>부적합</x:v>
      </x:c>
      <x:c r="E50" s="64" t="str">
        <x:v>계약 당사자 Krone/IBe 불일치</x:v>
      </x:c>
      <x:c r="F50" s="64" t="str">
        <x:v>본문 고객명과 서명 법인이 다름</x:v>
      </x:c>
      <x:c r="G50" s="64" t="str">
        <x:v>권리의무 귀속 불명확</x:v>
      </x:c>
      <x:c r="H50" s="64" t="str">
        <x:v>계약효력·대금 분쟁</x:v>
      </x:c>
      <x:c r="I50" s="64" t="str">
        <x:v>법인명·사업자번호·승계관계를 부속합의</x:v>
      </x:c>
      <x:c r="J50" s="64" t="str">
        <x:v>법무/구매</x:v>
      </x:c>
      <x:c r="K50" s="64" t="str">
        <x:v>미착수</x:v>
      </x:c>
      <x:c r="L50" s="64" t="str"/>
      <x:c r="M50" s="64" t="str">
        <x:v>개발계약서</x:v>
      </x:c>
    </x:row>
    <x:row r="51" ht="58" customHeight="1">
      <x:c r="A51" s="63" t="str">
        <x:v>CON-02</x:v>
      </x:c>
      <x:c r="B51" s="63" t="str">
        <x:v>계약</x:v>
      </x:c>
      <x:c r="C51" s="63" t="str">
        <x:v>P1 높음</x:v>
      </x:c>
      <x:c r="D51" s="63" t="str">
        <x:v>부적합</x:v>
      </x:c>
      <x:c r="E51" s="64" t="str">
        <x:v>잘못된 조문 상호참조</x:v>
      </x:c>
      <x:c r="F51" s="64" t="str">
        <x:v>제14조가 제8조/12조를 비밀/권리 조항으로 인용</x:v>
      </x:c>
      <x:c r="G51" s="64" t="str">
        <x:v>실제 제8조는 IP, 제12조는 하자보증, 권리침해는 제13조</x:v>
      </x:c>
      <x:c r="H51" s="64" t="str">
        <x:v>해석분쟁</x:v>
      </x:c>
      <x:c r="I51" s="64" t="str">
        <x:v>정정합의서로 조문번호 교정</x:v>
      </x:c>
      <x:c r="J51" s="64" t="str">
        <x:v>법무</x:v>
      </x:c>
      <x:c r="K51" s="64" t="str">
        <x:v>미착수</x:v>
      </x:c>
      <x:c r="L51" s="64" t="str"/>
      <x:c r="M51" s="64" t="str">
        <x:v>개발계약서</x:v>
      </x:c>
    </x:row>
    <x:row r="52" ht="58" customHeight="1">
      <x:c r="A52" s="63" t="str">
        <x:v>CON-03</x:v>
      </x:c>
      <x:c r="B52" s="63" t="str">
        <x:v>계약</x:v>
      </x:c>
      <x:c r="C52" s="63" t="str">
        <x:v>P1 높음</x:v>
      </x:c>
      <x:c r="D52" s="63" t="str">
        <x:v>부적합</x:v>
      </x:c>
      <x:c r="E52" s="64" t="str">
        <x:v>지연배상 3/1000 조항 중복</x:v>
      </x:c>
      <x:c r="F52" s="64" t="str">
        <x:v>제4조와 제9조에 각각 기재</x:v>
      </x:c>
      <x:c r="G52" s="64" t="str">
        <x:v>이중적용 가능성</x:v>
      </x:c>
      <x:c r="H52" s="64" t="str">
        <x:v>손해배상 분쟁</x:v>
      </x:c>
      <x:c r="I52" s="64" t="str">
        <x:v>적용관계·상한·기준금액을 단일조항화</x:v>
      </x:c>
      <x:c r="J52" s="64" t="str">
        <x:v>법무</x:v>
      </x:c>
      <x:c r="K52" s="64" t="str">
        <x:v>미착수</x:v>
      </x:c>
      <x:c r="L52" s="64" t="str"/>
      <x:c r="M52" s="64" t="str">
        <x:v>개발계약서</x:v>
      </x:c>
    </x:row>
    <x:row r="53" ht="58" customHeight="1">
      <x:c r="A53" s="63" t="str">
        <x:v>CON-04</x:v>
      </x:c>
      <x:c r="B53" s="63" t="str">
        <x:v>견적</x:v>
      </x:c>
      <x:c r="C53" s="63" t="str">
        <x:v>P1 높음</x:v>
      </x:c>
      <x:c r="D53" s="63" t="str">
        <x:v>부적합</x:v>
      </x:c>
      <x:c r="E53" s="64" t="str">
        <x:v>추가견적 표지와 합계 불일치</x:v>
      </x:c>
      <x:c r="F53" s="64" t="str">
        <x:v>4,800,000원 표기, 상세 4,865,538원</x:v>
      </x:c>
      <x:c r="G53" s="64" t="str">
        <x:v>동일 문서 내부 금액 모순</x:v>
      </x:c>
      <x:c r="H53" s="64" t="str">
        <x:v>청구/승인 분쟁</x:v>
      </x:c>
      <x:c r="I53" s="64" t="str">
        <x:v>산식·부가세·최종금액 재발행</x:v>
      </x:c>
      <x:c r="J53" s="64" t="str">
        <x:v>구매/Geek</x:v>
      </x:c>
      <x:c r="K53" s="64" t="str">
        <x:v>미착수</x:v>
      </x:c>
      <x:c r="L53" s="64" t="str"/>
      <x:c r="M53" s="64" t="str">
        <x:v>추가견적서</x:v>
      </x:c>
    </x:row>
    <x:row r="54" ht="58" customHeight="1">
      <x:c r="A54" s="63" t="str">
        <x:v>CON-05</x:v>
      </x:c>
      <x:c r="B54" s="63" t="str">
        <x:v>범위</x:v>
      </x:c>
      <x:c r="C54" s="63" t="str">
        <x:v>P1 높음</x:v>
      </x:c>
      <x:c r="D54" s="63" t="str">
        <x:v>부적합</x:v>
      </x:c>
      <x:c r="E54" s="64" t="str">
        <x:v>원견적과 추가견적 범위 중복</x:v>
      </x:c>
      <x:c r="F54" s="64" t="str">
        <x:v>TRA 결과/실패/관리자 기능 재청구 가능</x:v>
      </x:c>
      <x:c r="G54" s="64" t="str">
        <x:v>원견적 32,311,505원에 유사기능 포함</x:v>
      </x:c>
      <x:c r="H54" s="64" t="str">
        <x:v>이중비용·검수분쟁</x:v>
      </x:c>
      <x:c r="I54" s="64" t="str">
        <x:v>WBS 기준 삭제/변경/추가 차액표</x:v>
      </x:c>
      <x:c r="J54" s="64" t="str">
        <x:v>PM/구매</x:v>
      </x:c>
      <x:c r="K54" s="64" t="str">
        <x:v>미착수</x:v>
      </x:c>
      <x:c r="L54" s="64" t="str"/>
      <x:c r="M54" s="64" t="str">
        <x:v>원견적·추가견적</x:v>
      </x:c>
    </x:row>
    <x:row r="55" ht="58" customHeight="1">
      <x:c r="A55" s="61" t="str">
        <x:v>CON-06</x:v>
      </x:c>
      <x:c r="B55" s="61" t="str">
        <x:v>변경관리</x:v>
      </x:c>
      <x:c r="C55" s="61" t="str">
        <x:v>P0 치명</x:v>
      </x:c>
      <x:c r="D55" s="61" t="str">
        <x:v>부적합</x:v>
      </x:c>
      <x:c r="E55" s="62" t="str">
        <x:v>메신저 변경만 있고 서면 변경합의 없음</x:v>
      </x:c>
      <x:c r="F55" s="62" t="str">
        <x:v>CI 제거·상태목록 제거·Giant 중심 흐름 변경</x:v>
      </x:c>
      <x:c r="G55" s="62" t="str">
        <x:v>계약 제3조상 변경합의와 검수기준 필요</x:v>
      </x:c>
      <x:c r="H55" s="62" t="str">
        <x:v>납품/대금/책임 분쟁</x:v>
      </x:c>
      <x:c r="I55" s="62" t="str">
        <x:v>변경합의서·버전·검수·롤백·무상보완 확정</x:v>
      </x:c>
      <x:c r="J55" s="62" t="str">
        <x:v>PM/법무</x:v>
      </x:c>
      <x:c r="K55" s="62" t="str">
        <x:v>미착수</x:v>
      </x:c>
      <x:c r="L55" s="62" t="str"/>
      <x:c r="M55" s="62" t="str">
        <x:v>계약·메신저</x:v>
      </x:c>
    </x:row>
  </x:sheetData>
  <x:dataValidations count="2">
    <x:dataValidation type="list" sqref="K2:K55">
      <x:formula1>"미착수,진행중,외부답변대기,검증중,완료,보류"</x:formula1>
    </x:dataValidation>
    <x:dataValidation type="list" sqref="C2:C55">
      <x:formula1>"P0 치명,P1 높음,P2 중간,P3 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2e8c4b433a44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1" hidden="0" customWidth="1"/>
    <x:col min="4" max="4" width="27" hidden="0" customWidth="1"/>
    <x:col min="5" max="5" width="27" hidden="0" customWidth="1"/>
    <x:col min="6" max="6" width="27" hidden="0" customWidth="1"/>
    <x:col min="7" max="7" width="48" hidden="0" customWidth="1"/>
    <x:col min="8" max="8" width="15" hidden="0" customWidth="1"/>
  </x:cols>
  <x:sheetData>
    <x:row r="1" ht="30" customHeight="1">
      <x:c r="A1" s="41" t="str">
        <x:v>API</x:v>
      </x:c>
      <x:c r="B1" s="41" t="str">
        <x:v>레벨</x:v>
      </x:c>
      <x:c r="C1" s="41" t="str">
        <x:v>공식 태그</x:v>
      </x:c>
      <x:c r="D1" s="41" t="str">
        <x:v>공식 조건</x:v>
      </x:c>
      <x:c r="E1" s="41" t="str">
        <x:v>값의 의미</x:v>
      </x:c>
      <x:c r="F1" s="41" t="str">
        <x:v>권고 원천</x:v>
      </x:c>
      <x:c r="G1" s="41" t="str">
        <x:v>핵심 검증/주의</x:v>
      </x:c>
      <x:c r="H1" s="41" t="str">
        <x:v>조치</x:v>
      </x:c>
    </x:row>
    <x:row r="2" ht="46" customHeight="1">
      <x:c r="A2" s="44" t="str">
        <x:v>TRA</x:v>
      </x:c>
      <x:c r="B2" s="44" t="str">
        <x:v>Root</x:v>
      </x:c>
      <x:c r="C2" s="44" t="str">
        <x:v>txif_sbmt_no</x:v>
      </x:c>
      <x:c r="D2" s="44" t="str">
        <x:v>String(21), Y</x:v>
      </x:c>
      <x:c r="E2" s="44" t="str">
        <x:v>전송식별번호</x:v>
      </x:c>
      <x:c r="F2" s="44" t="str">
        <x:v>Geek 생성</x:v>
      </x:c>
      <x:c r="G2" s="44" t="str">
        <x:v>K26000099+YYMMDD+6자리 예시는 중복방지·신규 재제출을 보장해야 함</x:v>
      </x:c>
      <x:c r="H2" s="44" t="str">
        <x:v>유지/강화</x:v>
      </x:c>
    </x:row>
    <x:row r="3" ht="46" customHeight="1">
      <x:c r="A3" s="44" t="str">
        <x:v>TRA</x:v>
      </x:c>
      <x:c r="B3" s="44" t="str">
        <x:v>Root</x:v>
      </x:c>
      <x:c r="C3" s="44" t="str">
        <x:v>elcm_ents_sgn</x:v>
      </x:c>
      <x:c r="D3" s="44" t="str">
        <x:v>String(9), Y</x:v>
      </x:c>
      <x:c r="E3" s="44" t="str">
        <x:v>신고인 전자상거래기업부호</x:v>
      </x:c>
      <x:c r="F3" s="44" t="str">
        <x:v>계약/설정</x:v>
      </x:c>
      <x:c r="G3" s="44" t="str">
        <x:v>K26000099 상수는 사업자·토큰과 일치해야 함</x:v>
      </x:c>
      <x:c r="H3" s="44" t="str">
        <x:v>환경별 검증</x:v>
      </x:c>
    </x:row>
    <x:row r="4" ht="46" customHeight="1">
      <x:c r="A4" s="44" t="str">
        <x:v>TRA</x:v>
      </x:c>
      <x:c r="B4" s="44" t="str">
        <x:v>Root</x:v>
      </x:c>
      <x:c r="C4" s="44" t="str">
        <x:v>mawb_no</x:v>
      </x:c>
      <x:c r="D4" s="44" t="str">
        <x:v>선택</x:v>
      </x:c>
      <x:c r="E4" s="44" t="str">
        <x:v>MAWB</x:v>
      </x:c>
      <x:c r="F4" s="44" t="str">
        <x:v>Giant</x:v>
      </x:c>
      <x:c r="G4" s="44" t="str">
        <x:v>제출시점 미확정 가능</x:v>
      </x:c>
      <x:c r="H4" s="44" t="str">
        <x:v>물리상태와 분리</x:v>
      </x:c>
    </x:row>
    <x:row r="5" ht="46" customHeight="1">
      <x:c r="A5" s="44" t="str">
        <x:v>TRA</x:v>
      </x:c>
      <x:c r="B5" s="44" t="str">
        <x:v>Root</x:v>
      </x:c>
      <x:c r="C5" s="44" t="str">
        <x:v>hbl_no</x:v>
      </x:c>
      <x:c r="D5" s="44" t="str">
        <x:v>String(20), Y</x:v>
      </x:c>
      <x:c r="E5" s="44" t="str">
        <x:v>HBL</x:v>
      </x:c>
      <x:c r="F5" s="44" t="str">
        <x:v>Giant/Dongshu</x:v>
      </x:c>
      <x:c r="G5" s="44" t="str">
        <x:v>한 주문 다중 HBL 관계 보존</x:v>
      </x:c>
      <x:c r="H5" s="44" t="str">
        <x:v>필수</x:v>
      </x:c>
    </x:row>
    <x:row r="6" ht="46" customHeight="1">
      <x:c r="A6" s="44" t="str">
        <x:v>TRA</x:v>
      </x:c>
      <x:c r="B6" s="44" t="str">
        <x:v>Root</x:v>
      </x:c>
      <x:c r="C6" s="44" t="str">
        <x:v>elcm_pcd</x:v>
      </x:c>
      <x:c r="D6" s="44" t="str">
        <x:v>String(1), Y</x:v>
      </x:c>
      <x:c r="E6" s="44" t="str">
        <x:v>A/B/C 유형</x:v>
      </x:c>
      <x:c r="F6" s="44" t="str">
        <x:v>법적 역할 매트릭스</x:v>
      </x:c>
      <x:c r="G6" s="44" t="str">
        <x:v>채널만으로 판정 금지</x:v>
      </x:c>
      <x:c r="H6" s="44" t="str">
        <x:v>재설계</x:v>
      </x:c>
    </x:row>
    <x:row r="7" ht="46" customHeight="1">
      <x:c r="A7" s="44" t="str">
        <x:v>TRA</x:v>
      </x:c>
      <x:c r="B7" s="44" t="str">
        <x:v>Root</x:v>
      </x:c>
      <x:c r="C7" s="44" t="str">
        <x:v>puch_vcex_bsmn_sgn/nm</x:v>
      </x:c>
      <x:c r="D7" s="44" t="str">
        <x:v>A 미입력, B 필수, C 선택</x:v>
      </x:c>
      <x:c r="E7" s="44" t="str">
        <x:v>구매대행자</x:v>
      </x:c>
      <x:c r="F7" s="44" t="str">
        <x:v>사업자 마스터</x:v>
      </x:c>
      <x:c r="G7" s="44" t="str">
        <x:v>유형별 조건부 검증</x:v>
      </x:c>
      <x:c r="H7" s="44" t="str">
        <x:v>재설계</x:v>
      </x:c>
    </x:row>
    <x:row r="8" ht="46" customHeight="1">
      <x:c r="A8" s="44" t="str">
        <x:v>TRA</x:v>
      </x:c>
      <x:c r="B8" s="44" t="str">
        <x:v>Root</x:v>
      </x:c>
      <x:c r="C8" s="44" t="str">
        <x:v>shpn_vcex_bsmn_sgn/nm</x:v>
      </x:c>
      <x:c r="D8" s="44" t="str">
        <x:v>A/B 선택, C 필수</x:v>
      </x:c>
      <x:c r="E8" s="44" t="str">
        <x:v>배송대행자</x:v>
      </x:c>
      <x:c r="F8" s="44" t="str">
        <x:v>사업자 마스터</x:v>
      </x:c>
      <x:c r="G8" s="44" t="str">
        <x:v>기획의 dlvr 태그는 오기</x:v>
      </x:c>
      <x:c r="H8" s="44" t="str">
        <x:v>태그 교정</x:v>
      </x:c>
    </x:row>
    <x:row r="9" ht="46" customHeight="1">
      <x:c r="A9" s="44" t="str">
        <x:v>TRA</x:v>
      </x:c>
      <x:c r="B9" s="44" t="str">
        <x:v>Root</x:v>
      </x:c>
      <x:c r="C9" s="44" t="str">
        <x:v>tot_stlm_amt</x:v>
      </x:c>
      <x:c r="D9" s="44" t="str">
        <x:v>Number(16,3), Y</x:v>
      </x:c>
      <x:c r="E9" s="44" t="str">
        <x:v>구매자 최종 결제금액</x:v>
      </x:c>
      <x:c r="F9" s="44" t="str">
        <x:v>주문결제 원장</x:v>
      </x:c>
      <x:c r="G9" s="44" t="str">
        <x:v>조달/신고가 금지, 국내상품 결제분 제외</x:v>
      </x:c>
      <x:c r="H9" s="44" t="str">
        <x:v>원천 변경</x:v>
      </x:c>
    </x:row>
    <x:row r="10" ht="46" customHeight="1">
      <x:c r="A10" s="44" t="str">
        <x:v>TRA</x:v>
      </x:c>
      <x:c r="B10" s="44" t="str">
        <x:v>Root</x:v>
      </x:c>
      <x:c r="C10" s="44" t="str">
        <x:v>tot_stlm_amt_curr_cd</x:v>
      </x:c>
      <x:c r="D10" s="44" t="str">
        <x:v>Y</x:v>
      </x:c>
      <x:c r="E10" s="44" t="str">
        <x:v>실제 결제통화</x:v>
      </x:c>
      <x:c r="F10" s="44" t="str">
        <x:v>주문결제 원장</x:v>
      </x:c>
      <x:c r="G10" s="44" t="str">
        <x:v>USD 고정 금지</x:v>
      </x:c>
      <x:c r="H10" s="44" t="str">
        <x:v>원천 변경</x:v>
      </x:c>
    </x:row>
    <x:row r="11" ht="46" customHeight="1">
      <x:c r="A11" s="44" t="str">
        <x:v>TRA</x:v>
      </x:c>
      <x:c r="B11" s="44" t="str">
        <x:v>Root</x:v>
      </x:c>
      <x:c r="C11" s="44" t="str">
        <x:v>tot_ord_prod_qty</x:v>
      </x:c>
      <x:c r="D11" s="44" t="str">
        <x:v>Integer(6), Y</x:v>
      </x:c>
      <x:c r="E11" s="44" t="str">
        <x:v>총 주문상품수량</x:v>
      </x:c>
      <x:c r="F11" s="44" t="str">
        <x:v>주문 스냅샷</x:v>
      </x:c>
      <x:c r="G11" s="44" t="str">
        <x:v>기획의 해당없음은 오류; 혼합주문 범위 질의</x:v>
      </x:c>
      <x:c r="H11" s="44" t="str">
        <x:v>필수 추가</x:v>
      </x:c>
    </x:row>
    <x:row r="12" ht="46" customHeight="1">
      <x:c r="A12" s="44" t="str">
        <x:v>TRA</x:v>
      </x:c>
      <x:c r="B12" s="44" t="str">
        <x:v>Order</x:v>
      </x:c>
      <x:c r="C12" s="44" t="str">
        <x:v>ord_no</x:v>
      </x:c>
      <x:c r="D12" s="44" t="str">
        <x:v>String(52), Y</x:v>
      </x:c>
      <x:c r="E12" s="44" t="str">
        <x:v>주문번호</x:v>
      </x:c>
      <x:c r="F12" s="44" t="str">
        <x:v>자사몰/WMS</x:v>
      </x:c>
      <x:c r="G12" s="44" t="str">
        <x:v>내부 불변키와 분리</x:v>
      </x:c>
      <x:c r="H12" s="44" t="str">
        <x:v>유지</x:v>
      </x:c>
    </x:row>
    <x:row r="13" ht="46" customHeight="1">
      <x:c r="A13" s="44" t="str">
        <x:v>TRA</x:v>
      </x:c>
      <x:c r="B13" s="44" t="str">
        <x:v>Order</x:v>
      </x:c>
      <x:c r="C13" s="44" t="str">
        <x:v>ord_site_url</x:v>
      </x:c>
      <x:c r="D13" s="44" t="str">
        <x:v>String(200), Y</x:v>
      </x:c>
      <x:c r="E13" s="44" t="str">
        <x:v>주문 사이트 URL</x:v>
      </x:c>
      <x:c r="F13" s="44" t="str">
        <x:v>주문 스냅샷</x:v>
      </x:c>
      <x:c r="G13" s="44" t="str">
        <x:v>현 기획 누락</x:v>
      </x:c>
      <x:c r="H13" s="44" t="str">
        <x:v>필수 추가</x:v>
      </x:c>
    </x:row>
    <x:row r="14" ht="46" customHeight="1">
      <x:c r="A14" s="44" t="str">
        <x:v>TRA</x:v>
      </x:c>
      <x:c r="B14" s="44" t="str">
        <x:v>Order</x:v>
      </x:c>
      <x:c r="C14" s="44" t="str">
        <x:v>ord_cmpl_dttm</x:v>
      </x:c>
      <x:c r="D14" s="44" t="str">
        <x:v>String(14), Y</x:v>
      </x:c>
      <x:c r="E14" s="44" t="str">
        <x:v>주문완료 일시</x:v>
      </x:c>
      <x:c r="F14" s="44" t="str">
        <x:v>결제/주문 원장</x:v>
      </x:c>
      <x:c r="G14" s="44" t="str">
        <x:v>시간대·포맷 고정</x:v>
      </x:c>
      <x:c r="H14" s="44" t="str">
        <x:v>검증 추가</x:v>
      </x:c>
    </x:row>
    <x:row r="15" ht="46" customHeight="1">
      <x:c r="A15" s="44" t="str">
        <x:v>TRA</x:v>
      </x:c>
      <x:c r="B15" s="44" t="str">
        <x:v>Order</x:v>
      </x:c>
      <x:c r="C15" s="44" t="str">
        <x:v>ordrr_nm/telno</x:v>
      </x:c>
      <x:c r="D15" s="44" t="str">
        <x:v>Y</x:v>
      </x:c>
      <x:c r="E15" s="44" t="str">
        <x:v>주문자 이름/전화</x:v>
      </x:c>
      <x:c r="F15" s="44" t="str">
        <x:v>주문 스냅샷</x:v>
      </x:c>
      <x:c r="G15" s="44" t="str">
        <x:v>마스킹 전 원본의 적법한 전송</x:v>
      </x:c>
      <x:c r="H15" s="44" t="str">
        <x:v>필수</x:v>
      </x:c>
    </x:row>
    <x:row r="16" ht="46" customHeight="1">
      <x:c r="A16" s="44" t="str">
        <x:v>TRA</x:v>
      </x:c>
      <x:c r="B16" s="44" t="str">
        <x:v>Order</x:v>
      </x:c>
      <x:c r="C16" s="44" t="str">
        <x:v>cnsi_fnm/telno</x:v>
      </x:c>
      <x:c r="D16" s="44" t="str">
        <x:v>Y</x:v>
      </x:c>
      <x:c r="E16" s="44" t="str">
        <x:v>수취인 이름/전화</x:v>
      </x:c>
      <x:c r="F16" s="44" t="str">
        <x:v>주문 스냅샷</x:v>
      </x:c>
      <x:c r="G16" s="44" t="str">
        <x:v>PER 값과 일치 검증</x:v>
      </x:c>
      <x:c r="H16" s="44" t="str">
        <x:v>필수</x:v>
      </x:c>
    </x:row>
    <x:row r="17" ht="46" customHeight="1">
      <x:c r="A17" s="44" t="str">
        <x:v>TRA</x:v>
      </x:c>
      <x:c r="B17" s="44" t="str">
        <x:v>Order</x:v>
      </x:c>
      <x:c r="C17" s="44" t="str">
        <x:v>dlvrpl_psno/bsc_addr/dtl_addr</x:v>
      </x:c>
      <x:c r="D17" s="44" t="str">
        <x:v>우편·기본주소 Y, 상세 선택</x:v>
      </x:c>
      <x:c r="E17" s="44" t="str">
        <x:v>배송지</x:v>
      </x:c>
      <x:c r="F17" s="44" t="str">
        <x:v>주문 스냅샷</x:v>
      </x:c>
      <x:c r="G17" s="44" t="str">
        <x:v>기본/상세 주소 분리</x:v>
      </x:c>
      <x:c r="H17" s="44" t="str">
        <x:v>검증</x:v>
      </x:c>
    </x:row>
    <x:row r="18" ht="46" customHeight="1">
      <x:c r="A18" s="44" t="str">
        <x:v>TRA</x:v>
      </x:c>
      <x:c r="B18" s="44" t="str">
        <x:v>Order</x:v>
      </x:c>
      <x:c r="C18" s="44" t="str">
        <x:v>cnsi_pers_ecm</x:v>
      </x:c>
      <x:c r="D18" s="44" t="str">
        <x:v>Y</x:v>
      </x:c>
      <x:c r="E18" s="44" t="str">
        <x:v>PCCC</x:v>
      </x:c>
      <x:c r="F18" s="44" t="str">
        <x:v>PER 검증결과</x:v>
      </x:c>
      <x:c r="G18" s="44" t="str">
        <x:v>원문 보유 최소화와 전송로그 보호</x:v>
      </x:c>
      <x:c r="H18" s="44" t="str">
        <x:v>정책 확정</x:v>
      </x:c>
    </x:row>
    <x:row r="19" ht="46" customHeight="1">
      <x:c r="A19" s="44" t="str">
        <x:v>TRA</x:v>
      </x:c>
      <x:c r="B19" s="44" t="str">
        <x:v>Order</x:v>
      </x:c>
      <x:c r="C19" s="44" t="str">
        <x:v>su_crtf_no</x:v>
      </x:c>
      <x:c r="D19" s="44" t="str">
        <x:v>선택</x:v>
      </x:c>
      <x:c r="E19" s="44" t="str">
        <x:v>일회용 인증코드</x:v>
      </x:c>
      <x:c r="F19" s="44" t="str">
        <x:v>PER</x:v>
      </x:c>
      <x:c r="G19" s="44" t="str">
        <x:v>Z99999와 PER 응답 혼동 금지</x:v>
      </x:c>
      <x:c r="H19" s="44" t="str">
        <x:v>정정</x:v>
      </x:c>
    </x:row>
    <x:row r="20" ht="46" customHeight="1">
      <x:c r="A20" s="44" t="str">
        <x:v>TRA</x:v>
      </x:c>
      <x:c r="B20" s="44" t="str">
        <x:v>Product</x:v>
      </x:c>
      <x:c r="C20" s="44" t="str">
        <x:v>prod_srno</x:v>
      </x:c>
      <x:c r="D20" s="44" t="str">
        <x:v>Integer(3), Y</x:v>
      </x:c>
      <x:c r="E20" s="44" t="str">
        <x:v>상품순번</x:v>
      </x:c>
      <x:c r="F20" s="44" t="str">
        <x:v>주문상품 매핑</x:v>
      </x:c>
      <x:c r="G20" s="44" t="str">
        <x:v>기획 String(20) 오류</x:v>
      </x:c>
      <x:c r="H20" s="44" t="str">
        <x:v>타입 교정</x:v>
      </x:c>
    </x:row>
    <x:row r="21" ht="46" customHeight="1">
      <x:c r="A21" s="44" t="str">
        <x:v>TRA</x:v>
      </x:c>
      <x:c r="B21" s="44" t="str">
        <x:v>Product</x:v>
      </x:c>
      <x:c r="C21" s="44" t="str">
        <x:v>prod_clsf_nm_stp1/2</x:v>
      </x:c>
      <x:c r="D21" s="44" t="str">
        <x:v>String(100), Y</x:v>
      </x:c>
      <x:c r="E21" s="44" t="str">
        <x:v>1·2차 상품분류</x:v>
      </x:c>
      <x:c r="F21" s="44" t="str">
        <x:v>주문시점 스냅샷</x:v>
      </x:c>
      <x:c r="G21" s="44" t="str">
        <x:v>현재 DB 역조회 금지</x:v>
      </x:c>
      <x:c r="H21" s="44" t="str">
        <x:v>원천 강화</x:v>
      </x:c>
    </x:row>
    <x:row r="22" ht="46" customHeight="1">
      <x:c r="A22" s="44" t="str">
        <x:v>TRA</x:v>
      </x:c>
      <x:c r="B22" s="44" t="str">
        <x:v>Product</x:v>
      </x:c>
      <x:c r="C22" s="44" t="str">
        <x:v>ord_prod_nm</x:v>
      </x:c>
      <x:c r="D22" s="44" t="str">
        <x:v>String(600), Y</x:v>
      </x:c>
      <x:c r="E22" s="44" t="str">
        <x:v>인터넷 게시 주문상품명</x:v>
      </x:c>
      <x:c r="F22" s="44" t="str">
        <x:v>주문시점 스냅샷</x:v>
      </x:c>
      <x:c r="G22" s="44" t="str">
        <x:v>기획 300자 오류, 물리품명과 구분</x:v>
      </x:c>
      <x:c r="H22" s="44" t="str">
        <x:v>길이 교정</x:v>
      </x:c>
    </x:row>
    <x:row r="23" ht="46" customHeight="1">
      <x:c r="A23" s="44" t="str">
        <x:v>TRA</x:v>
      </x:c>
      <x:c r="B23" s="44" t="str">
        <x:v>Product</x:v>
      </x:c>
      <x:c r="C23" s="44" t="str">
        <x:v>prod_sale_pge_url</x:v>
      </x:c>
      <x:c r="D23" s="44" t="str">
        <x:v>String(3000), Y</x:v>
      </x:c>
      <x:c r="E23" s="44" t="str">
        <x:v>실제 판매페이지</x:v>
      </x:c>
      <x:c r="F23" s="44" t="str">
        <x:v>주문시점 URL</x:v>
      </x:c>
      <x:c r="G23" s="44" t="str">
        <x:v>대표 도메인 금지</x:v>
      </x:c>
      <x:c r="H23" s="44" t="str">
        <x:v>원천 변경</x:v>
      </x:c>
    </x:row>
    <x:row r="24" ht="46" customHeight="1">
      <x:c r="A24" s="44" t="str">
        <x:v>TRA</x:v>
      </x:c>
      <x:c r="B24" s="44" t="str">
        <x:v>Product</x:v>
      </x:c>
      <x:c r="C24" s="44" t="str">
        <x:v>prod_ord_qty</x:v>
      </x:c>
      <x:c r="D24" s="44" t="str">
        <x:v>Integer(4), Y</x:v>
      </x:c>
      <x:c r="E24" s="44" t="str">
        <x:v>상품 주문수량</x:v>
      </x:c>
      <x:c r="F24" s="44" t="str">
        <x:v>주문 스냅샷</x:v>
      </x:c>
      <x:c r="G24" s="44" t="str">
        <x:v>실제 포장수량과 구분</x:v>
      </x:c>
      <x:c r="H24" s="44" t="str">
        <x:v>원천 변경</x:v>
      </x:c>
    </x:row>
    <x:row r="25" ht="46" customHeight="1">
      <x:c r="A25" s="44" t="str">
        <x:v>TRA</x:v>
      </x:c>
      <x:c r="B25" s="44" t="str">
        <x:v>Product</x:v>
      </x:c>
      <x:c r="C25" s="44" t="str">
        <x:v>prod_unprc</x:v>
      </x:c>
      <x:c r="D25" s="44" t="str">
        <x:v>Number(16,3), Y</x:v>
      </x:c>
      <x:c r="E25" s="44" t="str">
        <x:v>고객 거래 상품단가</x:v>
      </x:c>
      <x:c r="F25" s="44" t="str">
        <x:v>결제 원장</x:v>
      </x:c>
      <x:c r="G25" s="44" t="str">
        <x:v>조달단가 금지</x:v>
      </x:c>
      <x:c r="H25" s="44" t="str">
        <x:v>원천 변경</x:v>
      </x:c>
    </x:row>
    <x:row r="26" ht="46" customHeight="1">
      <x:c r="A26" s="44" t="str">
        <x:v>TRA</x:v>
      </x:c>
      <x:c r="B26" s="44" t="str">
        <x:v>Product</x:v>
      </x:c>
      <x:c r="C26" s="44" t="str">
        <x:v>ord_amt</x:v>
      </x:c>
      <x:c r="D26" s="44" t="str">
        <x:v>Number(16,3), Y</x:v>
      </x:c>
      <x:c r="E26" s="44" t="str">
        <x:v>상품 주문금액</x:v>
      </x:c>
      <x:c r="F26" s="44" t="str">
        <x:v>결제 원장 계산</x:v>
      </x:c>
      <x:c r="G26" s="44" t="str">
        <x:v>수량×단가-상품할인</x:v>
      </x:c>
      <x:c r="H26" s="44" t="str">
        <x:v>계산 교정</x:v>
      </x:c>
    </x:row>
    <x:row r="27" ht="46" customHeight="1">
      <x:c r="A27" s="44" t="str">
        <x:v>TRA</x:v>
      </x:c>
      <x:c r="B27" s="44" t="str">
        <x:v>Product</x:v>
      </x:c>
      <x:c r="C27" s="44" t="str">
        <x:v>sale_ents_nm</x:v>
      </x:c>
      <x:c r="D27" s="44" t="str">
        <x:v>A 조건부 필수</x:v>
      </x:c>
      <x:c r="E27" s="44" t="str">
        <x:v>판매기업명</x:v>
      </x:c>
      <x:c r="F27" s="44" t="str">
        <x:v>seller-of-record</x:v>
      </x:c>
      <x:c r="G27" s="44" t="str">
        <x:v>모든 유형 Null 금지</x:v>
      </x:c>
      <x:c r="H27" s="44" t="str">
        <x:v>조건 교정</x:v>
      </x:c>
    </x:row>
    <x:row r="28" ht="46" customHeight="1">
      <x:c r="A28" s="44" t="str">
        <x:v>TRA</x:v>
      </x:c>
      <x:c r="B28" s="44" t="str">
        <x:v>Product</x:v>
      </x:c>
      <x:c r="C28" s="44" t="str">
        <x:v>sale_ents_sgn/sale_ents_bsns_no</x:v>
      </x:c>
      <x:c r="D28" s="44" t="str">
        <x:v>조건부</x:v>
      </x:c>
      <x:c r="E28" s="44" t="str">
        <x:v>판매기업 부호/사업자번호</x:v>
      </x:c>
      <x:c r="F28" s="44" t="str">
        <x:v>사업자 마스터</x:v>
      </x:c>
      <x:c r="G28" s="44" t="str">
        <x:v>sale_ents_biz_no 오기 교정</x:v>
      </x:c>
      <x:c r="H28" s="44" t="str">
        <x:v>태그 교정</x:v>
      </x:c>
    </x:row>
    <x:row r="29" ht="46" customHeight="1">
      <x:c r="A29" s="44" t="str">
        <x:v>TRA</x:v>
      </x:c>
      <x:c r="B29" s="44" t="str">
        <x:v>Product</x:v>
      </x:c>
      <x:c r="C29" s="44" t="str">
        <x:v>prod_mkr_nm/prod_mkr_mdl_no</x:v>
      </x:c>
      <x:c r="D29" s="44" t="str">
        <x:v>선택</x:v>
      </x:c>
      <x:c r="E29" s="44" t="str">
        <x:v>제조사/모델</x:v>
      </x:c>
      <x:c r="F29" s="44" t="str">
        <x:v>상품 마스터</x:v>
      </x:c>
      <x:c r="G29" s="44" t="str">
        <x:v>기획의 비공식 제조사 태그 교정</x:v>
      </x:c>
      <x:c r="H29" s="44" t="str">
        <x:v>태그 교정</x:v>
      </x:c>
    </x:row>
    <x:row r="30" ht="46" customHeight="1">
      <x:c r="A30" s="44" t="str">
        <x:v>TRA</x:v>
      </x:c>
      <x:c r="B30" s="44" t="str">
        <x:v>제외</x:v>
      </x:c>
      <x:c r="C30" s="44" t="str">
        <x:v>tot_wt/hs_cd/ord_qty_ut 등</x:v>
      </x:c>
      <x:c r="D30" s="44" t="str">
        <x:v>v1.4.1 TRA001에 없음</x:v>
      </x:c>
      <x:c r="E30" s="44" t="str">
        <x:v>물류/신고 보조값</x:v>
      </x:c>
      <x:c r="F30" s="44" t="str">
        <x:v>별도 내부 원장</x:v>
      </x:c>
      <x:c r="G30" s="44" t="str">
        <x:v>TRA JSON에 포함 금지</x:v>
      </x:c>
      <x:c r="H30" s="44" t="str">
        <x:v>제외</x:v>
      </x:c>
    </x:row>
    <x:row r="31" ht="46" customHeight="1">
      <x:c r="A31" s="44" t="str">
        <x:v>PER</x:v>
      </x:c>
      <x:c r="B31" s="44" t="str">
        <x:v>Root</x:v>
      </x:c>
      <x:c r="C31" s="44" t="str">
        <x:v>reqt_no</x:v>
      </x:c>
      <x:c r="D31" s="44" t="str">
        <x:v>String(18), Y</x:v>
      </x:c>
      <x:c r="E31" s="44" t="str">
        <x:v>요청번호</x:v>
      </x:c>
      <x:c r="F31" s="44" t="str">
        <x:v>Geek 생성</x:v>
      </x:c>
      <x:c r="G31" s="44" t="str">
        <x:v>멱등·추적키</x:v>
      </x:c>
      <x:c r="H31" s="44" t="str">
        <x:v>필수 추가</x:v>
      </x:c>
    </x:row>
    <x:row r="32" ht="46" customHeight="1">
      <x:c r="A32" s="44" t="str">
        <x:v>PER</x:v>
      </x:c>
      <x:c r="B32" s="44" t="str">
        <x:v>Root</x:v>
      </x:c>
      <x:c r="C32" s="44" t="str">
        <x:v>reqt_tp</x:v>
      </x:c>
      <x:c r="D32" s="44" t="str">
        <x:v>01/02, Y</x:v>
      </x:c>
      <x:c r="E32" s="44" t="str">
        <x:v>요청유형</x:v>
      </x:c>
      <x:c r="F32" s="44" t="str">
        <x:v>사용자 흐름</x:v>
      </x:c>
      <x:c r="G32" s="44" t="str">
        <x:v>일반/주문기반 분기</x:v>
      </x:c>
      <x:c r="H32" s="44" t="str">
        <x:v>필수 추가</x:v>
      </x:c>
    </x:row>
    <x:row r="33" ht="46" customHeight="1">
      <x:c r="A33" s="44" t="str">
        <x:v>PER</x:v>
      </x:c>
      <x:c r="B33" s="44" t="str">
        <x:v>Orderer</x:v>
      </x:c>
      <x:c r="C33" s="44" t="str">
        <x:v>ordrr_info.ordrr_fnm</x:v>
      </x:c>
      <x:c r="D33" s="44" t="str">
        <x:v>Y</x:v>
      </x:c>
      <x:c r="E33" s="44" t="str">
        <x:v>주문자 이름</x:v>
      </x:c>
      <x:c r="F33" s="44" t="str">
        <x:v>주문 스냅샷</x:v>
      </x:c>
      <x:c r="G33" s="44" t="str">
        <x:v>현 기획 누락</x:v>
      </x:c>
      <x:c r="H33" s="44" t="str">
        <x:v>필수 추가</x:v>
      </x:c>
    </x:row>
    <x:row r="34" ht="46" customHeight="1">
      <x:c r="A34" s="44" t="str">
        <x:v>PER</x:v>
      </x:c>
      <x:c r="B34" s="44" t="str">
        <x:v>Consignee</x:v>
      </x:c>
      <x:c r="C34" s="44" t="str">
        <x:v>cnsi_info.cnsi_fnm/telno</x:v>
      </x:c>
      <x:c r="D34" s="44" t="str">
        <x:v>Y</x:v>
      </x:c>
      <x:c r="E34" s="44" t="str">
        <x:v>수취인 이름/전화</x:v>
      </x:c>
      <x:c r="F34" s="44" t="str">
        <x:v>주문 스냅샷</x:v>
      </x:c>
      <x:c r="G34" s="44" t="str">
        <x:v>정규화 규칙 필요</x:v>
      </x:c>
      <x:c r="H34" s="44" t="str">
        <x:v>필수</x:v>
      </x:c>
    </x:row>
    <x:row r="35" ht="46" customHeight="1">
      <x:c r="A35" s="44" t="str">
        <x:v>PER</x:v>
      </x:c>
      <x:c r="B35" s="44" t="str">
        <x:v>Consignee</x:v>
      </x:c>
      <x:c r="C35" s="44" t="str">
        <x:v>dlvrpl_psno</x:v>
      </x:c>
      <x:c r="D35" s="44" t="str">
        <x:v>Y</x:v>
      </x:c>
      <x:c r="E35" s="44" t="str">
        <x:v>배송지 우편번호</x:v>
      </x:c>
      <x:c r="F35" s="44" t="str">
        <x:v>주문 스냅샷</x:v>
      </x:c>
      <x:c r="G35" s="44" t="str">
        <x:v>현 기획 누락</x:v>
      </x:c>
      <x:c r="H35" s="44" t="str">
        <x:v>필수 추가</x:v>
      </x:c>
    </x:row>
    <x:row r="36" ht="46" customHeight="1">
      <x:c r="A36" s="44" t="str">
        <x:v>PER</x:v>
      </x:c>
      <x:c r="B36" s="44" t="str">
        <x:v>Consignee</x:v>
      </x:c>
      <x:c r="C36" s="44" t="str">
        <x:v>cnsi_pers_ecm</x:v>
      </x:c>
      <x:c r="D36" s="44" t="str">
        <x:v>일반 요청 필수</x:v>
      </x:c>
      <x:c r="E36" s="44" t="str">
        <x:v>PCCC</x:v>
      </x:c>
      <x:c r="F36" s="44" t="str">
        <x:v>사용자 입력</x:v>
      </x:c>
      <x:c r="G36" s="44" t="str">
        <x:v>검증 전 원문 보호</x:v>
      </x:c>
      <x:c r="H36" s="44" t="str">
        <x:v>정책 확정</x:v>
      </x:c>
    </x:row>
    <x:row r="37" ht="46" customHeight="1">
      <x:c r="A37" s="44" t="str">
        <x:v>PER</x:v>
      </x:c>
      <x:c r="B37" s="44" t="str">
        <x:v>Order</x:v>
      </x:c>
      <x:c r="C37" s="44" t="str">
        <x:v>ord_no_icln_tp/ord_no</x:v>
      </x:c>
      <x:c r="D37" s="44" t="str">
        <x:v>Y/조건부</x:v>
      </x:c>
      <x:c r="E37" s="44" t="str">
        <x:v>주문번호 포함여부/번호</x:v>
      </x:c>
      <x:c r="F37" s="44" t="str">
        <x:v>주문 스냅샷</x:v>
      </x:c>
      <x:c r="G37" s="44" t="str">
        <x:v>현 기획 누락</x:v>
      </x:c>
      <x:c r="H37" s="44" t="str">
        <x:v>필수 추가</x:v>
      </x:c>
    </x:row>
    <x:row r="38" ht="46" customHeight="1">
      <x:c r="A38" s="44" t="str">
        <x:v>PER</x:v>
      </x:c>
      <x:c r="B38" s="44" t="str">
        <x:v>Response</x:v>
      </x:c>
      <x:c r="C38" s="44" t="str">
        <x:v>rspn_tp</x:v>
      </x:c>
      <x:c r="D38" s="44" t="str">
        <x:v>01/02/03</x:v>
      </x:c>
      <x:c r="E38" s="44" t="str">
        <x:v>응답유형</x:v>
      </x:c>
      <x:c r="F38" s="44" t="str">
        <x:v>관세청</x:v>
      </x:c>
      <x:c r="G38" s="44" t="str">
        <x:v>일부 OTP/전체 OTP/임시부호 분기</x:v>
      </x:c>
      <x:c r="H38" s="44" t="str">
        <x:v>로직 교정</x:v>
      </x:c>
    </x:row>
  </x:sheetData>
  <x:pageMargins left="0.7" right="0.7" top="0.75" bottom="0.75" header="0.3" footer="0.3"/>
  <x:tableParts count="1">
    <x:tablePart xmlns:r="http://schemas.openxmlformats.org/officeDocument/2006/relationships" r:id="R12f2a29d7f6740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0" customHeight="1">
      <x:c r="A1" s="41" t="str">
        <x:v>상태</x:v>
      </x:c>
      <x:c r="B1" s="41" t="str">
        <x:v>진입 이벤트</x:v>
      </x:c>
      <x:c r="C1" s="41" t="str">
        <x:v>수행 작업</x:v>
      </x:c>
      <x:c r="D1" s="41" t="str">
        <x:v>권위 시스템</x:v>
      </x:c>
      <x:c r="E1" s="41" t="str">
        <x:v>필수 조건</x:v>
      </x:c>
      <x:c r="F1" s="41" t="str">
        <x:v>실패 처리</x:v>
      </x:c>
    </x:row>
    <x:row r="2" ht="48" customHeight="1">
      <x:c r="A2" s="44" t="str">
        <x:v>ORDER_SNAPSHOT</x:v>
      </x:c>
      <x:c r="B2" s="44" t="str">
        <x:v>결제/주문 완료</x:v>
      </x:c>
      <x:c r="C2" s="44" t="str">
        <x:v>주문·결제 불변 스냅샷 생성</x:v>
      </x:c>
      <x:c r="D2" s="44" t="str">
        <x:v>자사몰/Dongshu</x:v>
      </x:c>
      <x:c r="E2" s="44" t="str">
        <x:v>필수값·결제합계 일치</x:v>
      </x:c>
      <x:c r="F2" s="44" t="str">
        <x:v>입력오류 보류</x:v>
      </x:c>
    </x:row>
    <x:row r="3" ht="48" customHeight="1">
      <x:c r="A3" s="44" t="str">
        <x:v>PER_PENDING</x:v>
      </x:c>
      <x:c r="B3" s="44" t="str">
        <x:v>해외주문 대상</x:v>
      </x:c>
      <x:c r="C3" s="44" t="str">
        <x:v>PER 경로 선택</x:v>
      </x:c>
      <x:c r="D3" s="44" t="str">
        <x:v>Geek</x:v>
      </x:c>
      <x:c r="E3" s="44" t="str">
        <x:v>적용대상·유형 확인</x:v>
      </x:c>
      <x:c r="F3" s="44" t="str">
        <x:v>고객 인증 대기</x:v>
      </x:c>
    </x:row>
    <x:row r="4" ht="48" customHeight="1">
      <x:c r="A4" s="44" t="str">
        <x:v>PER_VERIFIED</x:v>
      </x:c>
      <x:c r="B4" s="44" t="str">
        <x:v>OTP/동일인 확인 성공</x:v>
      </x:c>
      <x:c r="C4" s="44" t="str">
        <x:v>검증결과·시각·유형 저장</x:v>
      </x:c>
      <x:c r="D4" s="44" t="str">
        <x:v>관세청 PER</x:v>
      </x:c>
      <x:c r="E4" s="44" t="str">
        <x:v>PCCC·수취인 일치</x:v>
      </x:c>
      <x:c r="F4" s="44" t="str">
        <x:v>만료 시 재인증</x:v>
      </x:c>
    </x:row>
    <x:row r="5" ht="48" customHeight="1">
      <x:c r="A5" s="44" t="str">
        <x:v>WMS_RESERVED</x:v>
      </x:c>
      <x:c r="B5" s="44" t="str">
        <x:v>PER 성공</x:v>
      </x:c>
      <x:c r="C5" s="44" t="str">
        <x:v>재고/출고 예약</x:v>
      </x:c>
      <x:c r="D5" s="44" t="str">
        <x:v>Dongshu</x:v>
      </x:c>
      <x:c r="E5" s="44" t="str">
        <x:v>주문상품 불변키</x:v>
      </x:c>
      <x:c r="F5" s="44" t="str">
        <x:v>재고부족 보류</x:v>
      </x:c>
    </x:row>
    <x:row r="6" ht="48" customHeight="1">
      <x:c r="A6" s="44" t="str">
        <x:v>HBL_READY</x:v>
      </x:c>
      <x:c r="B6" s="44" t="str">
        <x:v>HBL 할당</x:v>
      </x:c>
      <x:c r="C6" s="44" t="str">
        <x:v>주문-HBL-상품 관계 저장</x:v>
      </x:c>
      <x:c r="D6" s="44" t="str">
        <x:v>Giant</x:v>
      </x:c>
      <x:c r="E6" s="44" t="str">
        <x:v>다중 HBL 합계 검증</x:v>
      </x:c>
      <x:c r="F6" s="44" t="str">
        <x:v>조회재시도/수동매칭</x:v>
      </x:c>
    </x:row>
    <x:row r="7" ht="48" customHeight="1">
      <x:c r="A7" s="44" t="str">
        <x:v>TRA_PRECHECK</x:v>
      </x:c>
      <x:c r="B7" s="44" t="str">
        <x:v>전송 후보</x:v>
      </x:c>
      <x:c r="C7" s="44" t="str">
        <x:v>v1.4.1 스키마·업무규칙 검증</x:v>
      </x:c>
      <x:c r="D7" s="44" t="str">
        <x:v>Geek</x:v>
      </x:c>
      <x:c r="E7" s="44" t="str">
        <x:v>3MB·순차·조건부 필드</x:v>
      </x:c>
      <x:c r="F7" s="44" t="str">
        <x:v>전송 전 보류</x:v>
      </x:c>
    </x:row>
    <x:row r="8" ht="48" customHeight="1">
      <x:c r="A8" s="44" t="str">
        <x:v>TRA_SUBMITTED</x:v>
      </x:c>
      <x:c r="B8" s="44" t="str">
        <x:v>TRA001 정상접수</x:v>
      </x:c>
      <x:c r="C8" s="44" t="str">
        <x:v>txif와 원문해시 저장</x:v>
      </x:c>
      <x:c r="D8" s="44" t="str">
        <x:v>관세청 TRA001</x:v>
      </x:c>
      <x:c r="E8" s="44" t="str">
        <x:v>접수코드 0000</x:v>
      </x:c>
      <x:c r="F8" s="44" t="str">
        <x:v>기술재시도</x:v>
      </x:c>
    </x:row>
    <x:row r="9" ht="48" customHeight="1">
      <x:c r="A9" s="44" t="str">
        <x:v>TRA_PROCESSING</x:v>
      </x:c>
      <x:c r="B9" s="44" t="str">
        <x:v>TRA002 3030</x:v>
      </x:c>
      <x:c r="C9" s="44" t="str">
        <x:v>백오프 재조회</x:v>
      </x:c>
      <x:c r="D9" s="44" t="str">
        <x:v>관세청 TRA002</x:v>
      </x:c>
      <x:c r="E9" s="44" t="str">
        <x:v>최대대기·알림</x:v>
      </x:c>
      <x:c r="F9" s="44" t="str">
        <x:v>수동재조회</x:v>
      </x:c>
    </x:row>
    <x:row r="10" ht="48" customHeight="1">
      <x:c r="A10" s="44" t="str">
        <x:v>TRA_ACCEPTED</x:v>
      </x:c>
      <x:c r="B10" s="44" t="str">
        <x:v>TRA002 상태 01</x:v>
      </x:c>
      <x:c r="C10" s="44" t="str">
        <x:v>업무검증 성공</x:v>
      </x:c>
      <x:c r="D10" s="44" t="str">
        <x:v>관세청 TRA002</x:v>
      </x:c>
      <x:c r="E10" s="44" t="str">
        <x:v>주문/상품 오류 없음</x:v>
      </x:c>
      <x:c r="F10" s="44" t="str">
        <x:v>출고게이트 해제</x:v>
      </x:c>
    </x:row>
    <x:row r="11" ht="48" customHeight="1">
      <x:c r="A11" s="44" t="str">
        <x:v>TRA_PARTIAL_ERROR</x:v>
      </x:c>
      <x:c r="B11" s="44" t="str">
        <x:v>TRA002 상태 02</x:v>
      </x:c>
      <x:c r="C11" s="44" t="str">
        <x:v>정상/오류 상품 분리</x:v>
      </x:c>
      <x:c r="D11" s="44" t="str">
        <x:v>관세청 TRA002</x:v>
      </x:c>
      <x:c r="E11" s="44" t="str">
        <x:v>오류항목 원문 저장</x:v>
      </x:c>
      <x:c r="F11" s="44" t="str">
        <x:v>오류 상품 HOLD</x:v>
      </x:c>
    </x:row>
    <x:row r="12" ht="48" customHeight="1">
      <x:c r="A12" s="44" t="str">
        <x:v>TRA_REJECTED</x:v>
      </x:c>
      <x:c r="B12" s="44" t="str">
        <x:v>TRA002 상태 03</x:v>
      </x:c>
      <x:c r="C12" s="44" t="str">
        <x:v>제출 전체 보류</x:v>
      </x:c>
      <x:c r="D12" s="44" t="str">
        <x:v>관세청 TRA002</x:v>
      </x:c>
      <x:c r="E12" s="44" t="str">
        <x:v>오류원인 저장</x:v>
      </x:c>
      <x:c r="F12" s="44" t="str">
        <x:v>원천 수정</x:v>
      </x:c>
    </x:row>
    <x:row r="13" ht="48" customHeight="1">
      <x:c r="A13" s="44" t="str">
        <x:v>TRA_RESUBMIT</x:v>
      </x:c>
      <x:c r="B13" s="44" t="str">
        <x:v>원천값 수정 승인</x:v>
      </x:c>
      <x:c r="C13" s="44" t="str">
        <x:v>새 txif로 재제출</x:v>
      </x:c>
      <x:c r="D13" s="44" t="str">
        <x:v>Geek</x:v>
      </x:c>
      <x:c r="E13" s="44" t="str">
        <x:v>이전 제출 계보</x:v>
      </x:c>
      <x:c r="F13" s="44" t="str">
        <x:v>재검증</x:v>
      </x:c>
    </x:row>
    <x:row r="14" ht="48" customHeight="1">
      <x:c r="A14" s="44" t="str">
        <x:v>WAREHOUSE_RELEASED</x:v>
      </x:c>
      <x:c r="B14" s="44" t="str">
        <x:v>TRA_ACCEPTED</x:v>
      </x:c>
      <x:c r="C14" s="44" t="str">
        <x:v>물리 출고 허가</x:v>
      </x:c>
      <x:c r="D14" s="44" t="str">
        <x:v>운영/Dongshu</x:v>
      </x:c>
      <x:c r="E14" s="44" t="str">
        <x:v>2인 예외승인</x:v>
      </x:c>
      <x:c r="F14" s="44" t="str">
        <x:v>취소/보류</x:v>
      </x:c>
    </x:row>
    <x:row r="15" ht="48" customHeight="1">
      <x:c r="A15" s="44" t="str">
        <x:v>MAWB_ASSIGNED</x:v>
      </x:c>
      <x:c r="B15" s="44" t="str">
        <x:v>항공편 배정</x:v>
      </x:c>
      <x:c r="C15" s="44" t="str">
        <x:v>MAWB 저장</x:v>
      </x:c>
      <x:c r="D15" s="44" t="str">
        <x:v>Giant</x:v>
      </x:c>
      <x:c r="E15" s="44" t="str">
        <x:v>HBL 매칭</x:v>
      </x:c>
      <x:c r="F15" s="44" t="str">
        <x:v>물류 보류</x:v>
      </x:c>
    </x:row>
    <x:row r="16" ht="48" customHeight="1">
      <x:c r="A16" s="44" t="str">
        <x:v>PHYSICAL_DEPARTED</x:v>
      </x:c>
      <x:c r="B16" s="44" t="str">
        <x:v>실제 출항 이벤트</x:v>
      </x:c>
      <x:c r="C16" s="44" t="str">
        <x:v>고객에게 출발 안내</x:v>
      </x:c>
      <x:c r="D16" s="44" t="str">
        <x:v>Giant/운송사</x:v>
      </x:c>
      <x:c r="E16" s="44" t="str">
        <x:v>물리 스캔/항공 이벤트</x:v>
      </x:c>
      <x:c r="F16" s="44" t="str">
        <x:v>지연 안내</x:v>
      </x:c>
    </x:row>
    <x:row r="17" ht="48" customHeight="1">
      <x:c r="A17" s="44" t="str">
        <x:v>CANCELLED</x:v>
      </x:c>
      <x:c r="B17" s="44" t="str">
        <x:v>고객/운영 승인 취소</x:v>
      </x:c>
      <x:c r="C17" s="44" t="str">
        <x:v>외부시스템 취소 동기화</x:v>
      </x:c>
      <x:c r="D17" s="44" t="str">
        <x:v>CS/운영</x:v>
      </x:c>
      <x:c r="E17" s="44" t="str">
        <x:v>법정 철회·실비 검토</x:v>
      </x:c>
      <x:c r="F17" s="44" t="str">
        <x:v>보상/환불</x:v>
      </x:c>
    </x:row>
  </x:sheetData>
  <x:pageMargins left="0.7" right="0.7" top="0.75" bottom="0.75" header="0.3" footer="0.3"/>
  <x:tableParts count="1">
    <x:tablePart xmlns:r="http://schemas.openxmlformats.org/officeDocument/2006/relationships" r:id="R8ea1e49ee8c645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41" t="str">
        <x:v>ID</x:v>
      </x:c>
      <x:c r="B1" s="41" t="str">
        <x:v>수신처</x:v>
      </x:c>
      <x:c r="C1" s="41" t="str">
        <x:v>확인 질문</x:v>
      </x:c>
      <x:c r="D1" s="41" t="str">
        <x:v>우선순위</x:v>
      </x:c>
      <x:c r="E1" s="41" t="str">
        <x:v>필요 증빙</x:v>
      </x:c>
      <x:c r="F1" s="41" t="str">
        <x:v>담당</x:v>
      </x:c>
      <x:c r="G1" s="41" t="str">
        <x:v>상태</x:v>
      </x:c>
    </x:row>
    <x:row r="2" ht="46" customHeight="1">
      <x:c r="A2" s="44" t="str">
        <x:v>KCS-01</x:v>
      </x:c>
      <x:c r="B2" s="44" t="str">
        <x:v>관세청</x:v>
      </x:c>
      <x:c r="C2" s="44" t="str">
        <x:v>혼합주문에서 tot_ord_prod_qty는 해외상품만인가 전체 주문인가</x:v>
      </x:c>
      <x:c r="D2" s="44" t="str">
        <x:v>P0</x:v>
      </x:c>
      <x:c r="E2" s="44" t="str">
        <x:v>공식 서면+예시 JSON</x:v>
      </x:c>
      <x:c r="F2" s="44" t="str">
        <x:v>통관</x:v>
      </x:c>
      <x:c r="G2" s="44" t="str">
        <x:v>미질의</x:v>
      </x:c>
    </x:row>
    <x:row r="3" ht="46" customHeight="1">
      <x:c r="A3" s="44" t="str">
        <x:v>KCS-02</x:v>
      </x:c>
      <x:c r="B3" s="44" t="str">
        <x:v>관세청</x:v>
      </x:c>
      <x:c r="C3" s="44" t="str">
        <x:v>다중 HBL별 product_info 범위와 전체금액/수량 반복 방식</x:v>
      </x:c>
      <x:c r="D3" s="44" t="str">
        <x:v>P0</x:v>
      </x:c>
      <x:c r="E3" s="44" t="str">
        <x:v>공식 서면+예시 JSON</x:v>
      </x:c>
      <x:c r="F3" s="44" t="str">
        <x:v>통관</x:v>
      </x:c>
      <x:c r="G3" s="44" t="str">
        <x:v>미질의</x:v>
      </x:c>
    </x:row>
    <x:row r="4" ht="46" customHeight="1">
      <x:c r="A4" s="44" t="str">
        <x:v>KCS-03</x:v>
      </x:c>
      <x:c r="B4" s="44" t="str">
        <x:v>관세청</x:v>
      </x:c>
      <x:c r="C4" s="44" t="str">
        <x:v>세트상품 판매단위/구성품단위 및 금액·할인 배분</x:v>
      </x:c>
      <x:c r="D4" s="44" t="str">
        <x:v>P0</x:v>
      </x:c>
      <x:c r="E4" s="44" t="str">
        <x:v>공식 서면</x:v>
      </x:c>
      <x:c r="F4" s="44" t="str">
        <x:v>통관</x:v>
      </x:c>
      <x:c r="G4" s="44" t="str">
        <x:v>미질의</x:v>
      </x:c>
    </x:row>
    <x:row r="5" ht="46" customHeight="1">
      <x:c r="A5" s="44" t="str">
        <x:v>KCS-04</x:v>
      </x:c>
      <x:c r="B5" s="44" t="str">
        <x:v>관세청</x:v>
      </x:c>
      <x:c r="C5" s="44" t="str">
        <x:v>부분오류 수정 시 오류상품만 또는 주문전체 재제출 여부</x:v>
      </x:c>
      <x:c r="D5" s="44" t="str">
        <x:v>P0</x:v>
      </x:c>
      <x:c r="E5" s="44" t="str">
        <x:v>공식 서면</x:v>
      </x:c>
      <x:c r="F5" s="44" t="str">
        <x:v>통관</x:v>
      </x:c>
      <x:c r="G5" s="44" t="str">
        <x:v>미질의</x:v>
      </x:c>
    </x:row>
    <x:row r="6" ht="46" customHeight="1">
      <x:c r="A6" s="44" t="str">
        <x:v>KCS-05</x:v>
      </x:c>
      <x:c r="B6" s="44" t="str">
        <x:v>관세청</x:v>
      </x:c>
      <x:c r="C6" s="44" t="str">
        <x:v>A/B/C 실질판정 우선기준</x:v>
      </x:c>
      <x:c r="D6" s="44" t="str">
        <x:v>P0</x:v>
      </x:c>
      <x:c r="E6" s="44" t="str">
        <x:v>공식 서면</x:v>
      </x:c>
      <x:c r="F6" s="44" t="str">
        <x:v>법무/통관</x:v>
      </x:c>
      <x:c r="G6" s="44" t="str">
        <x:v>미질의</x:v>
      </x:c>
    </x:row>
    <x:row r="7" ht="46" customHeight="1">
      <x:c r="A7" s="44" t="str">
        <x:v>KCS-06</x:v>
      </x:c>
      <x:c r="B7" s="44" t="str">
        <x:v>관세청</x:v>
      </x:c>
      <x:c r="C7" s="44" t="str">
        <x:v>동적/만료 페이지의 prod_sale_pge_url 대체허용 범위</x:v>
      </x:c>
      <x:c r="D7" s="44" t="str">
        <x:v>P1</x:v>
      </x:c>
      <x:c r="E7" s="44" t="str">
        <x:v>공식 서면</x:v>
      </x:c>
      <x:c r="F7" s="44" t="str">
        <x:v>통관</x:v>
      </x:c>
      <x:c r="G7" s="44" t="str">
        <x:v>미질의</x:v>
      </x:c>
    </x:row>
    <x:row r="8" ht="46" customHeight="1">
      <x:c r="A8" s="44" t="str">
        <x:v>KCS-07</x:v>
      </x:c>
      <x:c r="B8" s="44" t="str">
        <x:v>관세청</x:v>
      </x:c>
      <x:c r="C8" s="44" t="str">
        <x:v>Z99999 정확한 필드·대상·종료일</x:v>
      </x:c>
      <x:c r="D8" s="44" t="str">
        <x:v>P0</x:v>
      </x:c>
      <x:c r="E8" s="44" t="str">
        <x:v>공식 서면</x:v>
      </x:c>
      <x:c r="F8" s="44" t="str">
        <x:v>통관</x:v>
      </x:c>
      <x:c r="G8" s="44" t="str">
        <x:v>미질의</x:v>
      </x:c>
    </x:row>
    <x:row r="9" ht="46" customHeight="1">
      <x:c r="A9" s="44" t="str">
        <x:v>KCS-08</x:v>
      </x:c>
      <x:c r="B9" s="44" t="str">
        <x:v>관세청</x:v>
      </x:c>
      <x:c r="C9" s="44" t="str">
        <x:v>2026~2028 단계적 적용대상 조회방법</x:v>
      </x:c>
      <x:c r="D9" s="44" t="str">
        <x:v>P1</x:v>
      </x:c>
      <x:c r="E9" s="44" t="str">
        <x:v>공식 공지/서면</x:v>
      </x:c>
      <x:c r="F9" s="44" t="str">
        <x:v>통관</x:v>
      </x:c>
      <x:c r="G9" s="44" t="str">
        <x:v>미질의</x:v>
      </x:c>
    </x:row>
    <x:row r="10" ht="46" customHeight="1">
      <x:c r="A10" s="44" t="str">
        <x:v>KCS-09</x:v>
      </x:c>
      <x:c r="B10" s="44" t="str">
        <x:v>관세청</x:v>
      </x:c>
      <x:c r="C10" s="44" t="str">
        <x:v>PER 장애 시 사후 PER003·TRA 허용범위</x:v>
      </x:c>
      <x:c r="D10" s="44" t="str">
        <x:v>P1</x:v>
      </x:c>
      <x:c r="E10" s="44" t="str">
        <x:v>공식 서면</x:v>
      </x:c>
      <x:c r="F10" s="44" t="str">
        <x:v>통관</x:v>
      </x:c>
      <x:c r="G10" s="44" t="str">
        <x:v>미질의</x:v>
      </x:c>
    </x:row>
    <x:row r="11" ht="46" customHeight="1">
      <x:c r="A11" s="44" t="str">
        <x:v>KCS-10</x:v>
      </x:c>
      <x:c r="B11" s="44" t="str">
        <x:v>관세청</x:v>
      </x:c>
      <x:c r="C11" s="44" t="str">
        <x:v>파일럿/테스트 환경·승인 데이터·삭제 절차</x:v>
      </x:c>
      <x:c r="D11" s="44" t="str">
        <x:v>P0</x:v>
      </x:c>
      <x:c r="E11" s="44" t="str">
        <x:v>공식 승인</x:v>
      </x:c>
      <x:c r="F11" s="44" t="str">
        <x:v>PM</x:v>
      </x:c>
      <x:c r="G11" s="44" t="str">
        <x:v>미질의</x:v>
      </x:c>
    </x:row>
    <x:row r="12" ht="46" customHeight="1">
      <x:c r="A12" s="44" t="str">
        <x:v>GNT-01</x:v>
      </x:c>
      <x:c r="B12" s="44" t="str">
        <x:v>Giant</x:v>
      </x:c>
      <x:c r="C12" s="44" t="str">
        <x:v>가격필드별 고객가/조달가/신고가 정의</x:v>
      </x:c>
      <x:c r="D12" s="44" t="str">
        <x:v>P0</x:v>
      </x:c>
      <x:c r="E12" s="44" t="str">
        <x:v>API 사양+계산식</x:v>
      </x:c>
      <x:c r="F12" s="44" t="str">
        <x:v>재무</x:v>
      </x:c>
      <x:c r="G12" s="44" t="str">
        <x:v>미질의</x:v>
      </x:c>
    </x:row>
    <x:row r="13" ht="46" customHeight="1">
      <x:c r="A13" s="44" t="str">
        <x:v>GNT-02</x:v>
      </x:c>
      <x:c r="B13" s="44" t="str">
        <x:v>Giant</x:v>
      </x:c>
      <x:c r="C13" s="44" t="str">
        <x:v>환율출처·기준시각·반올림·비용 포함범위</x:v>
      </x:c>
      <x:c r="D13" s="44" t="str">
        <x:v>P0</x:v>
      </x:c>
      <x:c r="E13" s="44" t="str">
        <x:v>정책 문서</x:v>
      </x:c>
      <x:c r="F13" s="44" t="str">
        <x:v>재무</x:v>
      </x:c>
      <x:c r="G13" s="44" t="str">
        <x:v>미질의</x:v>
      </x:c>
    </x:row>
    <x:row r="14" ht="46" customHeight="1">
      <x:c r="A14" s="44" t="str">
        <x:v>GNT-03</x:v>
      </x:c>
      <x:c r="B14" s="44" t="str">
        <x:v>Giant</x:v>
      </x:c>
      <x:c r="C14" s="44" t="str">
        <x:v>HBL 조회가능기간과 SLA</x:v>
      </x:c>
      <x:c r="D14" s="44" t="str">
        <x:v>P1</x:v>
      </x:c>
      <x:c r="E14" s="44" t="str">
        <x:v>SLA</x:v>
      </x:c>
      <x:c r="F14" s="44" t="str">
        <x:v>물류</x:v>
      </x:c>
      <x:c r="G14" s="44" t="str">
        <x:v>미질의</x:v>
      </x:c>
    </x:row>
    <x:row r="15" ht="46" customHeight="1">
      <x:c r="A15" s="44" t="str">
        <x:v>GNT-04</x:v>
      </x:c>
      <x:c r="B15" s="44" t="str">
        <x:v>Giant</x:v>
      </x:c>
      <x:c r="C15" s="44" t="str">
        <x:v>HBL 정정/취소/재발급 변경이력</x:v>
      </x:c>
      <x:c r="D15" s="44" t="str">
        <x:v>P1</x:v>
      </x:c>
      <x:c r="E15" s="44" t="str">
        <x:v>API 사양</x:v>
      </x:c>
      <x:c r="F15" s="44" t="str">
        <x:v>물류</x:v>
      </x:c>
      <x:c r="G15" s="44" t="str">
        <x:v>미질의</x:v>
      </x:c>
    </x:row>
    <x:row r="16" ht="46" customHeight="1">
      <x:c r="A16" s="44" t="str">
        <x:v>GNT-05</x:v>
      </x:c>
      <x:c r="B16" s="44" t="str">
        <x:v>Giant</x:v>
      </x:c>
      <x:c r="C16" s="44" t="str">
        <x:v>멱등키·중복방지 규칙</x:v>
      </x:c>
      <x:c r="D16" s="44" t="str">
        <x:v>P1</x:v>
      </x:c>
      <x:c r="E16" s="44" t="str">
        <x:v>API 사양</x:v>
      </x:c>
      <x:c r="F16" s="44" t="str">
        <x:v>Geek</x:v>
      </x:c>
      <x:c r="G16" s="44" t="str">
        <x:v>미질의</x:v>
      </x:c>
    </x:row>
    <x:row r="17" ht="46" customHeight="1">
      <x:c r="A17" s="44" t="str">
        <x:v>DST-01</x:v>
      </x:c>
      <x:c r="B17" s="44" t="str">
        <x:v>Dongshu</x:v>
      </x:c>
      <x:c r="C17" s="44" t="str">
        <x:v>29개 채널 판매자·대금수취자·법적역할</x:v>
      </x:c>
      <x:c r="D17" s="44" t="str">
        <x:v>P0</x:v>
      </x:c>
      <x:c r="E17" s="44" t="str">
        <x:v>승인 매트릭스</x:v>
      </x:c>
      <x:c r="F17" s="44" t="str">
        <x:v>사업</x:v>
      </x:c>
      <x:c r="G17" s="44" t="str">
        <x:v>미질의</x:v>
      </x:c>
    </x:row>
    <x:row r="18" ht="46" customHeight="1">
      <x:c r="A18" s="44" t="str">
        <x:v>DST-02</x:v>
      </x:c>
      <x:c r="B18" s="44" t="str">
        <x:v>Dongshu</x:v>
      </x:c>
      <x:c r="C18" s="44" t="str">
        <x:v>결제·할인·환불 주문시점 스냅샷 제공</x:v>
      </x:c>
      <x:c r="D18" s="44" t="str">
        <x:v>P0</x:v>
      </x:c>
      <x:c r="E18" s="44" t="str">
        <x:v>필드 사양</x:v>
      </x:c>
      <x:c r="F18" s="44" t="str">
        <x:v>재무</x:v>
      </x:c>
      <x:c r="G18" s="44" t="str">
        <x:v>미질의</x:v>
      </x:c>
    </x:row>
    <x:row r="19" ht="46" customHeight="1">
      <x:c r="A19" s="44" t="str">
        <x:v>DST-03</x:v>
      </x:c>
      <x:c r="B19" s="44" t="str">
        <x:v>Dongshu</x:v>
      </x:c>
      <x:c r="C19" s="44" t="str">
        <x:v>상품명·카테고리·URL의 주문시점 보존</x:v>
      </x:c>
      <x:c r="D19" s="44" t="str">
        <x:v>P1</x:v>
      </x:c>
      <x:c r="E19" s="44" t="str">
        <x:v>필드 사양</x:v>
      </x:c>
      <x:c r="F19" s="44" t="str">
        <x:v>사업</x:v>
      </x:c>
      <x:c r="G19" s="44" t="str">
        <x:v>미질의</x:v>
      </x:c>
    </x:row>
    <x:row r="20" ht="46" customHeight="1">
      <x:c r="A20" s="44" t="str">
        <x:v>DST-04</x:v>
      </x:c>
      <x:c r="B20" s="44" t="str">
        <x:v>Dongshu</x:v>
      </x:c>
      <x:c r="C20" s="44" t="str">
        <x:v>다중 HBL 상품관계의 불변키</x:v>
      </x:c>
      <x:c r="D20" s="44" t="str">
        <x:v>P1</x:v>
      </x:c>
      <x:c r="E20" s="44" t="str">
        <x:v>예시 데이터</x:v>
      </x:c>
      <x:c r="F20" s="44" t="str">
        <x:v>물류</x:v>
      </x:c>
      <x:c r="G20" s="44" t="str">
        <x:v>미질의</x:v>
      </x:c>
    </x:row>
    <x:row r="21" ht="46" customHeight="1">
      <x:c r="A21" s="44" t="str">
        <x:v>DST-05</x:v>
      </x:c>
      <x:c r="B21" s="44" t="str">
        <x:v>Dongshu</x:v>
      </x:c>
      <x:c r="C21" s="44" t="str">
        <x:v>실측/추정 중량과 오차근거</x:v>
      </x:c>
      <x:c r="D21" s="44" t="str">
        <x:v>P1</x:v>
      </x:c>
      <x:c r="E21" s="44" t="str">
        <x:v>공식 정책</x:v>
      </x:c>
      <x:c r="F21" s="44" t="str">
        <x:v>물류</x:v>
      </x:c>
      <x:c r="G21" s="44" t="str">
        <x:v>미질의</x:v>
      </x:c>
    </x:row>
    <x:row r="22" ht="46" customHeight="1">
      <x:c r="A22" s="44" t="str">
        <x:v>DEV-01</x:v>
      </x:c>
      <x:c r="B22" s="44" t="str">
        <x:v>Geek</x:v>
      </x:c>
      <x:c r="C22" s="44" t="str">
        <x:v>v1.4.1 스키마 계약테스트</x:v>
      </x:c>
      <x:c r="D22" s="44" t="str">
        <x:v>P0</x:v>
      </x:c>
      <x:c r="E22" s="44" t="str">
        <x:v>자동테스트 결과</x:v>
      </x:c>
      <x:c r="F22" s="44" t="str">
        <x:v>개발</x:v>
      </x:c>
      <x:c r="G22" s="44" t="str">
        <x:v>미제출</x:v>
      </x:c>
    </x:row>
    <x:row r="23" ht="46" customHeight="1">
      <x:c r="A23" s="44" t="str">
        <x:v>DEV-02</x:v>
      </x:c>
      <x:c r="B23" s="44" t="str">
        <x:v>Geek</x:v>
      </x:c>
      <x:c r="C23" s="44" t="str">
        <x:v>TRA002/003 상태·오류 처리 설계</x:v>
      </x:c>
      <x:c r="D23" s="44" t="str">
        <x:v>P0</x:v>
      </x:c>
      <x:c r="E23" s="44" t="str">
        <x:v>설계서+테스트</x:v>
      </x:c>
      <x:c r="F23" s="44" t="str">
        <x:v>개발</x:v>
      </x:c>
      <x:c r="G23" s="44" t="str">
        <x:v>미제출</x:v>
      </x:c>
    </x:row>
    <x:row r="24" ht="46" customHeight="1">
      <x:c r="A24" s="44" t="str">
        <x:v>DEV-03</x:v>
      </x:c>
      <x:c r="B24" s="44" t="str">
        <x:v>Geek</x:v>
      </x:c>
      <x:c r="C24" s="44" t="str">
        <x:v>재제출 계보·멱등·감사로그</x:v>
      </x:c>
      <x:c r="D24" s="44" t="str">
        <x:v>P0</x:v>
      </x:c>
      <x:c r="E24" s="44" t="str">
        <x:v>설계서+화면</x:v>
      </x:c>
      <x:c r="F24" s="44" t="str">
        <x:v>개발</x:v>
      </x:c>
      <x:c r="G24" s="44" t="str">
        <x:v>미제출</x:v>
      </x:c>
    </x:row>
    <x:row r="25" ht="46" customHeight="1">
      <x:c r="A25" s="44" t="str">
        <x:v>DEV-04</x:v>
      </x:c>
      <x:c r="B25" s="44" t="str">
        <x:v>Geek</x:v>
      </x:c>
      <x:c r="C25" s="44" t="str">
        <x:v>엑셀 대량전송 범위·승인·롤백</x:v>
      </x:c>
      <x:c r="D25" s="44" t="str">
        <x:v>P0</x:v>
      </x:c>
      <x:c r="E25" s="44" t="str">
        <x:v>설계서+테스트</x:v>
      </x:c>
      <x:c r="F25" s="44" t="str">
        <x:v>개발</x:v>
      </x:c>
      <x:c r="G25" s="44" t="str">
        <x:v>미제출</x:v>
      </x:c>
    </x:row>
    <x:row r="26" ht="46" customHeight="1">
      <x:c r="A26" s="44" t="str">
        <x:v>DEV-05</x:v>
      </x:c>
      <x:c r="B26" s="44" t="str">
        <x:v>Geek</x:v>
      </x:c>
      <x:c r="C26" s="44" t="str">
        <x:v>고객가/조달가/신고가 데이터모델·대사</x:v>
      </x:c>
      <x:c r="D26" s="44" t="str">
        <x:v>P0</x:v>
      </x:c>
      <x:c r="E26" s="44" t="str">
        <x:v>ERD+샘플 대사</x:v>
      </x:c>
      <x:c r="F26" s="44" t="str">
        <x:v>개발/재무</x:v>
      </x:c>
      <x:c r="G26" s="44" t="str">
        <x:v>미제출</x:v>
      </x:c>
    </x:row>
    <x:row r="27" ht="46" customHeight="1">
      <x:c r="A27" s="44" t="str">
        <x:v>LAW-01</x:v>
      </x:c>
      <x:c r="B27" s="44" t="str">
        <x:v>법무</x:v>
      </x:c>
      <x:c r="C27" s="44" t="str">
        <x:v>국외이전 필수 고지항목 확정</x:v>
      </x:c>
      <x:c r="D27" s="44" t="str">
        <x:v>P0</x:v>
      </x:c>
      <x:c r="E27" s="44" t="str">
        <x:v>변호사 승인본</x:v>
      </x:c>
      <x:c r="F27" s="44" t="str">
        <x:v>법무</x:v>
      </x:c>
      <x:c r="G27" s="44" t="str">
        <x:v>미검토</x:v>
      </x:c>
    </x:row>
    <x:row r="28" ht="46" customHeight="1">
      <x:c r="A28" s="44" t="str">
        <x:v>LAW-02</x:v>
      </x:c>
      <x:c r="B28" s="44" t="str">
        <x:v>법무</x:v>
      </x:c>
      <x:c r="C28" s="44" t="str">
        <x:v>제3자 제공/위탁/재위탁 역할 확정</x:v>
      </x:c>
      <x:c r="D28" s="44" t="str">
        <x:v>P0</x:v>
      </x:c>
      <x:c r="E28" s="44" t="str">
        <x:v>변호사 승인본</x:v>
      </x:c>
      <x:c r="F28" s="44" t="str">
        <x:v>법무</x:v>
      </x:c>
      <x:c r="G28" s="44" t="str">
        <x:v>미검토</x:v>
      </x:c>
    </x:row>
    <x:row r="29" ht="46" customHeight="1">
      <x:c r="A29" s="44" t="str">
        <x:v>LAW-03</x:v>
      </x:c>
      <x:c r="B29" s="44" t="str">
        <x:v>법무</x:v>
      </x:c>
      <x:c r="C29" s="44" t="str">
        <x:v>PCCC/OTP/CI/거래기록 보유기간</x:v>
      </x:c>
      <x:c r="D29" s="44" t="str">
        <x:v>P0</x:v>
      </x:c>
      <x:c r="E29" s="44" t="str">
        <x:v>보유기간표</x:v>
      </x:c>
      <x:c r="F29" s="44" t="str">
        <x:v>DPO</x:v>
      </x:c>
      <x:c r="G29" s="44" t="str">
        <x:v>미검토</x:v>
      </x:c>
    </x:row>
    <x:row r="30" ht="46" customHeight="1">
      <x:c r="A30" s="44" t="str">
        <x:v>LAW-04</x:v>
      </x:c>
      <x:c r="B30" s="44" t="str">
        <x:v>법무</x:v>
      </x:c>
      <x:c r="C30" s="44" t="str">
        <x:v>해외주문 철회·반품·환불 약관</x:v>
      </x:c>
      <x:c r="D30" s="44" t="str">
        <x:v>P0</x:v>
      </x:c>
      <x:c r="E30" s="44" t="str">
        <x:v>변호사 승인본</x:v>
      </x:c>
      <x:c r="F30" s="44" t="str">
        <x:v>법무/CS</x:v>
      </x:c>
      <x:c r="G30" s="44" t="str">
        <x:v>미검토</x:v>
      </x:c>
    </x:row>
    <x:row r="31" ht="46" customHeight="1">
      <x:c r="A31" s="44" t="str">
        <x:v>CON-01</x:v>
      </x:c>
      <x:c r="B31" s="44" t="str">
        <x:v>계약</x:v>
      </x:c>
      <x:c r="C31" s="44" t="str">
        <x:v>당사자·조문·중복범위·최종금액 변경합의</x:v>
      </x:c>
      <x:c r="D31" s="44" t="str">
        <x:v>P0</x:v>
      </x:c>
      <x:c r="E31" s="44" t="str">
        <x:v>서명된 변경합의서</x:v>
      </x:c>
      <x:c r="F31" s="44" t="str">
        <x:v>PM/법무</x:v>
      </x:c>
      <x:c r="G31" s="44" t="str">
        <x:v>미체결</x:v>
      </x:c>
    </x:row>
  </x:sheetData>
  <x:dataValidations count="1">
    <x:dataValidation type="list" sqref="G2:G31">
      <x:formula1>"미질의,발송,답변대기,추가질의,답변완료,테스트반영"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72f62694054f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62" hidden="0" customWidth="1"/>
    <x:col min="4" max="4" width="10" hidden="0" customWidth="1"/>
    <x:col min="5" max="5" width="16" hidden="0" customWidth="1"/>
    <x:col min="6" max="6" width="25" hidden="0" customWidth="1"/>
    <x:col min="7" max="7" width="68" hidden="0" customWidth="1"/>
  </x:cols>
  <x:sheetData>
    <x:row r="1" ht="30" customHeight="1">
      <x:c r="A1" s="41" t="str">
        <x:v>No</x:v>
      </x:c>
      <x:c r="B1" s="41" t="str">
        <x:v>분류</x:v>
      </x:c>
      <x:c r="C1" s="41" t="str">
        <x:v>상대경로</x:v>
      </x:c>
      <x:c r="D1" s="41" t="str">
        <x:v>확장자</x:v>
      </x:c>
      <x:c r="E1" s="41" t="str">
        <x:v>크기(Byte)</x:v>
      </x:c>
      <x:c r="F1" s="41" t="str">
        <x:v>수정시각(UTC)</x:v>
      </x:c>
      <x:c r="G1" s="41" t="str">
        <x:v>SHA-256</x:v>
      </x:c>
    </x:row>
    <x:row r="2">
      <x:c r="A2" s="44" t="n">
        <x:v>1</x:v>
      </x:c>
      <x:c r="B2" s="44" t="str">
        <x:v>정리 안내</x:v>
      </x:c>
      <x:c r="C2" s="44" t="str">
        <x:v>00_자료안내/README.md</x:v>
      </x:c>
      <x:c r="D2" s="44" t="str">
        <x:v>md</x:v>
      </x:c>
      <x:c r="E2" s="67" t="n">
        <x:v>3388</x:v>
      </x:c>
      <x:c r="F2" s="44" t="n">
        <x:v>46240.51222552083</x:v>
      </x:c>
      <x:c r="G2" s="44" t="str">
        <x:v>63715ee48b7cb56886c25e4ef089c85ed29e6373e4e3e2d86dc38a3178db18fa</x:v>
      </x:c>
    </x:row>
    <x:row r="3">
      <x:c r="A3" s="44" t="n">
        <x:v>2</x:v>
      </x:c>
      <x:c r="B3" s="44" t="str">
        <x:v>재평가 결과</x:v>
      </x:c>
      <x:c r="C3" s="44" t="str">
        <x:v>90_재평가결과/2026-08-06_공식질의서_초안.md</x:v>
      </x:c>
      <x:c r="D3" s="44" t="str">
        <x:v>md</x:v>
      </x:c>
      <x:c r="E3" s="67" t="n">
        <x:v>7445</x:v>
      </x:c>
      <x:c r="F3" s="44" t="n">
        <x:v>46240.51222552083</x:v>
      </x:c>
      <x:c r="G3" s="44" t="str">
        <x:v>acdaa13805a51f34e6725b5bf0279fa315861ef13f6de34bb84db72d96b57b19</x:v>
      </x:c>
    </x:row>
    <x:row r="4">
      <x:c r="A4" s="44" t="n">
        <x:v>3</x:v>
      </x:c>
      <x:c r="B4" s="44" t="str">
        <x:v>재평가 결과</x:v>
      </x:c>
      <x:c r="C4" s="44" t="str">
        <x:v>90_재평가결과/2026-08-06_관세청_연동_기획_전면재평가.md</x:v>
      </x:c>
      <x:c r="D4" s="44" t="str">
        <x:v>md</x:v>
      </x:c>
      <x:c r="E4" s="67" t="n">
        <x:v>21692</x:v>
      </x:c>
      <x:c r="F4" s="44" t="n">
        <x:v>46240.51222552083</x:v>
      </x:c>
      <x:c r="G4" s="44" t="str">
        <x:v>dc40f8d5c5f3dbc532fddb6af5a404de4cf61ecb4edff04862b60b7ad97fbc19</x:v>
      </x:c>
    </x:row>
    <x:row r="5">
      <x:c r="A5" s="44" t="n">
        <x:v>7</x:v>
      </x:c>
      <x:c r="B5" s="44" t="str">
        <x:v>외부 수집 원본</x:v>
      </x:c>
      <x:c r="C5" s="44" t="str">
        <x:v>99_외부수집원본/개발협의_카카오톡_로그.txt</x:v>
      </x:c>
      <x:c r="D5" s="44" t="str">
        <x:v>txt</x:v>
      </x:c>
      <x:c r="E5" s="67" t="n">
        <x:v>38152</x:v>
      </x:c>
      <x:c r="F5" s="44" t="n">
        <x:v>46240.49384144676</x:v>
      </x:c>
      <x:c r="G5" s="44" t="str">
        <x:v>c147b5080722d77f4eb635cf7d9faf3e391a4bfe6fcb7a766fc869ca9b7da38a</x:v>
      </x:c>
    </x:row>
    <x:row r="6">
      <x:c r="A6" s="44" t="n">
        <x:v>8</x:v>
      </x:c>
      <x:c r="B6" s="44" t="str">
        <x:v>외부 수집 원본</x:v>
      </x:c>
      <x:c r="C6" s="44" t="str">
        <x:v>99_외부수집원본/동수_위챗_협의_로그.txt</x:v>
      </x:c>
      <x:c r="D6" s="44" t="str">
        <x:v>txt</x:v>
      </x:c>
      <x:c r="E6" s="67" t="n">
        <x:v>21848</x:v>
      </x:c>
      <x:c r="F6" s="44" t="n">
        <x:v>46240.49423109954</x:v>
      </x:c>
      <x:c r="G6" s="44" t="str">
        <x:v>8a9da1fb7cc94fd3c7b4f03539f667b6dc0eea5b6e26d8f3cb9aff3491d2718f</x:v>
      </x:c>
    </x:row>
    <x:row r="7">
      <x:c r="A7" s="44" t="n">
        <x:v>9</x:v>
      </x:c>
      <x:c r="B7" s="44" t="str">
        <x:v>화면 증거</x:v>
      </x:c>
      <x:c r="C7" s="44" t="str">
        <x:v>99_외부수집원본/스크린샷/01_분류관리_화면.png</x:v>
      </x:c>
      <x:c r="D7" s="44" t="str">
        <x:v>png</x:v>
      </x:c>
      <x:c r="E7" s="67" t="n">
        <x:v>42663</x:v>
      </x:c>
      <x:c r="F7" s="44" t="n">
        <x:v>46240.494024722226</x:v>
      </x:c>
      <x:c r="G7" s="44" t="str">
        <x:v>d96d4be1716555a5279e015d19349e66fa24070bb1a8185c1e37becbd0217112</x:v>
      </x:c>
    </x:row>
    <x:row r="8">
      <x:c r="A8" s="44" t="n">
        <x:v>10</x:v>
      </x:c>
      <x:c r="B8" s="44" t="str">
        <x:v>화면 증거</x:v>
      </x:c>
      <x:c r="C8" s="44" t="str">
        <x:v>99_외부수집원본/스크린샷/02_중문_필드매핑_상단.png</x:v>
      </x:c>
      <x:c r="D8" s="44" t="str">
        <x:v>png</x:v>
      </x:c>
      <x:c r="E8" s="67" t="n">
        <x:v>105329</x:v>
      </x:c>
      <x:c r="F8" s="44" t="n">
        <x:v>46240.494024907406</x:v>
      </x:c>
      <x:c r="G8" s="44" t="str">
        <x:v>18dcb7dd7796e9d28d12258a692c15f95dbf34636c887f0ca2246bb9c39c7681</x:v>
      </x:c>
    </x:row>
    <x:row r="9">
      <x:c r="A9" s="44" t="n">
        <x:v>11</x:v>
      </x:c>
      <x:c r="B9" s="44" t="str">
        <x:v>화면 증거</x:v>
      </x:c>
      <x:c r="C9" s="44" t="str">
        <x:v>99_외부수집원본/스크린샷/03_중문_구매대행_중량_필드.png</x:v>
      </x:c>
      <x:c r="D9" s="44" t="str">
        <x:v>png</x:v>
      </x:c>
      <x:c r="E9" s="67" t="n">
        <x:v>111413</x:v>
      </x:c>
      <x:c r="F9" s="44" t="n">
        <x:v>46240.494025023145</x:v>
      </x:c>
      <x:c r="G9" s="44" t="str">
        <x:v>b3f573a13fbc44b92b170631bf242068298dde79a9ac2da85171dd5de4d32a08</x:v>
      </x:c>
    </x:row>
    <x:row r="10">
      <x:c r="A10" s="44" t="n">
        <x:v>12</x:v>
      </x:c>
      <x:c r="B10" s="44" t="str">
        <x:v>화면 증거</x:v>
      </x:c>
      <x:c r="C10" s="44" t="str">
        <x:v>99_외부수집원본/스크린샷/04_중문_상품URL_판매업체_필드.png</x:v>
      </x:c>
      <x:c r="D10" s="44" t="str">
        <x:v>png</x:v>
      </x:c>
      <x:c r="E10" s="67" t="n">
        <x:v>152234</x:v>
      </x:c>
      <x:c r="F10" s="44" t="n">
        <x:v>46240.49402525463</x:v>
      </x:c>
      <x:c r="G10" s="44" t="str">
        <x:v>10c6390bde79a3cac117eabf463a645721ef401837415af0ce7d2db7f488bd3f</x:v>
      </x:c>
    </x:row>
    <x:row r="11">
      <x:c r="A11" s="44" t="n">
        <x:v>13</x:v>
      </x:c>
      <x:c r="B11" s="44" t="str">
        <x:v>화면 증거</x:v>
      </x:c>
      <x:c r="C11" s="44" t="str">
        <x:v>99_외부수집원본/스크린샷/05_중문_상품필드_상세.png</x:v>
      </x:c>
      <x:c r="D11" s="44" t="str">
        <x:v>png</x:v>
      </x:c>
      <x:c r="E11" s="67" t="n">
        <x:v>97617</x:v>
      </x:c>
      <x:c r="F11" s="44" t="n">
        <x:v>46240.49402525463</x:v>
      </x:c>
      <x:c r="G11" s="44" t="str">
        <x:v>0ff37dd4c18b3438f15ec4f0baf5c80bb373570120c887bb101934f13dee1001</x:v>
      </x:c>
    </x:row>
    <x:row r="12">
      <x:c r="A12" s="44" t="n">
        <x:v>14</x:v>
      </x:c>
      <x:c r="B12" s="44" t="str">
        <x:v>화면 증거</x:v>
      </x:c>
      <x:c r="C12" s="44" t="str">
        <x:v>99_외부수집원본/스크린샷/06_중문_필드매핑_전체.jpg</x:v>
      </x:c>
      <x:c r="D12" s="44" t="str">
        <x:v>jpg</x:v>
      </x:c>
      <x:c r="E12" s="67" t="n">
        <x:v>184028</x:v>
      </x:c>
      <x:c r="F12" s="44" t="n">
        <x:v>46240.494025451386</x:v>
      </x:c>
      <x:c r="G12" s="44" t="str">
        <x:v>bef087d3a0d99afa566fbb7121deda464d34f6da7763ed501b6581345d5a6b8f</x:v>
      </x:c>
    </x:row>
    <x:row r="13">
      <x:c r="A13" s="44" t="n">
        <x:v>15</x:v>
      </x:c>
      <x:c r="B13" s="44" t="str">
        <x:v>화면 증거</x:v>
      </x:c>
      <x:c r="C13" s="44" t="str">
        <x:v>99_외부수집원본/스크린샷/07_중문_HBL_필드.png</x:v>
      </x:c>
      <x:c r="D13" s="44" t="str">
        <x:v>png</x:v>
      </x:c>
      <x:c r="E13" s="67" t="n">
        <x:v>133023</x:v>
      </x:c>
      <x:c r="F13" s="44" t="n">
        <x:v>46240.494025451386</x:v>
      </x:c>
      <x:c r="G13" s="44" t="str">
        <x:v>aa312654f4ea14b865063314fa8e4f155349d6011bded9eb1c3ac959495ca0d5</x:v>
      </x:c>
    </x:row>
    <x:row r="14">
      <x:c r="A14" s="44" t="n">
        <x:v>16</x:v>
      </x:c>
      <x:c r="B14" s="44" t="str">
        <x:v>화면 증거</x:v>
      </x:c>
      <x:c r="C14" s="44" t="str">
        <x:v>99_외부수집원본/스크린샷/08_엑셀_필드매핑_화면.png</x:v>
      </x:c>
      <x:c r="D14" s="44" t="str">
        <x:v>png</x:v>
      </x:c>
      <x:c r="E14" s="67" t="n">
        <x:v>224125</x:v>
      </x:c>
      <x:c r="F14" s="44" t="n">
        <x:v>46240.49402574074</x:v>
      </x:c>
      <x:c r="G14" s="44" t="str">
        <x:v>53863b73c611eeca7b08b1a50b487fd42cc48d0e1e280bc080290648a41c7ac6</x:v>
      </x:c>
    </x:row>
    <x:row r="15">
      <x:c r="A15" s="44" t="n">
        <x:v>17</x:v>
      </x:c>
      <x:c r="B15" s="44" t="str">
        <x:v>화면 증거</x:v>
      </x:c>
      <x:c r="C15" s="44" t="str">
        <x:v>99_외부수집원본/스크린샷/09_엑셀_필드매핑_상세.png</x:v>
      </x:c>
      <x:c r="D15" s="44" t="str">
        <x:v>png</x:v>
      </x:c>
      <x:c r="E15" s="67" t="n">
        <x:v>243145</x:v>
      </x:c>
      <x:c r="F15" s="44" t="n">
        <x:v>46240.494025960645</x:v>
      </x:c>
      <x:c r="G15" s="44" t="str">
        <x:v>8ae2458368915acbf29524592588fe869e3a40e6cc80f6a80766cfe216e452b1</x:v>
      </x:c>
    </x:row>
    <x:row r="16">
      <x:c r="A16" s="44" t="n">
        <x:v>18</x:v>
      </x:c>
      <x:c r="B16" s="44" t="str">
        <x:v>화면 증거</x:v>
      </x:c>
      <x:c r="C16" s="44" t="str">
        <x:v>99_외부수집원본/스크린샷/10_상품관리_신고단가.png</x:v>
      </x:c>
      <x:c r="D16" s="44" t="str">
        <x:v>png</x:v>
      </x:c>
      <x:c r="E16" s="67" t="n">
        <x:v>62360</x:v>
      </x:c>
      <x:c r="F16" s="44" t="n">
        <x:v>46240.494025960645</x:v>
      </x:c>
      <x:c r="G16" s="44" t="str">
        <x:v>fe97bb0570350f8c794421fb4fe4170f9ad872ce6bc737aa0875f7b326a4d747</x:v>
      </x:c>
    </x:row>
    <x:row r="17">
      <x:c r="A17" s="44" t="n">
        <x:v>19</x:v>
      </x:c>
      <x:c r="B17" s="44" t="str">
        <x:v>화면 증거</x:v>
      </x:c>
      <x:c r="C17" s="44" t="str">
        <x:v>99_외부수집원본/스크린샷/11_자이언트_goodsList_가격.png</x:v>
      </x:c>
      <x:c r="D17" s="44" t="str">
        <x:v>png</x:v>
      </x:c>
      <x:c r="E17" s="67" t="n">
        <x:v>30551</x:v>
      </x:c>
      <x:c r="F17" s="44" t="n">
        <x:v>46240.494026238426</x:v>
      </x:c>
      <x:c r="G17" s="44" t="str">
        <x:v>8ab50f1849a7999a0275a662b8ba4790b78057397125a69e88650ba6471967f5</x:v>
      </x:c>
    </x:row>
    <x:row r="18">
      <x:c r="A18" s="44" t="n">
        <x:v>20</x:v>
      </x:c>
      <x:c r="B18" s="44" t="str">
        <x:v>화면 증거</x:v>
      </x:c>
      <x:c r="C18" s="44" t="str">
        <x:v>99_외부수집원본/스크린샷/12_주문_결제금액_신고금액.png</x:v>
      </x:c>
      <x:c r="D18" s="44" t="str">
        <x:v>png</x:v>
      </x:c>
      <x:c r="E18" s="67" t="n">
        <x:v>33025</x:v>
      </x:c>
      <x:c r="F18" s="44" t="n">
        <x:v>46240.494026354165</x:v>
      </x:c>
      <x:c r="G18" s="44" t="str">
        <x:v>c0ad9b4cb9eb492dab0b47159d3feefbdf573070e5e1b6858640c8cbefa22a1f</x:v>
      </x:c>
    </x:row>
    <x:row r="19">
      <x:c r="A19" s="44" t="n">
        <x:v>21</x:v>
      </x:c>
      <x:c r="B19" s="44" t="str">
        <x:v>화면 증거</x:v>
      </x:c>
      <x:c r="C19" s="44" t="str">
        <x:v>99_외부수집원본/스크린샷/13_상품목록_신고단가.png</x:v>
      </x:c>
      <x:c r="D19" s="44" t="str">
        <x:v>png</x:v>
      </x:c>
      <x:c r="E19" s="67" t="n">
        <x:v>23611</x:v>
      </x:c>
      <x:c r="F19" s="44" t="n">
        <x:v>46240.494026493056</x:v>
      </x:c>
      <x:c r="G19" s="44" t="str">
        <x:v>17033166d008688a5d7b4b5b562e3f8bd72c0b07376a6bc587a6144d58ea39d7</x:v>
      </x:c>
    </x:row>
    <x:row r="20">
      <x:c r="A20" s="44" t="n">
        <x:v>22</x:v>
      </x:c>
      <x:c r="B20" s="44" t="str">
        <x:v>화면 증거</x:v>
      </x:c>
      <x:c r="C20" s="44" t="str">
        <x:v>99_외부수집원본/스크린샷/14_중문_필드매핑_상단_중복캡처.png</x:v>
      </x:c>
      <x:c r="D20" s="44" t="str">
        <x:v>png</x:v>
      </x:c>
      <x:c r="E20" s="67" t="n">
        <x:v>105329</x:v>
      </x:c>
      <x:c r="F20" s="44" t="n">
        <x:v>46240.494071469904</x:v>
      </x:c>
      <x:c r="G20" s="44" t="str">
        <x:v>18dcb7dd7796e9d28d12258a692c15f95dbf34636c887f0ca2246bb9c39c7681</x:v>
      </x:c>
    </x:row>
    <x:row r="21">
      <x:c r="A21" s="44" t="n">
        <x:v>4</x:v>
      </x:c>
      <x:c r="B21" s="44" t="str">
        <x:v>외부 수집 원본</x:v>
      </x:c>
      <x:c r="C21" s="44" t="str">
        <x:v>99_외부수집원본/api_field_mapping_cn_구버전.html</x:v>
      </x:c>
      <x:c r="D21" s="44" t="str">
        <x:v>html</x:v>
      </x:c>
      <x:c r="E21" s="67" t="n">
        <x:v>57468</x:v>
      </x:c>
      <x:c r="F21" s="44" t="n">
        <x:v>46238.35359885417</x:v>
      </x:c>
      <x:c r="G21" s="44" t="str">
        <x:v>22c1b504ebea6e615938a958869cdb93aa7d10309fa692208108f1c21bf33c4a</x:v>
      </x:c>
    </x:row>
    <x:row r="22">
      <x:c r="A22" s="44" t="n">
        <x:v>5</x:v>
      </x:c>
      <x:c r="B22" s="44" t="str">
        <x:v>외부 수집 원본</x:v>
      </x:c>
      <x:c r="C22" s="44" t="str">
        <x:v>99_외부수집원본/api_field_mapping_detailed_v3.xlsx</x:v>
      </x:c>
      <x:c r="D22" s="44" t="str">
        <x:v>xlsx</x:v>
      </x:c>
      <x:c r="E22" s="67" t="n">
        <x:v>25914</x:v>
      </x:c>
      <x:c r="F22" s="44" t="n">
        <x:v>46238.23745060185</x:v>
      </x:c>
      <x:c r="G22" s="44" t="str">
        <x:v>5ff9c0bf6eb9b802409c5891d6cdeccee356b4a13cabed11d4d1b699ae76637c</x:v>
      </x:c>
    </x:row>
    <x:row r="23">
      <x:c r="A23" s="44" t="n">
        <x:v>6</x:v>
      </x:c>
      <x:c r="B23" s="44" t="str">
        <x:v>외부 수집 원본</x:v>
      </x:c>
      <x:c r="C23" s="44" t="str">
        <x:v>99_외부수집원본/api_field_mapping_zh_구버전.html</x:v>
      </x:c>
      <x:c r="D23" s="44" t="str">
        <x:v>html</x:v>
      </x:c>
      <x:c r="E23" s="67" t="n">
        <x:v>20326</x:v>
      </x:c>
      <x:c r="F23" s="44" t="n">
        <x:v>46237.307636412035</x:v>
      </x:c>
      <x:c r="G23" s="44" t="str">
        <x:v>e8705377f60874d91b81e3c381904f0dcae1be602702152565f5fdb5adef5fb9</x:v>
      </x:c>
    </x:row>
    <x:row r="24">
      <x:c r="A24" s="44" t="n">
        <x:v>23</x:v>
      </x:c>
      <x:c r="B24" s="44" t="str">
        <x:v>공식·계약 자료</x:v>
      </x:c>
      <x:c r="C24" s="44" t="str">
        <x:v>documents/(GeekStudio) 뉴트리시아_관세청_연동_개발_계약서.pdf</x:v>
      </x:c>
      <x:c r="D24" s="44" t="str">
        <x:v>pdf</x:v>
      </x:c>
      <x:c r="E24" s="67" t="n">
        <x:v>753039</x:v>
      </x:c>
      <x:c r="F24" s="44" t="n">
        <x:v>46234.564763194445</x:v>
      </x:c>
      <x:c r="G24" s="44" t="str">
        <x:v>b65f311dfeed378644ae2c5b43aa6e5b38494ee2b0154daf4c283b13780deb48</x:v>
      </x:c>
    </x:row>
    <x:row r="25">
      <x:c r="A25" s="44" t="n">
        <x:v>24</x:v>
      </x:c>
      <x:c r="B25" s="44" t="str">
        <x:v>공식·계약 자료</x:v>
      </x:c>
      <x:c r="C25" s="44" t="str">
        <x:v>documents/[GeekStudio] 뉴트리시아몰_관세청_API_연동_추가개발_가견적서_260729.pdf</x:v>
      </x:c>
      <x:c r="D25" s="44" t="str">
        <x:v>pdf</x:v>
      </x:c>
      <x:c r="E25" s="67" t="n">
        <x:v>356622</x:v>
      </x:c>
      <x:c r="F25" s="44" t="n">
        <x:v>46234.63669778935</x:v>
      </x:c>
      <x:c r="G25" s="44" t="str">
        <x:v>2ae75c6cae35d5eeed185d8865cf2d78f09c72552aae2e87279d59dd0840767f</x:v>
      </x:c>
    </x:row>
    <x:row r="26">
      <x:c r="A26" s="44" t="n">
        <x:v>25</x:v>
      </x:c>
      <x:c r="B26" s="44" t="str">
        <x:v>공식·계약 자료</x:v>
      </x:c>
      <x:c r="C26" s="44" t="str">
        <x:v>documents/개인통관고유부호_CI활용_기관.pdf</x:v>
      </x:c>
      <x:c r="D26" s="44" t="str">
        <x:v>pdf</x:v>
      </x:c>
      <x:c r="E26" s="67" t="n">
        <x:v>183456</x:v>
      </x:c>
      <x:c r="F26" s="44" t="n">
        <x:v>46240.34286950232</x:v>
      </x:c>
      <x:c r="G26" s="44" t="str">
        <x:v>930d379b6d23f32289b769b4ff42da6195d93adf0826fb4ca4ee77f70ad99917</x:v>
      </x:c>
    </x:row>
    <x:row r="27">
      <x:c r="A27" s="44" t="n">
        <x:v>26</x:v>
      </x:c>
      <x:c r="B27" s="44" t="str">
        <x:v>공식·계약 자료</x:v>
      </x:c>
      <x:c r="C27" s="44" t="str">
        <x:v>documents/관세청 전자상거래 전용 REST API 명세서_v1.4.1.pdf</x:v>
      </x:c>
      <x:c r="D27" s="44" t="str">
        <x:v>pdf</x:v>
      </x:c>
      <x:c r="E27" s="67" t="n">
        <x:v>485728</x:v>
      </x:c>
      <x:c r="F27" s="44" t="n">
        <x:v>46240.49155141204</x:v>
      </x:c>
      <x:c r="G27" s="44" t="str">
        <x:v>14b0bc815ce0ad25e7223200fb471196cf05d5026721350c18282cb60296a2ad</x:v>
      </x:c>
    </x:row>
    <x:row r="28">
      <x:c r="A28" s="44" t="n">
        <x:v>27</x:v>
      </x:c>
      <x:c r="B28" s="44" t="str">
        <x:v>공식·계약 자료</x:v>
      </x:c>
      <x:c r="C28" s="44" t="str">
        <x:v>documents/전자상거래업자 간담회 안건.pdf</x:v>
      </x:c>
      <x:c r="D28" s="44" t="str">
        <x:v>pdf</x:v>
      </x:c>
      <x:c r="E28" s="67" t="n">
        <x:v>548790</x:v>
      </x:c>
      <x:c r="F28" s="44" t="n">
        <x:v>46237.07496300926</x:v>
      </x:c>
      <x:c r="G28" s="44" t="str">
        <x:v>55ec5f3182217397325877ff15ed96e409f0b41a83c7e930450c7f59aa55d7b4</x:v>
      </x:c>
    </x:row>
    <x:row r="29">
      <x:c r="A29" s="44" t="n">
        <x:v>28</x:v>
      </x:c>
      <x:c r="B29" s="44" t="str">
        <x:v>공식·계약 자료</x:v>
      </x:c>
      <x:c r="C29" s="44" t="str">
        <x:v>documents/전자상거래전용 통관플랫폼 사업소개(202607)_v1.6(글꼴포함).pdf</x:v>
      </x:c>
      <x:c r="D29" s="44" t="str">
        <x:v>pdf</x:v>
      </x:c>
      <x:c r="E29" s="67" t="n">
        <x:v>6826313</x:v>
      </x:c>
      <x:c r="F29" s="44" t="n">
        <x:v>46237.07484082176</x:v>
      </x:c>
      <x:c r="G29" s="44" t="str">
        <x:v>bc66901fefc618b1d7bc578cfb235a6ebc8309e3072b0e6a6412ce0d06aa973f</x:v>
      </x:c>
    </x:row>
    <x:row r="30">
      <x:c r="A30" s="44" t="n">
        <x:v>37</x:v>
      </x:c>
      <x:c r="B30" s="44" t="str">
        <x:v>기획 원본</x:v>
      </x:c>
      <x:c r="C30" s="44" t="str">
        <x:v>planning/도메인모음.xlsx</x:v>
      </x:c>
      <x:c r="D30" s="44" t="str">
        <x:v>xlsx</x:v>
      </x:c>
      <x:c r="E30" s="67" t="n">
        <x:v>11166</x:v>
      </x:c>
      <x:c r="F30" s="44" t="n">
        <x:v>46238.340239641206</x:v>
      </x:c>
      <x:c r="G30" s="44" t="str">
        <x:v>92dd7a67a8d3af723dcca0769de6e35e4928728c827bcaa5cef5b22a358713e4</x:v>
      </x:c>
    </x:row>
    <x:row r="31">
      <x:c r="A31" s="44" t="n">
        <x:v>38</x:v>
      </x:c>
      <x:c r="B31" s="44" t="str">
        <x:v>기획 원본</x:v>
      </x:c>
      <x:c r="C31" s="44" t="str">
        <x:v>planning/아이베 개인정보처리방침 등 수정안_최앤리 검토(markup).docx</x:v>
      </x:c>
      <x:c r="D31" s="44" t="str">
        <x:v>docx</x:v>
      </x:c>
      <x:c r="E31" s="67" t="n">
        <x:v>39945</x:v>
      </x:c>
      <x:c r="F31" s="44" t="n">
        <x:v>46234.69564193287</x:v>
      </x:c>
      <x:c r="G31" s="44" t="str">
        <x:v>b76362bba5f51d79e216f55ddfd9c23a3428262ea49c628c14a9d36e6467ba91</x:v>
      </x:c>
    </x:row>
    <x:row r="32">
      <x:c r="A32" s="44" t="n">
        <x:v>40</x:v>
      </x:c>
      <x:c r="B32" s="44" t="str">
        <x:v>기획 원본</x:v>
      </x:c>
      <x:c r="C32" s="44" t="str">
        <x:v>planning/유형코드_부호체계_정리_cn.html</x:v>
      </x:c>
      <x:c r="D32" s="44" t="str">
        <x:v>html</x:v>
      </x:c>
      <x:c r="E32" s="67" t="n">
        <x:v>7656</x:v>
      </x:c>
      <x:c r="F32" s="44" t="n">
        <x:v>46238.35475619213</x:v>
      </x:c>
      <x:c r="G32" s="44" t="str">
        <x:v>99b545b3edeb581be0946545e6e1bad3e81ecc8a56fa65f9843abe09a81d2c8c</x:v>
      </x:c>
    </x:row>
    <x:row r="33">
      <x:c r="A33" s="44" t="n">
        <x:v>39</x:v>
      </x:c>
      <x:c r="B33" s="44" t="str">
        <x:v>기획 원본</x:v>
      </x:c>
      <x:c r="C33" s="44" t="str">
        <x:v>planning/유형코드_부호체계_정리.html</x:v>
      </x:c>
      <x:c r="D33" s="44" t="str">
        <x:v>html</x:v>
      </x:c>
      <x:c r="E33" s="67" t="n">
        <x:v>7780</x:v>
      </x:c>
      <x:c r="F33" s="44" t="n">
        <x:v>46238.35413112269</x:v>
      </x:c>
      <x:c r="G33" s="44" t="str">
        <x:v>605c7d45db9bb388217b3d4ee91cfb29ffbe96ae8c644ef363ff84127a2f55f9</x:v>
      </x:c>
    </x:row>
    <x:row r="34">
      <x:c r="A34" s="44" t="n">
        <x:v>30</x:v>
      </x:c>
      <x:c r="B34" s="44" t="str">
        <x:v>기획 원본</x:v>
      </x:c>
      <x:c r="C34" s="44" t="str">
        <x:v>planning/api_field_mapping_cn.html</x:v>
      </x:c>
      <x:c r="D34" s="44" t="str">
        <x:v>html</x:v>
      </x:c>
      <x:c r="E34" s="67" t="n">
        <x:v>57483</x:v>
      </x:c>
      <x:c r="F34" s="44" t="n">
        <x:v>46239.176457650465</x:v>
      </x:c>
      <x:c r="G34" s="44" t="str">
        <x:v>c3280fb260e5c1e3dae41a2eb92defcccfddfc19e494eadcc6a9160562847adf</x:v>
      </x:c>
    </x:row>
    <x:row r="35">
      <x:c r="A35" s="44" t="n">
        <x:v>29</x:v>
      </x:c>
      <x:c r="B35" s="44" t="str">
        <x:v>기획 원본</x:v>
      </x:c>
      <x:c r="C35" s="44" t="str">
        <x:v>planning/api_field_mapping.html</x:v>
      </x:c>
      <x:c r="D35" s="44" t="str">
        <x:v>html</x:v>
      </x:c>
      <x:c r="E35" s="67" t="n">
        <x:v>59968</x:v>
      </x:c>
      <x:c r="F35" s="44" t="n">
        <x:v>46239.059761909724</x:v>
      </x:c>
      <x:c r="G35" s="44" t="str">
        <x:v>de1594ddef7fbdebd4d85dd7b9484cc50aa5505b90b25fa5f9af0d529876147c</x:v>
      </x:c>
    </x:row>
    <x:row r="36">
      <x:c r="A36" s="44" t="n">
        <x:v>31</x:v>
      </x:c>
      <x:c r="B36" s="44" t="str">
        <x:v>기획 원본</x:v>
      </x:c>
      <x:c r="C36" s="44" t="str">
        <x:v>planning/banner_cs_policy.html</x:v>
      </x:c>
      <x:c r="D36" s="44" t="str">
        <x:v>html</x:v>
      </x:c>
      <x:c r="E36" s="67" t="n">
        <x:v>5300</x:v>
      </x:c>
      <x:c r="F36" s="44" t="n">
        <x:v>46234.36789715278</x:v>
      </x:c>
      <x:c r="G36" s="44" t="str">
        <x:v>3cd08a7369b21c4bdfb445e123e20907c5ae73678332ecb9339f5d551596b131</x:v>
      </x:c>
    </x:row>
    <x:row r="37">
      <x:c r="A37" s="44" t="n">
        <x:v>32</x:v>
      </x:c>
      <x:c r="B37" s="44" t="str">
        <x:v>기획 원본</x:v>
      </x:c>
      <x:c r="C37" s="44" t="str">
        <x:v>planning/checkout_ui_mockup.html</x:v>
      </x:c>
      <x:c r="D37" s="44" t="str">
        <x:v>html</x:v>
      </x:c>
      <x:c r="E37" s="67" t="n">
        <x:v>22828</x:v>
      </x:c>
      <x:c r="F37" s="44" t="n">
        <x:v>46237.11566657407</x:v>
      </x:c>
      <x:c r="G37" s="44" t="str">
        <x:v>eb5273803a48c25f720643a93a2fbb8dbee0f9b47e8ea1e4e5f2cc881a2da1be</x:v>
      </x:c>
    </x:row>
    <x:row r="38">
      <x:c r="A38" s="44" t="n">
        <x:v>34</x:v>
      </x:c>
      <x:c r="B38" s="44" t="str">
        <x:v>기획 원본</x:v>
      </x:c>
      <x:c r="C38" s="44" t="str">
        <x:v>planning/planning_v5_cn.html</x:v>
      </x:c>
      <x:c r="D38" s="44" t="str">
        <x:v>html</x:v>
      </x:c>
      <x:c r="E38" s="67" t="n">
        <x:v>57632</x:v>
      </x:c>
      <x:c r="F38" s="44" t="n">
        <x:v>46239.17883400463</x:v>
      </x:c>
      <x:c r="G38" s="44" t="str">
        <x:v>1713297a0ae97e9aefb298db83470c005645a02f7264c91355ea8f535d62c388</x:v>
      </x:c>
    </x:row>
    <x:row r="39">
      <x:c r="A39" s="44" t="n">
        <x:v>33</x:v>
      </x:c>
      <x:c r="B39" s="44" t="str">
        <x:v>기획 원본</x:v>
      </x:c>
      <x:c r="C39" s="44" t="str">
        <x:v>planning/planning_v5.html</x:v>
      </x:c>
      <x:c r="D39" s="44" t="str">
        <x:v>html</x:v>
      </x:c>
      <x:c r="E39" s="67" t="n">
        <x:v>59497</x:v>
      </x:c>
      <x:c r="F39" s="44" t="n">
        <x:v>46239.17863758102</x:v>
      </x:c>
      <x:c r="G39" s="44" t="str">
        <x:v>3c01cc0bb1ec4702ef9b9ba5a6bc112e3c6a82554d59e725213ee47d37e5230b</x:v>
      </x:c>
    </x:row>
    <x:row r="40">
      <x:c r="A40" s="44" t="n">
        <x:v>35</x:v>
      </x:c>
      <x:c r="B40" s="44" t="str">
        <x:v>기획 원본</x:v>
      </x:c>
      <x:c r="C40" s="44" t="str">
        <x:v>planning/privacy_policy_change_request.html</x:v>
      </x:c>
      <x:c r="D40" s="44" t="str">
        <x:v>html</x:v>
      </x:c>
      <x:c r="E40" s="67" t="n">
        <x:v>29812</x:v>
      </x:c>
      <x:c r="F40" s="44" t="n">
        <x:v>46237.11157001158</x:v>
      </x:c>
      <x:c r="G40" s="44" t="str">
        <x:v>84bddeaa32ef4a7973e1902068baa02923e2cce0e4c30110489ffaecdbedd4f8</x:v>
      </x:c>
    </x:row>
    <x:row r="41">
      <x:c r="A41" s="44" t="n">
        <x:v>36</x:v>
      </x:c>
      <x:c r="B41" s="44" t="str">
        <x:v>기획 원본</x:v>
      </x:c>
      <x:c r="C41" s="44" t="str">
        <x:v>planning/privacy_policy_final.html</x:v>
      </x:c>
      <x:c r="D41" s="44" t="str">
        <x:v>html</x:v>
      </x:c>
      <x:c r="E41" s="67" t="n">
        <x:v>48053</x:v>
      </x:c>
      <x:c r="F41" s="44" t="n">
        <x:v>46237.11577261574</x:v>
      </x:c>
      <x:c r="G41" s="44" t="str">
        <x:v>6c48f232a419302ca51bf00566053cfdf73d7e2639d4435e8db14c95326dd74a</x:v>
      </x:c>
    </x:row>
  </x:sheetData>
  <x:pageMargins left="0.7" right="0.7" top="0.75" bottom="0.75" header="0.3" footer="0.3"/>
  <x:tableParts count="1">
    <x:tablePart xmlns:r="http://schemas.openxmlformats.org/officeDocument/2006/relationships" r:id="R5cf6a5dcb65e46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42" hidden="0" customWidth="1"/>
    <x:col min="4" max="4" width="90" hidden="0" customWidth="1"/>
    <x:col min="5" max="5" width="42" hidden="0" customWidth="1"/>
  </x:cols>
  <x:sheetData>
    <x:row r="1" ht="30" customHeight="1">
      <x:c r="A1" s="41" t="str">
        <x:v>ID</x:v>
      </x:c>
      <x:c r="B1" s="41" t="str">
        <x:v>구분</x:v>
      </x:c>
      <x:c r="C1" s="41" t="str">
        <x:v>자료명</x:v>
      </x:c>
      <x:c r="D1" s="41" t="str">
        <x:v>경로/URL</x:v>
      </x:c>
      <x:c r="E1" s="41" t="str">
        <x:v>사용 목적</x:v>
      </x:c>
    </x:row>
    <x:row r="2" ht="38" customHeight="1">
      <x:c r="A2" s="44" t="str">
        <x:v>S01</x:v>
      </x:c>
      <x:c r="B2" s="44" t="str">
        <x:v>로컬 공식규격</x:v>
      </x:c>
      <x:c r="C2" s="44" t="str">
        <x:v>전자상거래_전용_통관플랫폼_REST_API_연계규격서_v1.4.1.pdf</x:v>
      </x:c>
      <x:c r="D2" s="44" t="str">
        <x:v>documents</x:v>
      </x:c>
      <x:c r="E2" s="44" t="str">
        <x:v>2026-07-27 개정판; 구현 스키마 최우선</x:v>
      </x:c>
    </x:row>
    <x:row r="3" ht="38" customHeight="1">
      <x:c r="A3" s="44" t="str">
        <x:v>S02</x:v>
      </x:c>
      <x:c r="B3" s="44" t="str">
        <x:v>로컬 업무자료</x:v>
      </x:c>
      <x:c r="C3" s="44" t="str">
        <x:v>전자상거래_전용_통관플랫폼_업무소개_v1.6.pdf</x:v>
      </x:c>
      <x:c r="D3" s="44" t="str">
        <x:v>documents</x:v>
      </x:c>
      <x:c r="E3" s="44" t="str">
        <x:v>단계적 적용·Z99999 근거</x:v>
      </x:c>
    </x:row>
    <x:row r="4" ht="38" customHeight="1">
      <x:c r="A4" s="44" t="str">
        <x:v>S03</x:v>
      </x:c>
      <x:c r="B4" s="44" t="str">
        <x:v>로컬 회의자료</x:v>
      </x:c>
      <x:c r="C4" s="44" t="str">
        <x:v>관세청 전자상거래 통관플랫폼 회의자료</x:v>
      </x:c>
      <x:c r="D4" s="44" t="str">
        <x:v>documents</x:v>
      </x:c>
      <x:c r="E4" s="44" t="str">
        <x:v>업무배경·일정 참고</x:v>
      </x:c>
    </x:row>
    <x:row r="5" ht="38" customHeight="1">
      <x:c r="A5" s="44" t="str">
        <x:v>S04</x:v>
      </x:c>
      <x:c r="B5" s="44" t="str">
        <x:v>로컬 법무검토</x:v>
      </x:c>
      <x:c r="C5" s="44" t="str">
        <x:v>개인정보 처리방침 법률검토 표시 DOCX</x:v>
      </x:c>
      <x:c r="D5" s="44" t="str">
        <x:v>planning</x:v>
      </x:c>
      <x:c r="E5" s="44" t="str">
        <x:v>13개 검토 코멘트</x:v>
      </x:c>
    </x:row>
    <x:row r="6" ht="38" customHeight="1">
      <x:c r="A6" s="44" t="str">
        <x:v>S05</x:v>
      </x:c>
      <x:c r="B6" s="44" t="str">
        <x:v>로컬 계약</x:v>
      </x:c>
      <x:c r="C6" s="44" t="str">
        <x:v>개발계약서 PDF</x:v>
      </x:c>
      <x:c r="D6" s="44" t="str">
        <x:v>documents</x:v>
      </x:c>
      <x:c r="E6" s="44" t="str">
        <x:v>당사자·범위·변경·배상</x:v>
      </x:c>
    </x:row>
    <x:row r="7" ht="38" customHeight="1">
      <x:c r="A7" s="44" t="str">
        <x:v>S06</x:v>
      </x:c>
      <x:c r="B7" s="44" t="str">
        <x:v>로컬 견적</x:v>
      </x:c>
      <x:c r="C7" s="44" t="str">
        <x:v>추가견적서 PDF</x:v>
      </x:c>
      <x:c r="D7" s="44" t="str">
        <x:v>documents</x:v>
      </x:c>
      <x:c r="E7" s="44" t="str">
        <x:v>금액·추가범위</x:v>
      </x:c>
    </x:row>
    <x:row r="8" ht="38" customHeight="1">
      <x:c r="A8" s="44" t="str">
        <x:v>S07</x:v>
      </x:c>
      <x:c r="B8" s="44" t="str">
        <x:v>로컬 매핑</x:v>
      </x:c>
      <x:c r="C8" s="44" t="str">
        <x:v>api_field_mapping_detailed_v3.xlsx</x:v>
      </x:c>
      <x:c r="D8" s="44" t="str">
        <x:v>99_외부수집원본</x:v>
      </x:c>
      <x:c r="E8" s="44" t="str">
        <x:v>중국어 상세 필드매핑</x:v>
      </x:c>
    </x:row>
    <x:row r="9" ht="38" customHeight="1">
      <x:c r="A9" s="44" t="str">
        <x:v>S08</x:v>
      </x:c>
      <x:c r="B9" s="44" t="str">
        <x:v>로컬 기획</x:v>
      </x:c>
      <x:c r="C9" s="44" t="str">
        <x:v>planning_v5.html / api_field_mapping.html</x:v>
      </x:c>
      <x:c r="D9" s="44" t="str">
        <x:v>planning</x:v>
      </x:c>
      <x:c r="E9" s="44" t="str">
        <x:v>현재 구현전제</x:v>
      </x:c>
    </x:row>
    <x:row r="10" ht="38" customHeight="1">
      <x:c r="A10" s="44" t="str">
        <x:v>S09</x:v>
      </x:c>
      <x:c r="B10" s="44" t="str">
        <x:v>로컬 대화</x:v>
      </x:c>
      <x:c r="C10" s="44" t="str">
        <x:v>개발협의_카카오톡_로그.txt / 동수_위챗_협의_로그.txt</x:v>
      </x:c>
      <x:c r="D10" s="44" t="str">
        <x:v>99_외부수집원본</x:v>
      </x:c>
      <x:c r="E10" s="44" t="str">
        <x:v>비공식 결정·미확정 주장</x:v>
      </x:c>
    </x:row>
    <x:row r="11" ht="38" customHeight="1">
      <x:c r="A11" s="44" t="str">
        <x:v>S10</x:v>
      </x:c>
      <x:c r="B11" s="44" t="str">
        <x:v>로컬 화면</x:v>
      </x:c>
      <x:c r="C11" s="44" t="str">
        <x:v>스크린샷 14개</x:v>
      </x:c>
      <x:c r="D11" s="44" t="str">
        <x:v>99_외부수집원본/스크린샷</x:v>
      </x:c>
      <x:c r="E11" s="44" t="str">
        <x:v>가격·상태·관리자 화면 증거</x:v>
      </x:c>
    </x:row>
    <x:row r="12" ht="38" customHeight="1">
      <x:c r="A12" s="44" t="str">
        <x:v>W01</x:v>
      </x:c>
      <x:c r="B12" s="44" t="str">
        <x:v>현행 법령</x:v>
      </x:c>
      <x:c r="C12" s="44" t="str">
        <x:v>관세법 제254조</x:v>
      </x:c>
      <x:c r="D12" s="44" t="str">
        <x:v>https://law.go.kr/LSW/lsLawLinkInfo.do?chrClsCd=010202&amp;lsJoLnkSeq=900024279</x:v>
      </x:c>
      <x:c r="E12" s="44" t="str">
        <x:v>거래정보 요청 근거</x:v>
      </x:c>
    </x:row>
    <x:row r="13" ht="38" customHeight="1">
      <x:c r="A13" s="44" t="str">
        <x:v>W02</x:v>
      </x:c>
      <x:c r="B13" s="44" t="str">
        <x:v>현행 법령</x:v>
      </x:c>
      <x:c r="C13" s="44" t="str">
        <x:v>관세법 시행령 제258조</x:v>
      </x:c>
      <x:c r="D13" s="44" t="str">
        <x:v>https://law.go.kr/LSW/lsLinkCommonInfo.do?chrClsCd=010202&amp;lspttninfSeq=181351</x:v>
      </x:c>
      <x:c r="E13" s="44" t="str">
        <x:v>제공정보·제공기간</x:v>
      </x:c>
    </x:row>
    <x:row r="14" ht="38" customHeight="1">
      <x:c r="A14" s="44" t="str">
        <x:v>W03</x:v>
      </x:c>
      <x:c r="B14" s="44" t="str">
        <x:v>현행 법령</x:v>
      </x:c>
      <x:c r="C14" s="44" t="str">
        <x:v>개인정보 보호법 제16조</x:v>
      </x:c>
      <x:c r="D14" s="44" t="str">
        <x:v>https://www.law.go.kr/LSW/lsLinkCommonInfo.do?chrClsCd=010202&amp;lsJoLnkSeq=1020399353</x:v>
      </x:c>
      <x:c r="E14" s="44" t="str">
        <x:v>최소수집</x:v>
      </x:c>
    </x:row>
    <x:row r="15" ht="38" customHeight="1">
      <x:c r="A15" s="44" t="str">
        <x:v>W04</x:v>
      </x:c>
      <x:c r="B15" s="44" t="str">
        <x:v>현행 법령</x:v>
      </x:c>
      <x:c r="C15" s="44" t="str">
        <x:v>개인정보 보호법 제21조</x:v>
      </x:c>
      <x:c r="D15" s="44" t="str">
        <x:v>https://www.law.go.kr/LSW/lsLawLinkInfo.do?chrClsCd=010202&amp;lsJoLnkSeq=900078981</x:v>
      </x:c>
      <x:c r="E15" s="44" t="str">
        <x:v>파기</x:v>
      </x:c>
    </x:row>
    <x:row r="16" ht="38" customHeight="1">
      <x:c r="A16" s="44" t="str">
        <x:v>W05</x:v>
      </x:c>
      <x:c r="B16" s="44" t="str">
        <x:v>현행 법령</x:v>
      </x:c>
      <x:c r="C16" s="44" t="str">
        <x:v>개인정보 보호법 제26조</x:v>
      </x:c>
      <x:c r="D16" s="44" t="str">
        <x:v>https://law.go.kr/lsLinkCommonInfo.do?chrClsCd=010202&amp;lsJoLnkSeq=1029335337</x:v>
      </x:c>
      <x:c r="E16" s="44" t="str">
        <x:v>위탁</x:v>
      </x:c>
    </x:row>
    <x:row r="17" ht="38" customHeight="1">
      <x:c r="A17" s="44" t="str">
        <x:v>W06</x:v>
      </x:c>
      <x:c r="B17" s="44" t="str">
        <x:v>현행 법령</x:v>
      </x:c>
      <x:c r="C17" s="44" t="str">
        <x:v>개인정보 보호법 제28조의8</x:v>
      </x:c>
      <x:c r="D17" s="44" t="str">
        <x:v>https://www.law.go.kr/LSW/lsLinkCommonInfo.do?chrClsCd=010202&amp;lsJoLnkSeq=1029334869</x:v>
      </x:c>
      <x:c r="E17" s="44" t="str">
        <x:v>국외이전</x:v>
      </x:c>
    </x:row>
    <x:row r="18" ht="38" customHeight="1">
      <x:c r="A18" s="44" t="str">
        <x:v>W07</x:v>
      </x:c>
      <x:c r="B18" s="44" t="str">
        <x:v>공식 안내</x:v>
      </x:c>
      <x:c r="C18" s="44" t="str">
        <x:v>공정위 해외구매대행 반품·환불</x:v>
      </x:c>
      <x:c r="D18" s="44" t="str">
        <x:v>https://www.ftc.go.kr/www/selectBbsNttView.do?bordCd=1&amp;key=5&amp;nttSn=30655&amp;pageIndex=80&amp;pageUnit=10&amp;searchCnd=all&amp;searchCtgry=2</x:v>
      </x:c>
      <x:c r="E18" s="44" t="str">
        <x:v>일률적 반품금지 위험</x:v>
      </x:c>
    </x:row>
    <x:row r="19" ht="38" customHeight="1">
      <x:c r="A19" s="44" t="str">
        <x:v>W08</x:v>
      </x:c>
      <x:c r="B19" s="44" t="str">
        <x:v>공식 안내</x:v>
      </x:c>
      <x:c r="C19" s="44" t="str">
        <x:v>관세청 합산과세 기준 개정</x:v>
      </x:c>
      <x:c r="D19" s="44" t="str">
        <x:v>https://www.customs.go.kr/kcs/na/ntt/selectNttInfo.do?mi=2891&amp;nttSn=10069842&amp;nttSnUrl=search</x:v>
      </x:c>
      <x:c r="E19" s="44" t="str">
        <x:v>동일 입항일 기준 폐지</x:v>
      </x:c>
    </x:row>
    <x:row r="20" ht="38" customHeight="1">
      <x:c r="A20" s="44" t="str">
        <x:v>W09</x:v>
      </x:c>
      <x:c r="B20" s="44" t="str">
        <x:v>공식 공지</x:v>
      </x:c>
      <x:c r="C20" s="44" t="str">
        <x:v>전자상거래 전용 통관플랫폼 공지</x:v>
      </x:c>
      <x:c r="D20" s="44" t="str">
        <x:v>https://www.customs.go.kr/kcs/na/ntt/selectNttList.do?bbsId=3800&amp;mi=14185</x:v>
      </x:c>
      <x:c r="E20" s="44" t="str">
        <x:v>최신 규격·파일럿 확인</x:v>
      </x:c>
    </x:row>
  </x:sheetData>
  <x:pageMargins left="0.7" right="0.7" top="0.75" bottom="0.75" header="0.3" footer="0.3"/>
  <x:tableParts count="1">
    <x:tablePart xmlns:r="http://schemas.openxmlformats.org/officeDocument/2006/relationships" r:id="R695f1d9ecb464c80"/>
  </x:tableParts>
</x:worksheet>
</file>
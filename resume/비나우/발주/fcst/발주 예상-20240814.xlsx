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Nutricia\99. Sales\박효진\발주\"/>
    </mc:Choice>
  </mc:AlternateContent>
  <xr:revisionPtr revIDLastSave="0" documentId="13_ncr:1_{EFF0F6D3-1459-47D2-A9E7-BAE0A6734223}" xr6:coauthVersionLast="47" xr6:coauthVersionMax="47" xr10:uidLastSave="{00000000-0000-0000-0000-000000000000}"/>
  <bookViews>
    <workbookView xWindow="28680" yWindow="-120" windowWidth="29040" windowHeight="15840" xr2:uid="{67E5AAA5-4FDE-4CE7-8CD6-CD36AEE311F7}"/>
  </bookViews>
  <sheets>
    <sheet name="아이베" sheetId="1" r:id="rId1"/>
    <sheet name="내수 판매량" sheetId="3" r:id="rId2"/>
    <sheet name="Sheet1" sheetId="7" state="hidden" r:id="rId3"/>
    <sheet name="크로네" sheetId="8" r:id="rId4"/>
    <sheet name="직구 판매량" sheetId="5" r:id="rId5"/>
    <sheet name="단가" sheetId="4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1" l="1"/>
  <c r="I26" i="1"/>
  <c r="H26" i="1"/>
  <c r="G26" i="1"/>
  <c r="F26" i="1"/>
  <c r="E26" i="1"/>
  <c r="J25" i="1"/>
  <c r="I25" i="1"/>
  <c r="H25" i="1"/>
  <c r="G25" i="1"/>
  <c r="F25" i="1"/>
  <c r="E25" i="1"/>
  <c r="X30" i="4"/>
  <c r="X31" i="4" s="1"/>
  <c r="Y29" i="4"/>
  <c r="Y30" i="4" s="1"/>
  <c r="Y31" i="4" s="1"/>
  <c r="X29" i="4"/>
  <c r="Y28" i="4"/>
  <c r="X28" i="4"/>
  <c r="Y27" i="4"/>
  <c r="X27" i="4"/>
  <c r="Y26" i="4"/>
  <c r="X26" i="4"/>
  <c r="Y25" i="4"/>
  <c r="X25" i="4"/>
  <c r="Y24" i="4"/>
  <c r="X24" i="4"/>
  <c r="Y23" i="4"/>
  <c r="X23" i="4"/>
  <c r="E24" i="1"/>
  <c r="F24" i="1"/>
  <c r="G24" i="1"/>
  <c r="H24" i="1"/>
  <c r="I24" i="1"/>
  <c r="J24" i="1"/>
  <c r="J11" i="1"/>
  <c r="I11" i="1"/>
  <c r="H11" i="1"/>
  <c r="G11" i="1"/>
  <c r="F11" i="1"/>
  <c r="E11" i="1"/>
  <c r="J36" i="8"/>
  <c r="I36" i="8"/>
  <c r="H36" i="8"/>
  <c r="G36" i="8"/>
  <c r="F36" i="8"/>
  <c r="E36" i="8"/>
  <c r="J18" i="8"/>
  <c r="I18" i="8"/>
  <c r="H18" i="8"/>
  <c r="G18" i="8"/>
  <c r="F18" i="8"/>
  <c r="E18" i="8"/>
  <c r="J35" i="8"/>
  <c r="I35" i="8"/>
  <c r="H35" i="8"/>
  <c r="G35" i="8"/>
  <c r="F35" i="8"/>
  <c r="E35" i="8"/>
  <c r="J34" i="8"/>
  <c r="I34" i="8"/>
  <c r="H34" i="8"/>
  <c r="G34" i="8"/>
  <c r="F34" i="8"/>
  <c r="E34" i="8"/>
  <c r="J33" i="8"/>
  <c r="I33" i="8"/>
  <c r="H33" i="8"/>
  <c r="G33" i="8"/>
  <c r="F33" i="8"/>
  <c r="E33" i="8"/>
  <c r="J32" i="8"/>
  <c r="I32" i="8"/>
  <c r="H32" i="8"/>
  <c r="G32" i="8"/>
  <c r="F32" i="8"/>
  <c r="E32" i="8"/>
  <c r="J31" i="8"/>
  <c r="I31" i="8"/>
  <c r="H31" i="8"/>
  <c r="G31" i="8"/>
  <c r="F31" i="8"/>
  <c r="E31" i="8"/>
  <c r="J30" i="8"/>
  <c r="I30" i="8"/>
  <c r="H30" i="8"/>
  <c r="G30" i="8"/>
  <c r="F30" i="8"/>
  <c r="E30" i="8"/>
  <c r="J29" i="8"/>
  <c r="I29" i="8"/>
  <c r="H29" i="8"/>
  <c r="G29" i="8"/>
  <c r="F29" i="8"/>
  <c r="E29" i="8"/>
  <c r="J28" i="8"/>
  <c r="I28" i="8"/>
  <c r="H28" i="8"/>
  <c r="G28" i="8"/>
  <c r="F28" i="8"/>
  <c r="E28" i="8"/>
  <c r="J27" i="8"/>
  <c r="I27" i="8"/>
  <c r="H27" i="8"/>
  <c r="G27" i="8"/>
  <c r="F27" i="8"/>
  <c r="E27" i="8"/>
  <c r="J26" i="8"/>
  <c r="I26" i="8"/>
  <c r="H26" i="8"/>
  <c r="G26" i="8"/>
  <c r="F26" i="8"/>
  <c r="E26" i="8"/>
  <c r="J25" i="8"/>
  <c r="I25" i="8"/>
  <c r="H25" i="8"/>
  <c r="G25" i="8"/>
  <c r="F25" i="8"/>
  <c r="E25" i="8"/>
  <c r="I46" i="4"/>
  <c r="H46" i="4"/>
  <c r="G46" i="4"/>
  <c r="F46" i="4"/>
  <c r="E46" i="4"/>
  <c r="D46" i="4"/>
  <c r="I45" i="4"/>
  <c r="H45" i="4"/>
  <c r="G45" i="4"/>
  <c r="F45" i="4"/>
  <c r="E45" i="4"/>
  <c r="D45" i="4"/>
  <c r="I40" i="4"/>
  <c r="H40" i="4"/>
  <c r="G40" i="4"/>
  <c r="F40" i="4"/>
  <c r="E40" i="4"/>
  <c r="D40" i="4"/>
  <c r="I38" i="4"/>
  <c r="H38" i="4"/>
  <c r="G38" i="4"/>
  <c r="F38" i="4"/>
  <c r="E38" i="4"/>
  <c r="D38" i="4"/>
  <c r="J23" i="1" l="1"/>
  <c r="I23" i="1"/>
  <c r="H23" i="1"/>
  <c r="G23" i="1"/>
  <c r="F23" i="1"/>
  <c r="E23" i="1"/>
  <c r="J22" i="1"/>
  <c r="I22" i="1"/>
  <c r="H22" i="1"/>
  <c r="G22" i="1"/>
  <c r="F22" i="1"/>
  <c r="E22" i="1"/>
  <c r="J21" i="1"/>
  <c r="I21" i="1"/>
  <c r="H21" i="1"/>
  <c r="G21" i="1"/>
  <c r="F21" i="1"/>
  <c r="E21" i="1"/>
  <c r="J20" i="1"/>
  <c r="I20" i="1"/>
  <c r="H20" i="1"/>
  <c r="G20" i="1"/>
  <c r="F20" i="1"/>
  <c r="E20" i="1"/>
  <c r="J19" i="1"/>
  <c r="I19" i="1"/>
  <c r="H19" i="1"/>
  <c r="G19" i="1"/>
  <c r="F19" i="1"/>
  <c r="E19" i="1"/>
  <c r="J18" i="1"/>
  <c r="I18" i="1"/>
  <c r="H18" i="1"/>
  <c r="G18" i="1"/>
  <c r="F18" i="1"/>
  <c r="E18" i="1"/>
  <c r="D56" i="8" l="1"/>
  <c r="C56" i="8"/>
  <c r="D44" i="1"/>
  <c r="C44" i="1"/>
  <c r="O28" i="1"/>
  <c r="R10" i="1"/>
  <c r="P25" i="8"/>
  <c r="P26" i="8"/>
  <c r="P27" i="8"/>
  <c r="P28" i="8"/>
  <c r="P29" i="8"/>
  <c r="P30" i="8"/>
  <c r="P31" i="8"/>
  <c r="P32" i="8"/>
  <c r="P33" i="8"/>
  <c r="P34" i="8"/>
  <c r="P35" i="8"/>
  <c r="P23" i="1"/>
  <c r="O23" i="1"/>
  <c r="P22" i="1"/>
  <c r="O22" i="1"/>
  <c r="P21" i="1"/>
  <c r="O21" i="1"/>
  <c r="P20" i="1"/>
  <c r="O20" i="1"/>
  <c r="P19" i="1"/>
  <c r="O19" i="1"/>
  <c r="P18" i="1"/>
  <c r="O18" i="1"/>
  <c r="P40" i="4"/>
  <c r="O40" i="4"/>
  <c r="N40" i="4"/>
  <c r="M40" i="4"/>
  <c r="L40" i="4"/>
  <c r="K40" i="4"/>
  <c r="J40" i="4"/>
  <c r="P38" i="4"/>
  <c r="O38" i="4"/>
  <c r="N38" i="4"/>
  <c r="M38" i="4"/>
  <c r="L38" i="4"/>
  <c r="K38" i="4"/>
  <c r="J38" i="4"/>
  <c r="K46" i="4" l="1"/>
  <c r="L33" i="8"/>
  <c r="O33" i="8"/>
  <c r="N33" i="8"/>
  <c r="M33" i="8"/>
  <c r="K33" i="8"/>
  <c r="O46" i="4"/>
  <c r="N46" i="4"/>
  <c r="M46" i="4"/>
  <c r="L46" i="4"/>
  <c r="J46" i="4"/>
  <c r="N18" i="8" l="1"/>
  <c r="O18" i="8" l="1"/>
  <c r="P18" i="8"/>
  <c r="E17" i="4" l="1"/>
  <c r="E16" i="4"/>
  <c r="E14" i="4"/>
  <c r="E13" i="4"/>
  <c r="E12" i="4"/>
  <c r="E11" i="4"/>
  <c r="E10" i="4"/>
  <c r="E9" i="4"/>
  <c r="E8" i="4"/>
  <c r="I36" i="4" l="1"/>
  <c r="H36" i="4"/>
  <c r="G36" i="4"/>
  <c r="F36" i="4"/>
  <c r="E36" i="4"/>
  <c r="D36" i="4"/>
  <c r="E41" i="4"/>
  <c r="D41" i="4"/>
  <c r="I41" i="4"/>
  <c r="H41" i="4"/>
  <c r="G41" i="4"/>
  <c r="F41" i="4"/>
  <c r="E47" i="4"/>
  <c r="D47" i="4"/>
  <c r="F47" i="4"/>
  <c r="I47" i="4"/>
  <c r="H47" i="4"/>
  <c r="G47" i="4"/>
  <c r="E37" i="4"/>
  <c r="D37" i="4"/>
  <c r="F37" i="4"/>
  <c r="I37" i="4"/>
  <c r="H37" i="4"/>
  <c r="G37" i="4"/>
  <c r="E39" i="4"/>
  <c r="D39" i="4"/>
  <c r="F39" i="4"/>
  <c r="I39" i="4"/>
  <c r="H39" i="4"/>
  <c r="G39" i="4"/>
  <c r="I42" i="4"/>
  <c r="H42" i="4"/>
  <c r="G42" i="4"/>
  <c r="F42" i="4"/>
  <c r="E42" i="4"/>
  <c r="D42" i="4"/>
  <c r="E43" i="4"/>
  <c r="D43" i="4"/>
  <c r="I43" i="4"/>
  <c r="H43" i="4"/>
  <c r="F43" i="4"/>
  <c r="G43" i="4"/>
  <c r="I44" i="4"/>
  <c r="H44" i="4"/>
  <c r="G44" i="4"/>
  <c r="F44" i="4"/>
  <c r="E44" i="4"/>
  <c r="D44" i="4"/>
  <c r="I48" i="4"/>
  <c r="H48" i="4"/>
  <c r="G48" i="4"/>
  <c r="F48" i="4"/>
  <c r="E48" i="4"/>
  <c r="D48" i="4"/>
  <c r="E7" i="4"/>
  <c r="E6" i="4"/>
  <c r="E5" i="4"/>
  <c r="E4" i="4"/>
  <c r="E3" i="4"/>
  <c r="E2" i="4"/>
  <c r="I24" i="4" l="1"/>
  <c r="AC24" i="4"/>
  <c r="H24" i="4"/>
  <c r="AB24" i="4"/>
  <c r="G24" i="4"/>
  <c r="AA24" i="4"/>
  <c r="F24" i="4"/>
  <c r="Z24" i="4"/>
  <c r="E24" i="4"/>
  <c r="D24" i="4"/>
  <c r="D49" i="4"/>
  <c r="D50" i="4" s="1"/>
  <c r="AC28" i="4"/>
  <c r="AB28" i="4"/>
  <c r="AA28" i="4"/>
  <c r="Z28" i="4"/>
  <c r="I28" i="4"/>
  <c r="H28" i="4"/>
  <c r="G28" i="4"/>
  <c r="F28" i="4"/>
  <c r="E28" i="4"/>
  <c r="D28" i="4"/>
  <c r="E49" i="4"/>
  <c r="E50" i="4" s="1"/>
  <c r="AC25" i="4"/>
  <c r="F25" i="4"/>
  <c r="AB25" i="4"/>
  <c r="E25" i="4"/>
  <c r="AA25" i="4"/>
  <c r="D25" i="4"/>
  <c r="Z25" i="4"/>
  <c r="G25" i="4"/>
  <c r="I25" i="4"/>
  <c r="H25" i="4"/>
  <c r="I26" i="4"/>
  <c r="H26" i="4"/>
  <c r="G26" i="4"/>
  <c r="F26" i="4"/>
  <c r="E26" i="4"/>
  <c r="AC26" i="4"/>
  <c r="D26" i="4"/>
  <c r="AB26" i="4"/>
  <c r="AA26" i="4"/>
  <c r="Z26" i="4"/>
  <c r="G49" i="4"/>
  <c r="G50" i="4" s="1"/>
  <c r="F23" i="4"/>
  <c r="E23" i="4"/>
  <c r="D23" i="4"/>
  <c r="D29" i="4" s="1"/>
  <c r="D30" i="4" s="1"/>
  <c r="G23" i="4"/>
  <c r="Z23" i="4"/>
  <c r="AC23" i="4"/>
  <c r="AB23" i="4"/>
  <c r="I23" i="4"/>
  <c r="AA23" i="4"/>
  <c r="H23" i="4"/>
  <c r="F49" i="4"/>
  <c r="F50" i="4" s="1"/>
  <c r="H49" i="4"/>
  <c r="H50" i="4" s="1"/>
  <c r="F27" i="4"/>
  <c r="E27" i="4"/>
  <c r="D27" i="4"/>
  <c r="AC27" i="4"/>
  <c r="G27" i="4"/>
  <c r="AB27" i="4"/>
  <c r="AA27" i="4"/>
  <c r="Z27" i="4"/>
  <c r="I27" i="4"/>
  <c r="H27" i="4"/>
  <c r="I49" i="4"/>
  <c r="I50" i="4" s="1"/>
  <c r="M18" i="8"/>
  <c r="L18" i="8"/>
  <c r="K18" i="8"/>
  <c r="F29" i="4" l="1"/>
  <c r="F30" i="4" s="1"/>
  <c r="E51" i="4"/>
  <c r="F19" i="8"/>
  <c r="E51" i="8" s="1"/>
  <c r="E52" i="8" s="1"/>
  <c r="F37" i="8"/>
  <c r="G29" i="4"/>
  <c r="G30" i="4" s="1"/>
  <c r="H51" i="4"/>
  <c r="I19" i="8"/>
  <c r="H51" i="8" s="1"/>
  <c r="H52" i="8" s="1"/>
  <c r="I37" i="8"/>
  <c r="D31" i="4"/>
  <c r="E13" i="1" s="1"/>
  <c r="E12" i="1"/>
  <c r="D39" i="1" s="1"/>
  <c r="D40" i="1" s="1"/>
  <c r="I51" i="4"/>
  <c r="J19" i="8"/>
  <c r="I51" i="8" s="1"/>
  <c r="J37" i="8"/>
  <c r="H29" i="4"/>
  <c r="H30" i="4" s="1"/>
  <c r="G51" i="4"/>
  <c r="H19" i="8"/>
  <c r="G51" i="8" s="1"/>
  <c r="G52" i="8" s="1"/>
  <c r="H37" i="8"/>
  <c r="D51" i="4"/>
  <c r="E37" i="8"/>
  <c r="E19" i="8"/>
  <c r="D51" i="8" s="1"/>
  <c r="E29" i="4"/>
  <c r="E30" i="4" s="1"/>
  <c r="F51" i="4"/>
  <c r="G19" i="8"/>
  <c r="F51" i="8" s="1"/>
  <c r="F52" i="8" s="1"/>
  <c r="G37" i="8"/>
  <c r="I29" i="4"/>
  <c r="I30" i="4" s="1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O35" i="8"/>
  <c r="N35" i="8"/>
  <c r="M35" i="8"/>
  <c r="L35" i="8"/>
  <c r="K35" i="8"/>
  <c r="O34" i="8"/>
  <c r="N34" i="8"/>
  <c r="M34" i="8"/>
  <c r="L34" i="8"/>
  <c r="K34" i="8"/>
  <c r="O32" i="8"/>
  <c r="N32" i="8"/>
  <c r="M32" i="8"/>
  <c r="L32" i="8"/>
  <c r="K32" i="8"/>
  <c r="O31" i="8"/>
  <c r="N31" i="8"/>
  <c r="M31" i="8"/>
  <c r="L31" i="8"/>
  <c r="K31" i="8"/>
  <c r="O30" i="8"/>
  <c r="N30" i="8"/>
  <c r="M30" i="8"/>
  <c r="L30" i="8"/>
  <c r="K30" i="8"/>
  <c r="O29" i="8"/>
  <c r="N29" i="8"/>
  <c r="M29" i="8"/>
  <c r="L29" i="8"/>
  <c r="K29" i="8"/>
  <c r="O28" i="8"/>
  <c r="N28" i="8"/>
  <c r="M28" i="8"/>
  <c r="L28" i="8"/>
  <c r="K28" i="8"/>
  <c r="O27" i="8"/>
  <c r="N27" i="8"/>
  <c r="M27" i="8"/>
  <c r="L27" i="8"/>
  <c r="K27" i="8"/>
  <c r="O26" i="8"/>
  <c r="N26" i="8"/>
  <c r="M26" i="8"/>
  <c r="L26" i="8"/>
  <c r="K26" i="8"/>
  <c r="O25" i="8"/>
  <c r="N25" i="8"/>
  <c r="M25" i="8"/>
  <c r="L25" i="8"/>
  <c r="P48" i="4"/>
  <c r="O48" i="4"/>
  <c r="N48" i="4"/>
  <c r="M48" i="4"/>
  <c r="L48" i="4"/>
  <c r="K48" i="4"/>
  <c r="J48" i="4"/>
  <c r="P47" i="4"/>
  <c r="O47" i="4"/>
  <c r="N47" i="4"/>
  <c r="M47" i="4"/>
  <c r="L47" i="4"/>
  <c r="K47" i="4"/>
  <c r="J47" i="4"/>
  <c r="P45" i="4"/>
  <c r="O45" i="4"/>
  <c r="N45" i="4"/>
  <c r="M45" i="4"/>
  <c r="L45" i="4"/>
  <c r="K45" i="4"/>
  <c r="J45" i="4"/>
  <c r="P44" i="4"/>
  <c r="O44" i="4"/>
  <c r="N44" i="4"/>
  <c r="M44" i="4"/>
  <c r="L44" i="4"/>
  <c r="K44" i="4"/>
  <c r="J44" i="4"/>
  <c r="P43" i="4"/>
  <c r="O43" i="4"/>
  <c r="N43" i="4"/>
  <c r="M43" i="4"/>
  <c r="L43" i="4"/>
  <c r="K43" i="4"/>
  <c r="J43" i="4"/>
  <c r="P42" i="4"/>
  <c r="O42" i="4"/>
  <c r="N42" i="4"/>
  <c r="M42" i="4"/>
  <c r="L42" i="4"/>
  <c r="K42" i="4"/>
  <c r="J42" i="4"/>
  <c r="P41" i="4"/>
  <c r="O41" i="4"/>
  <c r="N41" i="4"/>
  <c r="M41" i="4"/>
  <c r="L41" i="4"/>
  <c r="K41" i="4"/>
  <c r="J41" i="4"/>
  <c r="P39" i="4"/>
  <c r="O39" i="4"/>
  <c r="N39" i="4"/>
  <c r="M39" i="4"/>
  <c r="L39" i="4"/>
  <c r="K39" i="4"/>
  <c r="J39" i="4"/>
  <c r="P37" i="4"/>
  <c r="O37" i="4"/>
  <c r="N37" i="4"/>
  <c r="M37" i="4"/>
  <c r="L37" i="4"/>
  <c r="K37" i="4"/>
  <c r="J37" i="4"/>
  <c r="P36" i="4"/>
  <c r="P49" i="4" s="1"/>
  <c r="O36" i="4"/>
  <c r="N36" i="4"/>
  <c r="M36" i="4"/>
  <c r="L36" i="4"/>
  <c r="K36" i="4"/>
  <c r="J36" i="4"/>
  <c r="F56" i="8"/>
  <c r="E56" i="8"/>
  <c r="O50" i="8"/>
  <c r="N50" i="8"/>
  <c r="M50" i="8"/>
  <c r="L50" i="8"/>
  <c r="K50" i="8"/>
  <c r="J50" i="8"/>
  <c r="P44" i="8"/>
  <c r="P45" i="8" s="1"/>
  <c r="O44" i="8"/>
  <c r="O45" i="8" s="1"/>
  <c r="N44" i="8"/>
  <c r="N45" i="8" s="1"/>
  <c r="M44" i="8"/>
  <c r="M45" i="8" s="1"/>
  <c r="L44" i="8"/>
  <c r="L45" i="8" s="1"/>
  <c r="K44" i="8"/>
  <c r="K45" i="8" s="1"/>
  <c r="K25" i="8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J38" i="8" l="1"/>
  <c r="J20" i="8"/>
  <c r="E31" i="4"/>
  <c r="F13" i="1" s="1"/>
  <c r="F12" i="1"/>
  <c r="E39" i="1" s="1"/>
  <c r="D52" i="8"/>
  <c r="C57" i="8"/>
  <c r="C58" i="8" s="1"/>
  <c r="G38" i="8"/>
  <c r="G20" i="8"/>
  <c r="E20" i="8"/>
  <c r="E38" i="8"/>
  <c r="I38" i="8"/>
  <c r="I20" i="8"/>
  <c r="G31" i="4"/>
  <c r="H13" i="1" s="1"/>
  <c r="H12" i="1"/>
  <c r="G39" i="1" s="1"/>
  <c r="G40" i="1" s="1"/>
  <c r="H38" i="8"/>
  <c r="H20" i="8"/>
  <c r="I52" i="8"/>
  <c r="D57" i="8"/>
  <c r="D58" i="8" s="1"/>
  <c r="H31" i="4"/>
  <c r="I13" i="1" s="1"/>
  <c r="I12" i="1"/>
  <c r="H39" i="1" s="1"/>
  <c r="H40" i="1" s="1"/>
  <c r="F38" i="8"/>
  <c r="F20" i="8"/>
  <c r="I31" i="4"/>
  <c r="J13" i="1" s="1"/>
  <c r="J12" i="1"/>
  <c r="I39" i="1" s="1"/>
  <c r="F31" i="4"/>
  <c r="G13" i="1" s="1"/>
  <c r="G12" i="1"/>
  <c r="F39" i="1" s="1"/>
  <c r="F40" i="1" s="1"/>
  <c r="K49" i="4"/>
  <c r="N49" i="4"/>
  <c r="L49" i="4"/>
  <c r="O49" i="4"/>
  <c r="M49" i="4"/>
  <c r="O36" i="8"/>
  <c r="N36" i="8"/>
  <c r="M36" i="8"/>
  <c r="P36" i="8"/>
  <c r="K36" i="8"/>
  <c r="L36" i="8"/>
  <c r="C45" i="1" l="1"/>
  <c r="C46" i="1" s="1"/>
  <c r="E40" i="1"/>
  <c r="D45" i="1"/>
  <c r="D46" i="1" s="1"/>
  <c r="I40" i="1"/>
  <c r="K18" i="1"/>
  <c r="L18" i="1"/>
  <c r="M18" i="1"/>
  <c r="N18" i="1"/>
  <c r="K19" i="1"/>
  <c r="L19" i="1"/>
  <c r="M19" i="1"/>
  <c r="N19" i="1"/>
  <c r="K20" i="1"/>
  <c r="L20" i="1"/>
  <c r="M20" i="1"/>
  <c r="N20" i="1"/>
  <c r="K21" i="1"/>
  <c r="L21" i="1"/>
  <c r="M21" i="1"/>
  <c r="N21" i="1"/>
  <c r="K22" i="1"/>
  <c r="L22" i="1"/>
  <c r="M22" i="1"/>
  <c r="N22" i="1"/>
  <c r="K23" i="1"/>
  <c r="L23" i="1"/>
  <c r="M23" i="1"/>
  <c r="N23" i="1"/>
  <c r="R28" i="4" l="1"/>
  <c r="Q28" i="4"/>
  <c r="P28" i="4"/>
  <c r="O28" i="4"/>
  <c r="N28" i="4"/>
  <c r="M28" i="4"/>
  <c r="L28" i="4"/>
  <c r="K28" i="4"/>
  <c r="J28" i="4"/>
  <c r="R27" i="4"/>
  <c r="Q27" i="4"/>
  <c r="P27" i="4"/>
  <c r="O27" i="4"/>
  <c r="N27" i="4"/>
  <c r="M27" i="4"/>
  <c r="L27" i="4"/>
  <c r="K27" i="4"/>
  <c r="J27" i="4"/>
  <c r="R26" i="4"/>
  <c r="Q26" i="4"/>
  <c r="P26" i="4"/>
  <c r="O26" i="4"/>
  <c r="N26" i="4"/>
  <c r="M26" i="4"/>
  <c r="L26" i="4"/>
  <c r="K26" i="4"/>
  <c r="J26" i="4"/>
  <c r="R25" i="4"/>
  <c r="Q25" i="4"/>
  <c r="P25" i="4"/>
  <c r="O25" i="4"/>
  <c r="N25" i="4"/>
  <c r="M25" i="4"/>
  <c r="L25" i="4"/>
  <c r="K25" i="4"/>
  <c r="J25" i="4"/>
  <c r="R24" i="4"/>
  <c r="Q24" i="4"/>
  <c r="P24" i="4"/>
  <c r="O24" i="4"/>
  <c r="N24" i="4"/>
  <c r="M24" i="4"/>
  <c r="L24" i="4"/>
  <c r="K24" i="4"/>
  <c r="J24" i="4"/>
  <c r="R23" i="4"/>
  <c r="Q23" i="4"/>
  <c r="P23" i="4"/>
  <c r="O23" i="4"/>
  <c r="N23" i="4"/>
  <c r="M23" i="4"/>
  <c r="L23" i="4"/>
  <c r="K23" i="4"/>
  <c r="J23" i="4"/>
  <c r="L29" i="4" l="1"/>
  <c r="L30" i="4" s="1"/>
  <c r="L31" i="4" s="1"/>
  <c r="M13" i="1" s="1"/>
  <c r="K29" i="4"/>
  <c r="K30" i="4" s="1"/>
  <c r="K31" i="4" s="1"/>
  <c r="L13" i="1" s="1"/>
  <c r="P29" i="4"/>
  <c r="P30" i="4" s="1"/>
  <c r="N29" i="4"/>
  <c r="N30" i="4" s="1"/>
  <c r="N31" i="4" s="1"/>
  <c r="O13" i="1" s="1"/>
  <c r="Q29" i="4"/>
  <c r="Q30" i="4" s="1"/>
  <c r="R29" i="4"/>
  <c r="R30" i="4" s="1"/>
  <c r="M29" i="4"/>
  <c r="M30" i="4" s="1"/>
  <c r="M31" i="4" s="1"/>
  <c r="N13" i="1" s="1"/>
  <c r="O29" i="4"/>
  <c r="O30" i="4" s="1"/>
  <c r="O31" i="4" s="1"/>
  <c r="P13" i="1" s="1"/>
  <c r="M12" i="1" l="1"/>
  <c r="R31" i="4"/>
  <c r="Q31" i="4"/>
  <c r="L12" i="1"/>
  <c r="P31" i="4"/>
  <c r="O12" i="1"/>
  <c r="P12" i="1"/>
  <c r="N12" i="1"/>
  <c r="M39" i="1" s="1"/>
  <c r="K39" i="1" l="1"/>
  <c r="L11" i="1"/>
  <c r="K11" i="1"/>
  <c r="AA7" i="5"/>
  <c r="AB7" i="5" s="1"/>
  <c r="AA6" i="5"/>
  <c r="AB6" i="5" s="1"/>
  <c r="AA5" i="5"/>
  <c r="AB5" i="5" s="1"/>
  <c r="AA4" i="5"/>
  <c r="AB4" i="5" s="1"/>
  <c r="P32" i="1"/>
  <c r="O32" i="1"/>
  <c r="M32" i="1"/>
  <c r="L32" i="1"/>
  <c r="AE28" i="4"/>
  <c r="AD28" i="4"/>
  <c r="AE27" i="4"/>
  <c r="AD27" i="4"/>
  <c r="AE26" i="4"/>
  <c r="AD26" i="4"/>
  <c r="AE25" i="4"/>
  <c r="AD25" i="4"/>
  <c r="AE24" i="4"/>
  <c r="AD24" i="4"/>
  <c r="AE23" i="4"/>
  <c r="AD23" i="4"/>
  <c r="L24" i="1"/>
  <c r="K24" i="1"/>
  <c r="AB29" i="4" l="1"/>
  <c r="AB30" i="4" s="1"/>
  <c r="AB31" i="4" s="1"/>
  <c r="AC29" i="4"/>
  <c r="AC30" i="4" s="1"/>
  <c r="AE29" i="4"/>
  <c r="AE30" i="4" s="1"/>
  <c r="AA29" i="4"/>
  <c r="AA30" i="4" s="1"/>
  <c r="AD29" i="4"/>
  <c r="AD30" i="4" s="1"/>
  <c r="Z29" i="4"/>
  <c r="Z30" i="4" s="1"/>
  <c r="R13" i="5"/>
  <c r="S13" i="5" s="1"/>
  <c r="T13" i="5" s="1"/>
  <c r="R12" i="5"/>
  <c r="S12" i="5" s="1"/>
  <c r="T12" i="5" s="1"/>
  <c r="R11" i="5"/>
  <c r="S11" i="5" s="1"/>
  <c r="T11" i="5" s="1"/>
  <c r="R10" i="5"/>
  <c r="S10" i="5" s="1"/>
  <c r="T10" i="5" s="1"/>
  <c r="R9" i="5"/>
  <c r="S9" i="5" s="1"/>
  <c r="T9" i="5" s="1"/>
  <c r="R8" i="5"/>
  <c r="S8" i="5" s="1"/>
  <c r="T8" i="5" s="1"/>
  <c r="R7" i="5"/>
  <c r="S7" i="5" s="1"/>
  <c r="T7" i="5" s="1"/>
  <c r="R6" i="5"/>
  <c r="S6" i="5" s="1"/>
  <c r="T6" i="5" s="1"/>
  <c r="R5" i="5"/>
  <c r="S5" i="5" s="1"/>
  <c r="T5" i="5" s="1"/>
  <c r="R4" i="5"/>
  <c r="S4" i="5" s="1"/>
  <c r="T4" i="5" s="1"/>
  <c r="AC31" i="4" l="1"/>
  <c r="Z31" i="4"/>
  <c r="K25" i="1"/>
  <c r="AD31" i="4"/>
  <c r="K26" i="1" s="1"/>
  <c r="AA31" i="4"/>
  <c r="L25" i="1"/>
  <c r="AE31" i="4"/>
  <c r="L26" i="1" s="1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U11" i="3"/>
  <c r="T11" i="3"/>
  <c r="S11" i="3"/>
  <c r="R11" i="3"/>
  <c r="S34" i="3" s="1"/>
  <c r="Q11" i="3"/>
  <c r="R34" i="3" s="1"/>
  <c r="P11" i="3"/>
  <c r="O11" i="3"/>
  <c r="N11" i="3"/>
  <c r="O34" i="3" s="1"/>
  <c r="H11" i="3"/>
  <c r="G11" i="3"/>
  <c r="F11" i="3"/>
  <c r="G34" i="3" s="1"/>
  <c r="E11" i="3"/>
  <c r="F34" i="3" s="1"/>
  <c r="D11" i="3"/>
  <c r="M11" i="3"/>
  <c r="N34" i="3" s="1"/>
  <c r="L11" i="3"/>
  <c r="K11" i="3"/>
  <c r="L34" i="3" s="1"/>
  <c r="J11" i="3"/>
  <c r="I11" i="3"/>
  <c r="J34" i="3" s="1"/>
  <c r="O38" i="1"/>
  <c r="N38" i="1"/>
  <c r="M38" i="1"/>
  <c r="L38" i="1"/>
  <c r="K38" i="1"/>
  <c r="J38" i="1"/>
  <c r="Q34" i="3" l="1"/>
  <c r="K34" i="3"/>
  <c r="M34" i="3"/>
  <c r="E34" i="3"/>
  <c r="H34" i="3"/>
  <c r="P34" i="3"/>
  <c r="T34" i="3"/>
  <c r="I34" i="3"/>
  <c r="U34" i="3"/>
  <c r="U10" i="5"/>
  <c r="V10" i="5" s="1"/>
  <c r="W10" i="5" s="1"/>
  <c r="X10" i="5" s="1"/>
  <c r="Y10" i="5" s="1"/>
  <c r="Z10" i="5" s="1"/>
  <c r="U9" i="5"/>
  <c r="V9" i="5" s="1"/>
  <c r="W9" i="5" s="1"/>
  <c r="X9" i="5" s="1"/>
  <c r="Y9" i="5" s="1"/>
  <c r="Z9" i="5" s="1"/>
  <c r="U8" i="5"/>
  <c r="V8" i="5" s="1"/>
  <c r="W8" i="5" s="1"/>
  <c r="X8" i="5" s="1"/>
  <c r="Y8" i="5" s="1"/>
  <c r="Z8" i="5" s="1"/>
  <c r="U7" i="5"/>
  <c r="V7" i="5" s="1"/>
  <c r="W7" i="5" s="1"/>
  <c r="X7" i="5" s="1"/>
  <c r="Y7" i="5" s="1"/>
  <c r="Z7" i="5" s="1"/>
  <c r="U6" i="5"/>
  <c r="V6" i="5" s="1"/>
  <c r="W6" i="5" s="1"/>
  <c r="X6" i="5" s="1"/>
  <c r="Y6" i="5" s="1"/>
  <c r="Z6" i="5" s="1"/>
  <c r="U5" i="5"/>
  <c r="V5" i="5" s="1"/>
  <c r="W5" i="5" s="1"/>
  <c r="X5" i="5" s="1"/>
  <c r="Y5" i="5" s="1"/>
  <c r="Z5" i="5" s="1"/>
  <c r="U4" i="5"/>
  <c r="U13" i="5"/>
  <c r="V13" i="5" s="1"/>
  <c r="W13" i="5" s="1"/>
  <c r="X13" i="5" s="1"/>
  <c r="Y13" i="5" s="1"/>
  <c r="Z13" i="5" s="1"/>
  <c r="U12" i="5"/>
  <c r="V12" i="5" s="1"/>
  <c r="W12" i="5" s="1"/>
  <c r="X12" i="5" s="1"/>
  <c r="Y12" i="5" s="1"/>
  <c r="Z12" i="5" s="1"/>
  <c r="U11" i="5"/>
  <c r="V11" i="5" s="1"/>
  <c r="W11" i="5" s="1"/>
  <c r="X11" i="5" s="1"/>
  <c r="Y11" i="5" s="1"/>
  <c r="Z11" i="5" s="1"/>
  <c r="Q27" i="5"/>
  <c r="P27" i="5"/>
  <c r="O27" i="5"/>
  <c r="N27" i="5"/>
  <c r="M27" i="5"/>
  <c r="L27" i="5"/>
  <c r="Q26" i="5"/>
  <c r="P26" i="5"/>
  <c r="O26" i="5"/>
  <c r="N26" i="5"/>
  <c r="M26" i="5"/>
  <c r="L26" i="5"/>
  <c r="P25" i="5"/>
  <c r="O25" i="5"/>
  <c r="N25" i="5"/>
  <c r="M25" i="5"/>
  <c r="L25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F44" i="1"/>
  <c r="E44" i="1"/>
  <c r="P33" i="1"/>
  <c r="O33" i="1"/>
  <c r="N32" i="1"/>
  <c r="N33" i="1" s="1"/>
  <c r="M33" i="1"/>
  <c r="L33" i="1"/>
  <c r="K32" i="1"/>
  <c r="K33" i="1" s="1"/>
  <c r="AF28" i="4"/>
  <c r="AF27" i="4"/>
  <c r="AF26" i="4"/>
  <c r="AF25" i="4"/>
  <c r="AF24" i="4"/>
  <c r="AI28" i="4"/>
  <c r="AH28" i="4"/>
  <c r="AG28" i="4"/>
  <c r="AI27" i="4"/>
  <c r="AH27" i="4"/>
  <c r="AG27" i="4"/>
  <c r="AI26" i="4"/>
  <c r="AH26" i="4"/>
  <c r="AG26" i="4"/>
  <c r="AI25" i="4"/>
  <c r="AH25" i="4"/>
  <c r="AG25" i="4"/>
  <c r="AI24" i="4"/>
  <c r="AH24" i="4"/>
  <c r="AG24" i="4"/>
  <c r="P11" i="1"/>
  <c r="O11" i="1"/>
  <c r="N11" i="1"/>
  <c r="AI23" i="4" l="1"/>
  <c r="AI29" i="4" s="1"/>
  <c r="AI30" i="4" s="1"/>
  <c r="P24" i="1"/>
  <c r="M24" i="1"/>
  <c r="AF23" i="4"/>
  <c r="AF29" i="4" s="1"/>
  <c r="AF30" i="4" s="1"/>
  <c r="AG23" i="4"/>
  <c r="AG29" i="4" s="1"/>
  <c r="AG30" i="4" s="1"/>
  <c r="N24" i="1"/>
  <c r="AH23" i="4"/>
  <c r="AH29" i="4" s="1"/>
  <c r="AH30" i="4" s="1"/>
  <c r="O24" i="1"/>
  <c r="V4" i="5"/>
  <c r="U14" i="5"/>
  <c r="K50" i="4"/>
  <c r="P50" i="4"/>
  <c r="P51" i="4" s="1"/>
  <c r="N50" i="4"/>
  <c r="O50" i="4"/>
  <c r="M50" i="4"/>
  <c r="L50" i="4"/>
  <c r="J49" i="4"/>
  <c r="J50" i="4" s="1"/>
  <c r="J29" i="4"/>
  <c r="J30" i="4" s="1"/>
  <c r="K12" i="1" s="1"/>
  <c r="J39" i="1" s="1"/>
  <c r="M11" i="1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O23" i="3"/>
  <c r="N23" i="3"/>
  <c r="M23" i="3"/>
  <c r="L23" i="3"/>
  <c r="K23" i="3"/>
  <c r="J23" i="3"/>
  <c r="I23" i="3"/>
  <c r="H23" i="3"/>
  <c r="G23" i="3"/>
  <c r="F23" i="3"/>
  <c r="E23" i="3"/>
  <c r="D23" i="3"/>
  <c r="O20" i="3"/>
  <c r="N20" i="3"/>
  <c r="M20" i="3"/>
  <c r="L20" i="3"/>
  <c r="K20" i="3"/>
  <c r="J20" i="3"/>
  <c r="I20" i="3"/>
  <c r="AA11" i="3"/>
  <c r="Z11" i="3"/>
  <c r="Y11" i="3"/>
  <c r="X11" i="3"/>
  <c r="Y34" i="3" s="1"/>
  <c r="W11" i="3"/>
  <c r="X34" i="3" s="1"/>
  <c r="V11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AB32" i="3" l="1"/>
  <c r="AB9" i="3" s="1"/>
  <c r="AC9" i="3" s="1"/>
  <c r="AD9" i="3" s="1"/>
  <c r="AE9" i="3" s="1"/>
  <c r="AF9" i="3" s="1"/>
  <c r="AG9" i="3" s="1"/>
  <c r="AA34" i="3"/>
  <c r="O37" i="8"/>
  <c r="O19" i="8"/>
  <c r="N51" i="8" s="1"/>
  <c r="N52" i="8" s="1"/>
  <c r="P37" i="8"/>
  <c r="P19" i="8"/>
  <c r="O51" i="8" s="1"/>
  <c r="O52" i="8" s="1"/>
  <c r="K51" i="4"/>
  <c r="L37" i="8"/>
  <c r="L19" i="8"/>
  <c r="K51" i="8" s="1"/>
  <c r="K52" i="8" s="1"/>
  <c r="K37" i="8"/>
  <c r="K19" i="8"/>
  <c r="J51" i="8" s="1"/>
  <c r="N37" i="8"/>
  <c r="N19" i="8"/>
  <c r="M51" i="8" s="1"/>
  <c r="M37" i="8"/>
  <c r="M19" i="8"/>
  <c r="L51" i="8" s="1"/>
  <c r="L52" i="8" s="1"/>
  <c r="M25" i="1"/>
  <c r="AF31" i="4"/>
  <c r="M26" i="1" s="1"/>
  <c r="N25" i="1"/>
  <c r="AG31" i="4"/>
  <c r="N26" i="1" s="1"/>
  <c r="P25" i="1"/>
  <c r="AI31" i="4"/>
  <c r="P26" i="1" s="1"/>
  <c r="O25" i="1"/>
  <c r="AH31" i="4"/>
  <c r="O26" i="1" s="1"/>
  <c r="Z34" i="3"/>
  <c r="AB28" i="3"/>
  <c r="AB5" i="3" s="1"/>
  <c r="W34" i="3"/>
  <c r="V34" i="3"/>
  <c r="AB31" i="3"/>
  <c r="AB8" i="3" s="1"/>
  <c r="AC8" i="3" s="1"/>
  <c r="AD8" i="3" s="1"/>
  <c r="AE8" i="3" s="1"/>
  <c r="AF8" i="3" s="1"/>
  <c r="AG8" i="3" s="1"/>
  <c r="W4" i="5"/>
  <c r="V14" i="5"/>
  <c r="AB29" i="3"/>
  <c r="AB6" i="3" s="1"/>
  <c r="AC6" i="3" s="1"/>
  <c r="AD6" i="3" s="1"/>
  <c r="AE6" i="3" s="1"/>
  <c r="AF6" i="3" s="1"/>
  <c r="AG6" i="3" s="1"/>
  <c r="AB33" i="3"/>
  <c r="AB10" i="3" s="1"/>
  <c r="AC10" i="3" s="1"/>
  <c r="AD10" i="3" s="1"/>
  <c r="AE10" i="3" s="1"/>
  <c r="AF10" i="3" s="1"/>
  <c r="AG10" i="3" s="1"/>
  <c r="AB30" i="3"/>
  <c r="AB7" i="3" s="1"/>
  <c r="AC7" i="3" s="1"/>
  <c r="AD7" i="3" s="1"/>
  <c r="AE7" i="3" s="1"/>
  <c r="AF7" i="3" s="1"/>
  <c r="AG7" i="3" s="1"/>
  <c r="J51" i="4"/>
  <c r="L51" i="4"/>
  <c r="O51" i="4"/>
  <c r="N51" i="4"/>
  <c r="M51" i="4"/>
  <c r="L39" i="1"/>
  <c r="J31" i="4"/>
  <c r="K13" i="1" s="1"/>
  <c r="N38" i="8" l="1"/>
  <c r="N20" i="8"/>
  <c r="O38" i="8"/>
  <c r="O20" i="8"/>
  <c r="P38" i="8"/>
  <c r="P20" i="8"/>
  <c r="L38" i="8"/>
  <c r="L20" i="8"/>
  <c r="J52" i="8"/>
  <c r="E57" i="8"/>
  <c r="E58" i="8" s="1"/>
  <c r="M38" i="8"/>
  <c r="M20" i="8"/>
  <c r="M52" i="8"/>
  <c r="F57" i="8"/>
  <c r="K20" i="8"/>
  <c r="K38" i="8"/>
  <c r="AB11" i="3"/>
  <c r="J40" i="1"/>
  <c r="M40" i="1"/>
  <c r="K40" i="1"/>
  <c r="N39" i="1"/>
  <c r="N40" i="1" s="1"/>
  <c r="L40" i="1"/>
  <c r="O39" i="1"/>
  <c r="O40" i="1" s="1"/>
  <c r="AC5" i="3"/>
  <c r="AD5" i="3" s="1"/>
  <c r="X4" i="5"/>
  <c r="W14" i="5"/>
  <c r="E45" i="1"/>
  <c r="F58" i="8" l="1"/>
  <c r="AC11" i="3"/>
  <c r="F45" i="1"/>
  <c r="E46" i="1"/>
  <c r="Y4" i="5"/>
  <c r="X14" i="5"/>
  <c r="AE5" i="3"/>
  <c r="AD11" i="3"/>
  <c r="F46" i="1" l="1"/>
  <c r="Z4" i="5"/>
  <c r="Z14" i="5" s="1"/>
  <c r="Y14" i="5"/>
  <c r="AF5" i="3"/>
  <c r="AE11" i="3"/>
  <c r="AG5" i="3" l="1"/>
  <c r="AG11" i="3" s="1"/>
  <c r="AF11" i="3"/>
</calcChain>
</file>

<file path=xl/sharedStrings.xml><?xml version="1.0" encoding="utf-8"?>
<sst xmlns="http://schemas.openxmlformats.org/spreadsheetml/2006/main" count="494" uniqueCount="100">
  <si>
    <t>차이</t>
    <phoneticPr fontId="2" type="noConversion"/>
  </si>
  <si>
    <t>Sales</t>
  </si>
  <si>
    <t>Mar.</t>
  </si>
  <si>
    <t>Apr.</t>
  </si>
  <si>
    <t>May.</t>
  </si>
  <si>
    <t>Jun.</t>
  </si>
  <si>
    <t>July</t>
  </si>
  <si>
    <t>Aug.</t>
  </si>
  <si>
    <t>Sep.</t>
  </si>
  <si>
    <t>Oct.</t>
  </si>
  <si>
    <t>Nov.</t>
  </si>
  <si>
    <t>Dec.</t>
  </si>
  <si>
    <t>PN</t>
  </si>
  <si>
    <t>PF</t>
  </si>
  <si>
    <t>Total</t>
  </si>
  <si>
    <t>Supply (arrival)</t>
  </si>
  <si>
    <t>July.</t>
  </si>
  <si>
    <t>발주 금액(KRW)</t>
  </si>
  <si>
    <t>Jan.</t>
  </si>
  <si>
    <t>Feb.</t>
  </si>
  <si>
    <t>3Q</t>
    <phoneticPr fontId="2" type="noConversion"/>
  </si>
  <si>
    <t>4Q</t>
    <phoneticPr fontId="2" type="noConversion"/>
  </si>
  <si>
    <t>Pre</t>
  </si>
  <si>
    <t>Kinder</t>
  </si>
  <si>
    <t>AR</t>
  </si>
  <si>
    <t>Comfort</t>
  </si>
  <si>
    <t>Sales
CU</t>
  </si>
  <si>
    <t>*전월 대비 증감</t>
    <phoneticPr fontId="2" type="noConversion"/>
  </si>
  <si>
    <t>23년</t>
    <phoneticPr fontId="2" type="noConversion"/>
  </si>
  <si>
    <t>24년</t>
    <phoneticPr fontId="2" type="noConversion"/>
  </si>
  <si>
    <r>
      <rPr>
        <b/>
        <sz val="10"/>
        <color theme="1"/>
        <rFont val="맑은 고딕"/>
        <family val="2"/>
        <charset val="129"/>
      </rPr>
      <t>평균</t>
    </r>
    <phoneticPr fontId="2" type="noConversion"/>
  </si>
  <si>
    <t>구분</t>
  </si>
  <si>
    <t>코드</t>
  </si>
  <si>
    <t>박스 금액</t>
  </si>
  <si>
    <t>캔당금액</t>
  </si>
  <si>
    <t>환율</t>
  </si>
  <si>
    <t>내수</t>
  </si>
  <si>
    <t>APTAMIL 1 KOR 4X800G</t>
  </si>
  <si>
    <t>APTAMIL 2 KOR 4X800G</t>
  </si>
  <si>
    <t>APTAMIL 3 KOR 4X800G</t>
  </si>
  <si>
    <t>APTAMIL PROFUTURA 1 4X800G KOR</t>
  </si>
  <si>
    <t>APTAMIL PROFUTURA 2 4X800G KOR</t>
  </si>
  <si>
    <t>APTAMIL PROFUTURA 3 4X800G KOR</t>
  </si>
  <si>
    <t>직구</t>
  </si>
  <si>
    <t>APTAMIL PRE 6X800G CR/SL</t>
  </si>
  <si>
    <t>APTAMIL 1 6X800G CR/SL</t>
  </si>
  <si>
    <t>APTAMIL 2 6X800G CR/SL</t>
  </si>
  <si>
    <t>APTAMIL 3 6X800G CR/SL</t>
  </si>
  <si>
    <t>APT PROFUTURA PRE, KOR 4X800G</t>
  </si>
  <si>
    <t>APT PROFUTURA 1, KOR 4X800G</t>
  </si>
  <si>
    <t>APT PROFUTURA 2, KOR 4X800G</t>
  </si>
  <si>
    <t>압타밀 AR</t>
  </si>
  <si>
    <t>압타밀 COMFORT</t>
  </si>
  <si>
    <t>압타밀 프로푸트라 YCF</t>
  </si>
  <si>
    <t>아이베</t>
    <phoneticPr fontId="2" type="noConversion"/>
  </si>
  <si>
    <t>크로네</t>
    <phoneticPr fontId="2" type="noConversion"/>
  </si>
  <si>
    <r>
      <rPr>
        <b/>
        <sz val="10"/>
        <color theme="1"/>
        <rFont val="돋움"/>
        <family val="3"/>
        <charset val="129"/>
      </rPr>
      <t>발주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돋움"/>
        <family val="3"/>
        <charset val="129"/>
      </rPr>
      <t>금액</t>
    </r>
    <r>
      <rPr>
        <b/>
        <sz val="10"/>
        <color theme="1"/>
        <rFont val="Arial"/>
        <family val="2"/>
      </rPr>
      <t>(KRW)</t>
    </r>
    <phoneticPr fontId="2" type="noConversion"/>
  </si>
  <si>
    <r>
      <rPr>
        <b/>
        <sz val="10"/>
        <color theme="1"/>
        <rFont val="돋움"/>
        <family val="3"/>
        <charset val="129"/>
      </rPr>
      <t>발주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돋움"/>
        <family val="3"/>
        <charset val="129"/>
      </rPr>
      <t>금액</t>
    </r>
    <r>
      <rPr>
        <b/>
        <sz val="10"/>
        <color theme="1"/>
        <rFont val="Arial"/>
        <family val="2"/>
      </rPr>
      <t>(EUR)</t>
    </r>
    <phoneticPr fontId="2" type="noConversion"/>
  </si>
  <si>
    <t>3분기 누계</t>
    <phoneticPr fontId="2" type="noConversion"/>
  </si>
  <si>
    <t>4분기 누계</t>
    <phoneticPr fontId="2" type="noConversion"/>
  </si>
  <si>
    <t>*판매량</t>
    <phoneticPr fontId="2" type="noConversion"/>
  </si>
  <si>
    <t>*발주</t>
    <phoneticPr fontId="2" type="noConversion"/>
  </si>
  <si>
    <t>*발주 목표</t>
    <phoneticPr fontId="2" type="noConversion"/>
  </si>
  <si>
    <t>* 차이</t>
    <phoneticPr fontId="2" type="noConversion"/>
  </si>
  <si>
    <t>발주액</t>
  </si>
  <si>
    <t>발주 목표</t>
  </si>
  <si>
    <t>25년</t>
    <phoneticPr fontId="2" type="noConversion"/>
  </si>
  <si>
    <t>MONTH</t>
    <phoneticPr fontId="2" type="noConversion"/>
  </si>
  <si>
    <t>Domestic</t>
    <phoneticPr fontId="2" type="noConversion"/>
  </si>
  <si>
    <t>Jikgu</t>
    <phoneticPr fontId="2" type="noConversion"/>
  </si>
  <si>
    <t>누트라 10, 푸트라20 업</t>
    <phoneticPr fontId="2" type="noConversion"/>
  </si>
  <si>
    <t>발주 월</t>
    <phoneticPr fontId="2" type="noConversion"/>
  </si>
  <si>
    <t>발주 금액(EUR)</t>
    <phoneticPr fontId="2" type="noConversion"/>
  </si>
  <si>
    <t>제조 월</t>
    <phoneticPr fontId="2" type="noConversion"/>
  </si>
  <si>
    <t>Apr</t>
  </si>
  <si>
    <t>May</t>
  </si>
  <si>
    <t>*제조</t>
    <phoneticPr fontId="2" type="noConversion"/>
  </si>
  <si>
    <t>*판매량(영훈)</t>
    <phoneticPr fontId="2" type="noConversion"/>
  </si>
  <si>
    <t>(EUR)</t>
    <phoneticPr fontId="2" type="noConversion"/>
  </si>
  <si>
    <t>발주</t>
    <phoneticPr fontId="2" type="noConversion"/>
  </si>
  <si>
    <t>제조</t>
    <phoneticPr fontId="2" type="noConversion"/>
  </si>
  <si>
    <t>Kinder 1</t>
    <phoneticPr fontId="2" type="noConversion"/>
  </si>
  <si>
    <t>Kinder 2</t>
  </si>
  <si>
    <t>Kinder 2</t>
    <phoneticPr fontId="2" type="noConversion"/>
  </si>
  <si>
    <t>Kinder1</t>
    <phoneticPr fontId="2" type="noConversion"/>
  </si>
  <si>
    <t>Kinder2</t>
    <phoneticPr fontId="2" type="noConversion"/>
  </si>
  <si>
    <t xml:space="preserve"> 1 X 1200G</t>
    <phoneticPr fontId="2" type="noConversion"/>
  </si>
  <si>
    <t xml:space="preserve"> 2 X 1200G</t>
    <phoneticPr fontId="2" type="noConversion"/>
  </si>
  <si>
    <t>Nov</t>
  </si>
  <si>
    <t>Dec</t>
  </si>
  <si>
    <t>Jan</t>
  </si>
  <si>
    <t>Feb</t>
  </si>
  <si>
    <t>Mar</t>
  </si>
  <si>
    <t>June</t>
  </si>
  <si>
    <t>Oct</t>
  </si>
  <si>
    <t>1Q</t>
    <phoneticPr fontId="2" type="noConversion"/>
  </si>
  <si>
    <t>2Q</t>
    <phoneticPr fontId="2" type="noConversion"/>
  </si>
  <si>
    <t>1분기 누계</t>
    <phoneticPr fontId="2" type="noConversion"/>
  </si>
  <si>
    <t>2분기 누계</t>
    <phoneticPr fontId="2" type="noConversion"/>
  </si>
  <si>
    <t>June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</si>
</sst>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8" formatCode="&quot;₩&quot;#,##0.00;[Red]\-&quot;₩&quot;#,##0.00"/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0.0%"/>
    <numFmt numFmtId="178" formatCode="[$€-2]\ #,##0.00;[Red]\-[$€-2]\ #,##0.00"/>
    <numFmt numFmtId="179" formatCode="#,##0_ "/>
    <numFmt numFmtId="180" formatCode="#,##0_);[Red]\(#,##0\)"/>
    <numFmt numFmtId="181" formatCode="_(&quot;$&quot;* #,##0.00_);_(&quot;$&quot;* \(#,##0.00\);_(&quot;$&quot;* &quot;-&quot;??_);_(@_)"/>
    <numFmt numFmtId="182" formatCode="_ &quot;€&quot;\ * #,##0.00_ ;_ &quot;€&quot;\ * \-#,##0.00_ ;_ &quot;€&quot;\ * &quot;-&quot;??_ ;_ @_ "/>
    <numFmt numFmtId="183" formatCode="_ * #,##0.00_ ;_ * \-#,##0.00_ ;_ * &quot;-&quot;??_ ;_ @_ "/>
    <numFmt numFmtId="184" formatCode="_-* #,##0.00_-;_-* #,##0.00\-;_-* &quot;-&quot;??_-;_-@_-"/>
    <numFmt numFmtId="185" formatCode="_(* #,##0.00_);_(* \(\ #,##0.00\ \);_(* &quot;-&quot;??_);_(\ @_ \)"/>
    <numFmt numFmtId="186" formatCode="_ * #,##0.00_)\ [$€-1]_ ;_ * \(#,##0.00\)\ [$€-1]_ ;_ * &quot;-&quot;??_)\ [$€-1]_ "/>
    <numFmt numFmtId="187" formatCode="_ [$€-2]\ * #,##0.00_ ;_ [$€-2]\ * \-#,##0.00_ ;_ [$€-2]\ * &quot;-&quot;??_ "/>
    <numFmt numFmtId="188" formatCode="_-* #,##0.00\ [$€]_-;\-* #,##0.00\ [$€]_-;_-* &quot;-&quot;??\ [$€]_-;_-@_-"/>
    <numFmt numFmtId="189" formatCode="###,000"/>
  </numFmts>
  <fonts count="2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돋움"/>
      <family val="3"/>
      <charset val="129"/>
    </font>
    <font>
      <b/>
      <sz val="10"/>
      <color theme="1"/>
      <name val="맑은 고딕"/>
      <family val="2"/>
      <charset val="129"/>
    </font>
    <font>
      <sz val="11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0"/>
      <color theme="0" tint="-0.34998626667073579"/>
      <name val="맑은 고딕"/>
      <family val="3"/>
      <charset val="129"/>
      <scheme val="minor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8"/>
      <color rgb="FF1F497D"/>
      <name val="Verdana"/>
      <family val="2"/>
    </font>
  </fonts>
  <fills count="18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61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7" fillId="0" borderId="0"/>
    <xf numFmtId="41" fontId="17" fillId="0" borderId="0" applyFont="0" applyFill="0" applyBorder="0" applyAlignment="0" applyProtection="0">
      <alignment vertical="center"/>
    </xf>
    <xf numFmtId="184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0" fontId="16" fillId="0" borderId="0"/>
    <xf numFmtId="184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9" fillId="0" borderId="0"/>
    <xf numFmtId="9" fontId="20" fillId="0" borderId="0" applyFont="0" applyFill="0" applyBorder="0" applyAlignment="0" applyProtection="0"/>
    <xf numFmtId="185" fontId="19" fillId="0" borderId="0" applyFont="0" applyFill="0" applyBorder="0" applyAlignment="0" applyProtection="0"/>
    <xf numFmtId="0" fontId="21" fillId="16" borderId="0" applyNumberFormat="0" applyBorder="0" applyAlignment="0" applyProtection="0"/>
    <xf numFmtId="0" fontId="22" fillId="0" borderId="0"/>
    <xf numFmtId="182" fontId="17" fillId="0" borderId="0" applyFont="0" applyFill="0" applyBorder="0" applyAlignment="0" applyProtection="0"/>
    <xf numFmtId="184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6" fontId="16" fillId="0" borderId="0" applyFont="0" applyFill="0" applyBorder="0" applyAlignment="0" applyProtection="0"/>
    <xf numFmtId="184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0" fontId="16" fillId="0" borderId="0"/>
    <xf numFmtId="0" fontId="23" fillId="0" borderId="0"/>
    <xf numFmtId="0" fontId="19" fillId="0" borderId="0"/>
    <xf numFmtId="0" fontId="16" fillId="0" borderId="0"/>
    <xf numFmtId="0" fontId="24" fillId="0" borderId="0"/>
    <xf numFmtId="0" fontId="16" fillId="0" borderId="0"/>
    <xf numFmtId="0" fontId="3" fillId="0" borderId="0"/>
    <xf numFmtId="182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7" fillId="0" borderId="0" applyFont="0" applyFill="0" applyBorder="0" applyAlignment="0" applyProtection="0"/>
    <xf numFmtId="183" fontId="16" fillId="0" borderId="0" applyFont="0" applyFill="0" applyBorder="0" applyAlignment="0" applyProtection="0"/>
    <xf numFmtId="183" fontId="17" fillId="0" borderId="0" applyFont="0" applyFill="0" applyBorder="0" applyAlignment="0" applyProtection="0"/>
    <xf numFmtId="182" fontId="17" fillId="0" borderId="0" applyFont="0" applyFill="0" applyBorder="0" applyAlignment="0" applyProtection="0"/>
    <xf numFmtId="0" fontId="17" fillId="0" borderId="0"/>
    <xf numFmtId="187" fontId="16" fillId="0" borderId="0" applyFont="0" applyFill="0" applyBorder="0" applyAlignment="0" applyProtection="0"/>
    <xf numFmtId="188" fontId="16" fillId="0" borderId="0" applyFont="0" applyFill="0" applyBorder="0" applyAlignment="0" applyProtection="0"/>
    <xf numFmtId="187" fontId="16" fillId="0" borderId="0" applyFont="0" applyFill="0" applyBorder="0" applyAlignment="0" applyProtection="0"/>
    <xf numFmtId="187" fontId="16" fillId="0" borderId="0" applyFont="0" applyFill="0" applyBorder="0" applyAlignment="0" applyProtection="0"/>
    <xf numFmtId="187" fontId="16" fillId="0" borderId="0" applyFont="0" applyFill="0" applyBorder="0" applyAlignment="0" applyProtection="0"/>
    <xf numFmtId="187" fontId="16" fillId="0" borderId="0" applyFont="0" applyFill="0" applyBorder="0" applyAlignment="0" applyProtection="0"/>
    <xf numFmtId="187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20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3" fillId="0" borderId="0"/>
    <xf numFmtId="41" fontId="17" fillId="0" borderId="0" applyFont="0" applyFill="0" applyBorder="0" applyAlignment="0" applyProtection="0">
      <alignment vertical="center"/>
    </xf>
    <xf numFmtId="0" fontId="16" fillId="0" borderId="0"/>
    <xf numFmtId="189" fontId="25" fillId="0" borderId="15" applyNumberFormat="0" applyProtection="0">
      <alignment horizontal="right" vertical="center"/>
    </xf>
    <xf numFmtId="184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3" fontId="16" fillId="0" borderId="0" applyFont="0" applyFill="0" applyBorder="0" applyAlignment="0" applyProtection="0"/>
    <xf numFmtId="184" fontId="17" fillId="0" borderId="0" applyFont="0" applyFill="0" applyBorder="0" applyAlignment="0" applyProtection="0"/>
    <xf numFmtId="184" fontId="17" fillId="0" borderId="0" applyFont="0" applyFill="0" applyBorder="0" applyAlignment="0" applyProtection="0"/>
  </cellStyleXfs>
  <cellXfs count="158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3" fontId="3" fillId="0" borderId="4" xfId="0" applyNumberFormat="1" applyFont="1" applyBorder="1" applyAlignment="1">
      <alignment horizontal="center" vertical="center" wrapText="1"/>
    </xf>
    <xf numFmtId="3" fontId="4" fillId="2" borderId="4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Continuous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3" fontId="3" fillId="6" borderId="4" xfId="0" applyNumberFormat="1" applyFont="1" applyFill="1" applyBorder="1" applyAlignment="1">
      <alignment horizontal="right" vertical="center" wrapText="1"/>
    </xf>
    <xf numFmtId="3" fontId="4" fillId="4" borderId="4" xfId="0" applyNumberFormat="1" applyFont="1" applyFill="1" applyBorder="1" applyAlignment="1">
      <alignment horizontal="right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3" fontId="4" fillId="7" borderId="4" xfId="0" applyNumberFormat="1" applyFont="1" applyFill="1" applyBorder="1" applyAlignment="1">
      <alignment horizontal="center" vertical="center" wrapText="1"/>
    </xf>
    <xf numFmtId="176" fontId="0" fillId="0" borderId="0" xfId="1" applyNumberFormat="1" applyFont="1">
      <alignment vertical="center"/>
    </xf>
    <xf numFmtId="3" fontId="3" fillId="10" borderId="4" xfId="0" applyNumberFormat="1" applyFont="1" applyFill="1" applyBorder="1" applyAlignment="1">
      <alignment horizontal="center" vertical="center" wrapText="1"/>
    </xf>
    <xf numFmtId="9" fontId="0" fillId="0" borderId="0" xfId="2" applyFont="1">
      <alignment vertical="center"/>
    </xf>
    <xf numFmtId="0" fontId="0" fillId="0" borderId="4" xfId="0" applyBorder="1">
      <alignment vertical="center"/>
    </xf>
    <xf numFmtId="9" fontId="0" fillId="0" borderId="4" xfId="2" applyFont="1" applyBorder="1">
      <alignment vertical="center"/>
    </xf>
    <xf numFmtId="177" fontId="0" fillId="0" borderId="4" xfId="2" applyNumberFormat="1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78" fontId="8" fillId="0" borderId="10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8" fontId="3" fillId="0" borderId="1" xfId="0" applyNumberFormat="1" applyFont="1" applyBorder="1" applyAlignment="1">
      <alignment horizontal="center" vertical="center"/>
    </xf>
    <xf numFmtId="8" fontId="3" fillId="0" borderId="2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78" fontId="3" fillId="0" borderId="10" xfId="0" applyNumberFormat="1" applyFont="1" applyBorder="1" applyAlignment="1">
      <alignment horizontal="center" vertical="center"/>
    </xf>
    <xf numFmtId="4" fontId="3" fillId="0" borderId="10" xfId="0" applyNumberFormat="1" applyFont="1" applyBorder="1" applyAlignment="1">
      <alignment horizontal="center" vertical="center"/>
    </xf>
    <xf numFmtId="8" fontId="3" fillId="0" borderId="10" xfId="0" applyNumberFormat="1" applyFont="1" applyBorder="1" applyAlignment="1">
      <alignment horizontal="center" vertical="center"/>
    </xf>
    <xf numFmtId="8" fontId="3" fillId="0" borderId="3" xfId="0" applyNumberFormat="1" applyFont="1" applyBorder="1" applyAlignment="1">
      <alignment horizontal="center" vertical="center"/>
    </xf>
    <xf numFmtId="179" fontId="3" fillId="0" borderId="4" xfId="0" applyNumberFormat="1" applyFont="1" applyBorder="1" applyAlignment="1">
      <alignment vertical="center" wrapText="1"/>
    </xf>
    <xf numFmtId="180" fontId="0" fillId="0" borderId="4" xfId="1" applyNumberFormat="1" applyFont="1" applyBorder="1" applyAlignment="1">
      <alignment horizontal="centerContinuous" vertical="center"/>
    </xf>
    <xf numFmtId="179" fontId="0" fillId="0" borderId="4" xfId="0" applyNumberFormat="1" applyBorder="1" applyAlignment="1">
      <alignment horizontal="centerContinuous" vertical="center"/>
    </xf>
    <xf numFmtId="0" fontId="12" fillId="0" borderId="0" xfId="0" applyFont="1">
      <alignment vertical="center"/>
    </xf>
    <xf numFmtId="0" fontId="11" fillId="11" borderId="4" xfId="0" applyFont="1" applyFill="1" applyBorder="1" applyAlignment="1">
      <alignment horizontal="center" vertical="center"/>
    </xf>
    <xf numFmtId="180" fontId="11" fillId="0" borderId="4" xfId="0" applyNumberFormat="1" applyFont="1" applyBorder="1" applyAlignment="1">
      <alignment horizontal="center" vertical="center"/>
    </xf>
    <xf numFmtId="180" fontId="11" fillId="11" borderId="4" xfId="0" applyNumberFormat="1" applyFont="1" applyFill="1" applyBorder="1" applyAlignment="1">
      <alignment horizontal="center" vertical="center"/>
    </xf>
    <xf numFmtId="9" fontId="3" fillId="0" borderId="4" xfId="2" applyFont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9" fontId="0" fillId="5" borderId="4" xfId="2" applyFont="1" applyFill="1" applyBorder="1">
      <alignment vertical="center"/>
    </xf>
    <xf numFmtId="9" fontId="3" fillId="12" borderId="4" xfId="2" applyFont="1" applyFill="1" applyBorder="1" applyAlignment="1">
      <alignment horizontal="center" vertical="center" wrapText="1"/>
    </xf>
    <xf numFmtId="180" fontId="3" fillId="12" borderId="4" xfId="0" applyNumberFormat="1" applyFont="1" applyFill="1" applyBorder="1" applyAlignment="1">
      <alignment horizontal="center" vertical="center" wrapText="1"/>
    </xf>
    <xf numFmtId="10" fontId="0" fillId="0" borderId="4" xfId="0" applyNumberFormat="1" applyBorder="1">
      <alignment vertical="center"/>
    </xf>
    <xf numFmtId="10" fontId="0" fillId="0" borderId="4" xfId="2" applyNumberFormat="1" applyFont="1" applyBorder="1">
      <alignment vertical="center"/>
    </xf>
    <xf numFmtId="17" fontId="4" fillId="2" borderId="4" xfId="0" applyNumberFormat="1" applyFont="1" applyFill="1" applyBorder="1" applyAlignment="1">
      <alignment horizontal="center" vertical="center" wrapText="1"/>
    </xf>
    <xf numFmtId="3" fontId="0" fillId="0" borderId="0" xfId="0" applyNumberFormat="1">
      <alignment vertical="center"/>
    </xf>
    <xf numFmtId="41" fontId="0" fillId="0" borderId="0" xfId="1" applyFont="1">
      <alignment vertical="center"/>
    </xf>
    <xf numFmtId="0" fontId="3" fillId="13" borderId="4" xfId="0" applyFont="1" applyFill="1" applyBorder="1" applyAlignment="1">
      <alignment horizontal="center" vertical="center" wrapText="1"/>
    </xf>
    <xf numFmtId="3" fontId="3" fillId="13" borderId="4" xfId="0" applyNumberFormat="1" applyFont="1" applyFill="1" applyBorder="1" applyAlignment="1">
      <alignment horizontal="center" vertical="center" wrapText="1"/>
    </xf>
    <xf numFmtId="180" fontId="0" fillId="0" borderId="0" xfId="0" applyNumberFormat="1">
      <alignment vertical="center"/>
    </xf>
    <xf numFmtId="0" fontId="3" fillId="14" borderId="4" xfId="0" applyFont="1" applyFill="1" applyBorder="1" applyAlignment="1">
      <alignment horizontal="center" vertical="center" wrapText="1"/>
    </xf>
    <xf numFmtId="3" fontId="3" fillId="14" borderId="4" xfId="0" applyNumberFormat="1" applyFont="1" applyFill="1" applyBorder="1" applyAlignment="1">
      <alignment horizontal="center" vertical="center" wrapText="1"/>
    </xf>
    <xf numFmtId="41" fontId="4" fillId="2" borderId="4" xfId="1" applyFont="1" applyFill="1" applyBorder="1" applyAlignment="1">
      <alignment horizontal="center" vertical="center" wrapText="1"/>
    </xf>
    <xf numFmtId="0" fontId="13" fillId="15" borderId="4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14" fillId="0" borderId="4" xfId="0" applyFont="1" applyBorder="1" applyAlignment="1">
      <alignment horizontal="centerContinuous" vertical="center"/>
    </xf>
    <xf numFmtId="0" fontId="13" fillId="4" borderId="4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3" fontId="15" fillId="0" borderId="4" xfId="0" applyNumberFormat="1" applyFont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3" fontId="13" fillId="4" borderId="4" xfId="0" applyNumberFormat="1" applyFont="1" applyFill="1" applyBorder="1" applyAlignment="1">
      <alignment horizontal="right" vertical="center" wrapText="1"/>
    </xf>
    <xf numFmtId="0" fontId="15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3" fontId="13" fillId="0" borderId="0" xfId="0" applyNumberFormat="1" applyFont="1" applyAlignment="1">
      <alignment horizontal="right" vertical="center" wrapText="1"/>
    </xf>
    <xf numFmtId="3" fontId="15" fillId="0" borderId="4" xfId="0" applyNumberFormat="1" applyFont="1" applyBorder="1" applyAlignment="1">
      <alignment horizontal="right" vertical="center" wrapText="1"/>
    </xf>
    <xf numFmtId="180" fontId="14" fillId="0" borderId="4" xfId="1" applyNumberFormat="1" applyFont="1" applyBorder="1" applyAlignment="1">
      <alignment horizontal="centerContinuous" vertical="center"/>
    </xf>
    <xf numFmtId="179" fontId="14" fillId="0" borderId="4" xfId="0" applyNumberFormat="1" applyFont="1" applyBorder="1" applyAlignment="1">
      <alignment horizontal="centerContinuous" vertical="center"/>
    </xf>
    <xf numFmtId="3" fontId="13" fillId="4" borderId="4" xfId="0" applyNumberFormat="1" applyFont="1" applyFill="1" applyBorder="1" applyAlignment="1">
      <alignment horizontal="center" vertical="center" wrapText="1"/>
    </xf>
    <xf numFmtId="178" fontId="14" fillId="0" borderId="0" xfId="0" applyNumberFormat="1" applyFont="1">
      <alignment vertical="center"/>
    </xf>
    <xf numFmtId="41" fontId="14" fillId="0" borderId="0" xfId="1" applyFont="1">
      <alignment vertical="center"/>
    </xf>
    <xf numFmtId="0" fontId="14" fillId="11" borderId="4" xfId="0" applyFont="1" applyFill="1" applyBorder="1" applyAlignment="1">
      <alignment horizontal="center" vertical="center"/>
    </xf>
    <xf numFmtId="180" fontId="14" fillId="0" borderId="4" xfId="0" applyNumberFormat="1" applyFont="1" applyBorder="1" applyAlignment="1">
      <alignment horizontal="center" vertical="center"/>
    </xf>
    <xf numFmtId="180" fontId="14" fillId="11" borderId="4" xfId="0" applyNumberFormat="1" applyFont="1" applyFill="1" applyBorder="1" applyAlignment="1">
      <alignment horizontal="center" vertical="center"/>
    </xf>
    <xf numFmtId="3" fontId="14" fillId="0" borderId="0" xfId="0" applyNumberFormat="1" applyFont="1">
      <alignment vertical="center"/>
    </xf>
    <xf numFmtId="3" fontId="14" fillId="0" borderId="0" xfId="1" applyNumberFormat="1" applyFont="1">
      <alignment vertical="center"/>
    </xf>
    <xf numFmtId="41" fontId="16" fillId="0" borderId="4" xfId="1" applyFont="1" applyBorder="1" applyAlignment="1">
      <alignment horizontal="center" vertical="center" wrapText="1"/>
    </xf>
    <xf numFmtId="41" fontId="16" fillId="14" borderId="4" xfId="1" applyFont="1" applyFill="1" applyBorder="1" applyAlignment="1">
      <alignment horizontal="center" vertical="center" wrapText="1"/>
    </xf>
    <xf numFmtId="41" fontId="16" fillId="13" borderId="4" xfId="1" applyFont="1" applyFill="1" applyBorder="1" applyAlignment="1">
      <alignment horizontal="center" vertical="center" wrapText="1"/>
    </xf>
    <xf numFmtId="41" fontId="16" fillId="12" borderId="4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3" fontId="3" fillId="6" borderId="0" xfId="0" applyNumberFormat="1" applyFont="1" applyFill="1" applyAlignment="1">
      <alignment horizontal="right" vertical="center" wrapText="1"/>
    </xf>
    <xf numFmtId="3" fontId="4" fillId="4" borderId="0" xfId="0" applyNumberFormat="1" applyFont="1" applyFill="1" applyAlignment="1">
      <alignment horizontal="right" vertical="center" wrapText="1"/>
    </xf>
    <xf numFmtId="179" fontId="3" fillId="0" borderId="0" xfId="0" applyNumberFormat="1" applyFont="1" applyAlignment="1">
      <alignment vertical="center" wrapText="1"/>
    </xf>
    <xf numFmtId="0" fontId="18" fillId="15" borderId="4" xfId="0" applyFont="1" applyFill="1" applyBorder="1" applyAlignment="1">
      <alignment horizontal="center" vertical="center"/>
    </xf>
    <xf numFmtId="3" fontId="3" fillId="5" borderId="4" xfId="0" applyNumberFormat="1" applyFont="1" applyFill="1" applyBorder="1" applyAlignment="1">
      <alignment horizontal="center" vertical="center" wrapText="1"/>
    </xf>
    <xf numFmtId="3" fontId="3" fillId="12" borderId="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right" vertical="center"/>
    </xf>
    <xf numFmtId="178" fontId="3" fillId="0" borderId="0" xfId="0" applyNumberFormat="1" applyFont="1">
      <alignment vertical="center"/>
    </xf>
    <xf numFmtId="3" fontId="15" fillId="17" borderId="4" xfId="0" applyNumberFormat="1" applyFont="1" applyFill="1" applyBorder="1" applyAlignment="1">
      <alignment horizontal="center" vertical="center" wrapText="1"/>
    </xf>
    <xf numFmtId="3" fontId="15" fillId="17" borderId="4" xfId="0" applyNumberFormat="1" applyFont="1" applyFill="1" applyBorder="1" applyAlignment="1">
      <alignment horizontal="right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0" fontId="15" fillId="4" borderId="12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 wrapText="1"/>
    </xf>
    <xf numFmtId="0" fontId="18" fillId="15" borderId="5" xfId="0" applyFont="1" applyFill="1" applyBorder="1" applyAlignment="1">
      <alignment horizontal="center" vertical="center"/>
    </xf>
    <xf numFmtId="0" fontId="18" fillId="15" borderId="14" xfId="0" applyFont="1" applyFill="1" applyBorder="1" applyAlignment="1">
      <alignment horizontal="center" vertical="center"/>
    </xf>
    <xf numFmtId="0" fontId="18" fillId="15" borderId="11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8" borderId="12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3" fillId="8" borderId="13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0" fontId="3" fillId="4" borderId="13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4" fillId="11" borderId="4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180" fontId="14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3" fontId="15" fillId="0" borderId="4" xfId="0" applyNumberFormat="1" applyFont="1" applyFill="1" applyBorder="1" applyAlignment="1">
      <alignment horizontal="center" vertical="center" wrapText="1"/>
    </xf>
    <xf numFmtId="3" fontId="15" fillId="0" borderId="4" xfId="0" applyNumberFormat="1" applyFont="1" applyFill="1" applyBorder="1" applyAlignment="1">
      <alignment horizontal="right" vertical="center" wrapText="1"/>
    </xf>
  </cellXfs>
  <cellStyles count="61">
    <cellStyle name="Comma [0] 2" xfId="53" xr:uid="{7F761E18-C352-481E-B1AD-CF1A959CAA48}"/>
    <cellStyle name="Comma 2" xfId="6" xr:uid="{D3068EB7-8C3D-499D-84D3-EEBEF2D932D8}"/>
    <cellStyle name="Comma 2 2" xfId="8" xr:uid="{EC86ADAF-A456-4E68-968C-94D66F78FEB7}"/>
    <cellStyle name="Comma 2 3" xfId="18" xr:uid="{52124366-DE63-4E3E-9C28-9C184FD1232D}"/>
    <cellStyle name="Comma 2 3 2" xfId="34" xr:uid="{EAB4AC81-6507-4DDE-8E39-C225972677B4}"/>
    <cellStyle name="Comma 2 3 3" xfId="36" xr:uid="{5EEB7FDF-0418-4C25-A075-FCEE51088EFC}"/>
    <cellStyle name="Comma 2 3 4" xfId="58" xr:uid="{73F7C64F-BAD7-49E4-BE00-5213B13D7D45}"/>
    <cellStyle name="Comma 3" xfId="5" xr:uid="{77ABA693-2B0A-4E52-BE8F-87C936B28378}"/>
    <cellStyle name="Comma 3 2" xfId="13" xr:uid="{28D44B05-A754-4968-B503-6CA2697F1057}"/>
    <cellStyle name="Comma 3 3" xfId="17" xr:uid="{E0F38F68-9EF6-443C-A5DB-765628F27A55}"/>
    <cellStyle name="Comma 4" xfId="20" xr:uid="{5F483DE7-F3BB-4A33-947A-F014CCC6D4E5}"/>
    <cellStyle name="Comma 5" xfId="21" xr:uid="{9361F8D3-DC04-45AF-90BB-5E159125FB83}"/>
    <cellStyle name="Comma 5 2" xfId="33" xr:uid="{0DFEA8A5-9233-4733-AB93-715DA52FCAE7}"/>
    <cellStyle name="Comma 5 3" xfId="37" xr:uid="{E92488A4-E696-474F-9AFC-FAC36F1F6E72}"/>
    <cellStyle name="Comma 5 4" xfId="57" xr:uid="{62EF7635-F816-42B9-8641-EBDE3385E76A}"/>
    <cellStyle name="Comma 6" xfId="51" xr:uid="{D2EF6ED0-18F2-4BD1-A946-305D5F0F0944}"/>
    <cellStyle name="Comma 7" xfId="56" xr:uid="{2CED7A2F-CCD2-4A4E-8BE1-55A1547BB71C}"/>
    <cellStyle name="Comma 8" xfId="59" xr:uid="{F1B59E42-A964-4BD7-945B-DC73DABD9123}"/>
    <cellStyle name="Comma 9" xfId="60" xr:uid="{196EDFAD-9B1E-46E4-9DD1-76818E9811D0}"/>
    <cellStyle name="Currency 2" xfId="16" xr:uid="{FC8DE313-45BE-438E-9106-E8C60798EA36}"/>
    <cellStyle name="Currency 3" xfId="19" xr:uid="{AA5D48A2-3865-4494-8BA0-E79829F9F57E}"/>
    <cellStyle name="Currency 4" xfId="32" xr:uid="{FB58CB34-4A01-4CF8-87A6-CBFD2A12D533}"/>
    <cellStyle name="Currency 5" xfId="35" xr:uid="{E5930276-9796-42A8-8F86-7F740ED2472A}"/>
    <cellStyle name="Currency 6" xfId="38" xr:uid="{FBA6CA89-8108-4191-96B9-0AC152AA2472}"/>
    <cellStyle name="Euro" xfId="22" xr:uid="{0C936E06-2811-494D-AAA4-958FE2063F74}"/>
    <cellStyle name="Euro 2" xfId="41" xr:uid="{14DE1DAC-2F9D-4524-98A2-28E1C2B85367}"/>
    <cellStyle name="Euro 3" xfId="42" xr:uid="{8E786297-8E4C-48D7-A352-4BB2C4B0CFE4}"/>
    <cellStyle name="Euro 4" xfId="43" xr:uid="{E54158CD-EF84-4456-8692-534495091D17}"/>
    <cellStyle name="Euro 5" xfId="44" xr:uid="{E6CFAD73-FEB6-4747-89A1-38DDA9DB9940}"/>
    <cellStyle name="Euro 6" xfId="45" xr:uid="{42F5A080-B002-4397-A413-9686CDB5212C}"/>
    <cellStyle name="Euro 7" xfId="46" xr:uid="{2FAE51F2-8F9F-448E-A672-26B483E740C6}"/>
    <cellStyle name="Euro 8" xfId="40" xr:uid="{3CAE9C23-0BBF-4CEE-BEAF-4B484779ACA9}"/>
    <cellStyle name="Hyperlink 2" xfId="15" xr:uid="{E558DA97-50C8-49A8-BA0D-596DD23AA62E}"/>
    <cellStyle name="Milliers_NUTRICIA PROPOSAL07" xfId="23" xr:uid="{0D866B7E-49F0-42CE-A296-C88BD8485A30}"/>
    <cellStyle name="Monétaire_p&amp;l sept 2009" xfId="24" xr:uid="{683CF923-77E6-459D-A628-55D407FFED74}"/>
    <cellStyle name="Neutral 2" xfId="14" xr:uid="{6379E207-58B8-4C1D-A8FF-616430C4E2B7}"/>
    <cellStyle name="Normal 11" xfId="25" xr:uid="{83F9996D-08C2-43F7-8358-BFB336EEF1AC}"/>
    <cellStyle name="Normal 2" xfId="7" xr:uid="{FBBDFEE6-E294-4474-B968-CF47EC0CC6CB}"/>
    <cellStyle name="Normal 2 2" xfId="26" xr:uid="{379344D7-9BAB-44EF-BECF-099F6F5F842F}"/>
    <cellStyle name="Normal 2 2 2" xfId="47" xr:uid="{782841B2-CFF8-4859-B5EC-3196EFEE3917}"/>
    <cellStyle name="Normal 3" xfId="9" xr:uid="{D25C7251-5E02-41AD-9358-E454666AB53C}"/>
    <cellStyle name="Normal 3 2" xfId="27" xr:uid="{6C4E6DB4-9975-4C94-8F0C-0CC39D8FF5BF}"/>
    <cellStyle name="Normal 3 3" xfId="39" xr:uid="{70C218FA-67FA-425F-9F49-F4B33EB0E5CC}"/>
    <cellStyle name="Normal 4" xfId="11" xr:uid="{25305F6E-95B1-4736-B289-7EA09F207AC5}"/>
    <cellStyle name="Normal 4 2" xfId="28" xr:uid="{80BEB01C-F247-48C0-ABF4-9F0783DA07F2}"/>
    <cellStyle name="Normal 5" xfId="31" xr:uid="{FDAC8078-5889-4B4C-AC91-5419F80CE656}"/>
    <cellStyle name="Normal 5 2" xfId="49" xr:uid="{4C47AC20-8556-43F0-A709-395B8AF28F15}"/>
    <cellStyle name="Normal 6" xfId="52" xr:uid="{75D2E86F-9C86-428D-901D-2A728E330C72}"/>
    <cellStyle name="Normal 6 2" xfId="54" xr:uid="{45372C54-7AF0-4AF7-9FAF-67119F6ECDD9}"/>
    <cellStyle name="Percent 2" xfId="10" xr:uid="{2E1DBBC7-8F98-4E95-BFA4-7D908DC388A4}"/>
    <cellStyle name="Percent 3" xfId="12" xr:uid="{29117238-120E-4F63-B822-475F96831426}"/>
    <cellStyle name="Porcentaje 2" xfId="50" xr:uid="{32B142C2-F7A8-455A-BE8A-D2632E8FA55C}"/>
    <cellStyle name="Porcentual 2" xfId="48" xr:uid="{B56C1DD0-985D-4529-8F48-0C25FB6326EC}"/>
    <cellStyle name="SAPDataCell" xfId="55" xr:uid="{87104492-44B3-439C-B9C2-A06A950DB6B9}"/>
    <cellStyle name="Style 1" xfId="29" xr:uid="{5CC62512-685E-492B-B4D9-60517CF7C35A}"/>
    <cellStyle name="Стиль 1" xfId="30" xr:uid="{C40269CB-434B-486F-953B-534BB9754E8E}"/>
    <cellStyle name="백분율" xfId="2" builtinId="5"/>
    <cellStyle name="쉼표 [0]" xfId="1" builtinId="6"/>
    <cellStyle name="쉼표 [0] 2" xfId="4" xr:uid="{2817922B-B3AD-43B9-8DAA-A9D6C4191447}"/>
    <cellStyle name="표준" xfId="0" builtinId="0"/>
    <cellStyle name="표준 2" xfId="3" xr:uid="{E5270DAA-22FA-401E-96FA-FEC106FAD425}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E452601C-F0E1-434E-970F-54ACD48B340E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986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1738369433252082E-2"/>
          <c:y val="5.7886432984783028E-2"/>
          <c:w val="0.94914823594324482"/>
          <c:h val="0.8945339145076493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Domestic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Sheet1!$B$4:$B$33</c:f>
              <c:numCache>
                <c:formatCode>mmm\-yy</c:formatCode>
                <c:ptCount val="3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</c:numCache>
            </c:numRef>
          </c:xVal>
          <c:yVal>
            <c:numRef>
              <c:f>Sheet1!$C$4:$C$33</c:f>
              <c:numCache>
                <c:formatCode>#,##0</c:formatCode>
                <c:ptCount val="30"/>
                <c:pt idx="0">
                  <c:v>53413</c:v>
                </c:pt>
                <c:pt idx="1">
                  <c:v>53079</c:v>
                </c:pt>
                <c:pt idx="2">
                  <c:v>61888</c:v>
                </c:pt>
                <c:pt idx="3">
                  <c:v>77285</c:v>
                </c:pt>
                <c:pt idx="4">
                  <c:v>73242</c:v>
                </c:pt>
                <c:pt idx="5">
                  <c:v>62726</c:v>
                </c:pt>
                <c:pt idx="6">
                  <c:v>63971</c:v>
                </c:pt>
                <c:pt idx="7">
                  <c:v>64015</c:v>
                </c:pt>
                <c:pt idx="8">
                  <c:v>62566</c:v>
                </c:pt>
                <c:pt idx="9">
                  <c:v>58034</c:v>
                </c:pt>
                <c:pt idx="10">
                  <c:v>55759</c:v>
                </c:pt>
                <c:pt idx="11">
                  <c:v>57329</c:v>
                </c:pt>
                <c:pt idx="12">
                  <c:v>54963</c:v>
                </c:pt>
                <c:pt idx="13">
                  <c:v>50663</c:v>
                </c:pt>
                <c:pt idx="14">
                  <c:v>50943</c:v>
                </c:pt>
                <c:pt idx="15">
                  <c:v>49807</c:v>
                </c:pt>
                <c:pt idx="16">
                  <c:v>49161</c:v>
                </c:pt>
                <c:pt idx="17">
                  <c:v>49331</c:v>
                </c:pt>
                <c:pt idx="18">
                  <c:v>45825</c:v>
                </c:pt>
                <c:pt idx="19">
                  <c:v>44322</c:v>
                </c:pt>
                <c:pt idx="20">
                  <c:v>46638</c:v>
                </c:pt>
                <c:pt idx="21">
                  <c:v>48866</c:v>
                </c:pt>
                <c:pt idx="22">
                  <c:v>51559</c:v>
                </c:pt>
                <c:pt idx="23">
                  <c:v>54351</c:v>
                </c:pt>
                <c:pt idx="24">
                  <c:v>54155.530979056435</c:v>
                </c:pt>
                <c:pt idx="25">
                  <c:v>53985.434640622676</c:v>
                </c:pt>
                <c:pt idx="26">
                  <c:v>54330.018769459755</c:v>
                </c:pt>
                <c:pt idx="27">
                  <c:v>53299.426846225353</c:v>
                </c:pt>
                <c:pt idx="28">
                  <c:v>52748.474742094033</c:v>
                </c:pt>
                <c:pt idx="29">
                  <c:v>53273.969695846266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5D-4FD6-AB07-C5DE980929E6}"/>
            </c:ext>
          </c:extLst>
        </c:ser>
        <c:ser>
          <c:idx val="1"/>
          <c:order val="1"/>
          <c:tx>
            <c:strRef>
              <c:f>Sheet1!$D$3</c:f>
              <c:strCache>
                <c:ptCount val="1"/>
                <c:pt idx="0">
                  <c:v> Jikgu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Sheet1!$B$4:$B$33</c:f>
              <c:numCache>
                <c:formatCode>mmm\-yy</c:formatCode>
                <c:ptCount val="3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</c:numCache>
            </c:numRef>
          </c:xVal>
          <c:yVal>
            <c:numRef>
              <c:f>Sheet1!$D$4:$D$33</c:f>
              <c:numCache>
                <c:formatCode>_(* #,##0_);_(* \(#,##0\);_(* "-"_);_(@_)</c:formatCode>
                <c:ptCount val="30"/>
                <c:pt idx="7">
                  <c:v>590</c:v>
                </c:pt>
                <c:pt idx="8">
                  <c:v>3356</c:v>
                </c:pt>
                <c:pt idx="9">
                  <c:v>4851</c:v>
                </c:pt>
                <c:pt idx="10">
                  <c:v>8822</c:v>
                </c:pt>
                <c:pt idx="11">
                  <c:v>13245</c:v>
                </c:pt>
                <c:pt idx="12">
                  <c:v>16019</c:v>
                </c:pt>
                <c:pt idx="13">
                  <c:v>15665</c:v>
                </c:pt>
                <c:pt idx="14">
                  <c:v>23359</c:v>
                </c:pt>
                <c:pt idx="15">
                  <c:v>26822</c:v>
                </c:pt>
                <c:pt idx="16">
                  <c:v>27580</c:v>
                </c:pt>
                <c:pt idx="17">
                  <c:v>22165</c:v>
                </c:pt>
                <c:pt idx="18">
                  <c:v>26179</c:v>
                </c:pt>
                <c:pt idx="19">
                  <c:v>27002</c:v>
                </c:pt>
                <c:pt idx="20">
                  <c:v>33428.400000000001</c:v>
                </c:pt>
                <c:pt idx="21">
                  <c:v>34498.799999999996</c:v>
                </c:pt>
                <c:pt idx="22">
                  <c:v>35634</c:v>
                </c:pt>
                <c:pt idx="23">
                  <c:v>36717.599999999999</c:v>
                </c:pt>
                <c:pt idx="24">
                  <c:v>37950.587999999996</c:v>
                </c:pt>
                <c:pt idx="25">
                  <c:v>39233.711640000001</c:v>
                </c:pt>
                <c:pt idx="26">
                  <c:v>40623.080717999997</c:v>
                </c:pt>
                <c:pt idx="27">
                  <c:v>42757.105818924007</c:v>
                </c:pt>
                <c:pt idx="28">
                  <c:v>44857.846709420162</c:v>
                </c:pt>
                <c:pt idx="29">
                  <c:v>46684.514163280845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B5D-4FD6-AB07-C5DE980929E6}"/>
            </c:ext>
          </c:extLst>
        </c:ser>
        <c:ser>
          <c:idx val="2"/>
          <c:order val="2"/>
          <c:tx>
            <c:strRef>
              <c:f>Sheet1!$E$3</c:f>
              <c:strCache>
                <c:ptCount val="1"/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Sheet1!$B$4:$B$33</c:f>
              <c:numCache>
                <c:formatCode>mmm\-yy</c:formatCode>
                <c:ptCount val="3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</c:numCache>
            </c:numRef>
          </c:xVal>
          <c:yVal>
            <c:numRef>
              <c:f>Sheet1!$E$4:$E$33</c:f>
              <c:numCache>
                <c:formatCode>#,##0</c:formatCode>
                <c:ptCount val="30"/>
                <c:pt idx="0">
                  <c:v>53413</c:v>
                </c:pt>
                <c:pt idx="1">
                  <c:v>53079</c:v>
                </c:pt>
                <c:pt idx="2">
                  <c:v>61888</c:v>
                </c:pt>
                <c:pt idx="3">
                  <c:v>77285</c:v>
                </c:pt>
                <c:pt idx="4">
                  <c:v>73242</c:v>
                </c:pt>
                <c:pt idx="5">
                  <c:v>62726</c:v>
                </c:pt>
                <c:pt idx="6">
                  <c:v>63971</c:v>
                </c:pt>
                <c:pt idx="7">
                  <c:v>64605</c:v>
                </c:pt>
                <c:pt idx="8">
                  <c:v>65922</c:v>
                </c:pt>
                <c:pt idx="9">
                  <c:v>62885</c:v>
                </c:pt>
                <c:pt idx="10">
                  <c:v>64581</c:v>
                </c:pt>
                <c:pt idx="11">
                  <c:v>70574</c:v>
                </c:pt>
                <c:pt idx="12">
                  <c:v>70982</c:v>
                </c:pt>
                <c:pt idx="13">
                  <c:v>66328</c:v>
                </c:pt>
                <c:pt idx="14">
                  <c:v>74302</c:v>
                </c:pt>
                <c:pt idx="15">
                  <c:v>76629</c:v>
                </c:pt>
                <c:pt idx="16">
                  <c:v>76741</c:v>
                </c:pt>
                <c:pt idx="17">
                  <c:v>71496</c:v>
                </c:pt>
                <c:pt idx="18">
                  <c:v>72004</c:v>
                </c:pt>
                <c:pt idx="19">
                  <c:v>71324</c:v>
                </c:pt>
                <c:pt idx="20">
                  <c:v>80066.399999999994</c:v>
                </c:pt>
                <c:pt idx="21">
                  <c:v>83364.799999999988</c:v>
                </c:pt>
                <c:pt idx="22">
                  <c:v>87193</c:v>
                </c:pt>
                <c:pt idx="23">
                  <c:v>91068.6</c:v>
                </c:pt>
                <c:pt idx="24">
                  <c:v>92106.118979056424</c:v>
                </c:pt>
                <c:pt idx="25">
                  <c:v>93219.146280622677</c:v>
                </c:pt>
                <c:pt idx="26">
                  <c:v>94953.099487459753</c:v>
                </c:pt>
                <c:pt idx="27">
                  <c:v>96056.532665149367</c:v>
                </c:pt>
                <c:pt idx="28">
                  <c:v>97606.321451514203</c:v>
                </c:pt>
                <c:pt idx="29">
                  <c:v>99958.483859127111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B5D-4FD6-AB07-C5DE98092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501775"/>
        <c:axId val="163504175"/>
      </c:scatterChart>
      <c:valAx>
        <c:axId val="163501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3504175"/>
        <c:crosses val="autoZero"/>
        <c:crossBetween val="midCat"/>
      </c:valAx>
      <c:valAx>
        <c:axId val="16350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3501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23283</xdr:colOff>
      <xdr:row>47</xdr:row>
      <xdr:rowOff>74084</xdr:rowOff>
    </xdr:from>
    <xdr:to>
      <xdr:col>5</xdr:col>
      <xdr:colOff>699027</xdr:colOff>
      <xdr:row>55</xdr:row>
      <xdr:rowOff>138424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4F4119C-DC55-56E3-78D5-31B34DC4D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358" y="9770534"/>
          <a:ext cx="4247619" cy="17407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434875</xdr:colOff>
      <xdr:row>1</xdr:row>
      <xdr:rowOff>133705</xdr:rowOff>
    </xdr:from>
    <xdr:to>
      <xdr:col>29</xdr:col>
      <xdr:colOff>142392</xdr:colOff>
      <xdr:row>35</xdr:row>
      <xdr:rowOff>196823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340B482-AAF6-5C75-1EF6-881768DE9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0.64065</cdr:x>
      <cdr:y>0.17068</cdr:y>
    </cdr:from>
    <cdr:to>
      <cdr:x>0.64065</cdr:x>
      <cdr:y>0.88375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E9B70F8B-D2B9-6DBF-DCB2-D313072F8861}"/>
            </a:ext>
          </a:extLst>
        </cdr:cNvPr>
        <cdr:cNvCxnSpPr/>
      </cdr:nvCxnSpPr>
      <cdr:spPr>
        <a:xfrm xmlns:a="http://schemas.openxmlformats.org/drawingml/2006/main">
          <a:off x="10227076" y="1239104"/>
          <a:ext cx="0" cy="5176762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rgbClr val="C00000"/>
          </a:solidFill>
          <a:prstDash val="dashDot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59</xdr:row>
      <xdr:rowOff>95250</xdr:rowOff>
    </xdr:from>
    <xdr:to>
      <xdr:col>6</xdr:col>
      <xdr:colOff>123288</xdr:colOff>
      <xdr:row>67</xdr:row>
      <xdr:rowOff>180755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75DAC2C-DC60-4AFA-83E1-D689276B8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25" y="11468100"/>
          <a:ext cx="4295238" cy="17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6E36A-C1F6-40F5-8FDE-BDFED758789E}">
  <sheetPr>
    <tabColor theme="7"/>
  </sheetPr>
  <dimension ref="B3:R52"/>
  <sheetViews>
    <sheetView tabSelected="1" topLeftCell="A13" workbookViewId="0">
      <selection activeCell="K32" sqref="E32:K33"/>
    </sheetView>
  </sheetViews>
  <sheetFormatPr defaultRowHeight="16.5"/>
  <cols>
    <col min="1" max="1" width="2.875" style="65" customWidth="1"/>
    <col min="2" max="2" width="9" style="65"/>
    <col min="3" max="3" width="14.625" style="65" bestFit="1" customWidth="1"/>
    <col min="4" max="4" width="11.375" style="65" bestFit="1" customWidth="1"/>
    <col min="5" max="12" width="11.875" style="65" customWidth="1"/>
    <col min="13" max="16" width="12.875" style="65" bestFit="1" customWidth="1"/>
    <col min="17" max="16384" width="9" style="65"/>
  </cols>
  <sheetData>
    <row r="3" spans="2:18" ht="17.25">
      <c r="B3" s="44" t="s">
        <v>61</v>
      </c>
      <c r="E3" s="66" t="s">
        <v>95</v>
      </c>
      <c r="F3" s="66"/>
      <c r="G3" s="66"/>
      <c r="H3" s="66" t="s">
        <v>96</v>
      </c>
      <c r="I3" s="66"/>
      <c r="J3" s="66"/>
      <c r="K3" s="66" t="s">
        <v>20</v>
      </c>
      <c r="L3" s="66"/>
      <c r="M3" s="66"/>
      <c r="N3" s="66" t="s">
        <v>21</v>
      </c>
      <c r="O3" s="66"/>
      <c r="P3" s="66"/>
    </row>
    <row r="4" spans="2:18">
      <c r="B4" s="104"/>
      <c r="C4" s="104"/>
      <c r="D4" s="104"/>
      <c r="E4" s="67" t="s">
        <v>94</v>
      </c>
      <c r="F4" s="67" t="s">
        <v>88</v>
      </c>
      <c r="G4" s="67" t="s">
        <v>89</v>
      </c>
      <c r="H4" s="67" t="s">
        <v>90</v>
      </c>
      <c r="I4" s="67" t="s">
        <v>91</v>
      </c>
      <c r="J4" s="67" t="s">
        <v>92</v>
      </c>
      <c r="K4" s="67" t="s">
        <v>74</v>
      </c>
      <c r="L4" s="67" t="s">
        <v>75</v>
      </c>
      <c r="M4" s="67" t="s">
        <v>5</v>
      </c>
      <c r="N4" s="67" t="s">
        <v>16</v>
      </c>
      <c r="O4" s="67" t="s">
        <v>7</v>
      </c>
      <c r="P4" s="67" t="s">
        <v>8</v>
      </c>
    </row>
    <row r="5" spans="2:18">
      <c r="B5" s="115"/>
      <c r="C5" s="109" t="s">
        <v>12</v>
      </c>
      <c r="D5" s="68">
        <v>1</v>
      </c>
      <c r="E5" s="69"/>
      <c r="F5" s="69"/>
      <c r="G5" s="69">
        <v>2880</v>
      </c>
      <c r="H5" s="69"/>
      <c r="I5" s="69"/>
      <c r="J5" s="69"/>
      <c r="K5" s="69"/>
      <c r="L5" s="69">
        <v>2880</v>
      </c>
      <c r="M5" s="69">
        <v>16704</v>
      </c>
      <c r="N5" s="69">
        <v>2304</v>
      </c>
      <c r="O5" s="99">
        <v>5000</v>
      </c>
      <c r="P5" s="99">
        <v>9000</v>
      </c>
    </row>
    <row r="6" spans="2:18">
      <c r="B6" s="115"/>
      <c r="C6" s="109"/>
      <c r="D6" s="68">
        <v>2</v>
      </c>
      <c r="E6" s="69">
        <v>9216</v>
      </c>
      <c r="F6" s="69">
        <v>5760</v>
      </c>
      <c r="G6" s="69">
        <v>9792</v>
      </c>
      <c r="H6" s="69"/>
      <c r="I6" s="69"/>
      <c r="J6" s="69"/>
      <c r="K6" s="69"/>
      <c r="L6" s="69">
        <v>9792</v>
      </c>
      <c r="M6" s="69">
        <v>8640</v>
      </c>
      <c r="N6" s="69">
        <v>14976</v>
      </c>
      <c r="O6" s="99">
        <v>8000</v>
      </c>
      <c r="P6" s="99">
        <v>7000</v>
      </c>
    </row>
    <row r="7" spans="2:18">
      <c r="B7" s="115"/>
      <c r="C7" s="109"/>
      <c r="D7" s="68">
        <v>3</v>
      </c>
      <c r="E7" s="69">
        <v>16128</v>
      </c>
      <c r="F7" s="69">
        <v>6912</v>
      </c>
      <c r="G7" s="69">
        <v>0</v>
      </c>
      <c r="H7" s="69"/>
      <c r="I7" s="69"/>
      <c r="J7" s="69"/>
      <c r="K7" s="69"/>
      <c r="L7" s="69"/>
      <c r="M7" s="69"/>
      <c r="N7" s="69">
        <v>8064</v>
      </c>
      <c r="O7" s="99">
        <v>3000</v>
      </c>
      <c r="P7" s="99">
        <v>3000</v>
      </c>
    </row>
    <row r="8" spans="2:18">
      <c r="B8" s="115"/>
      <c r="C8" s="110" t="s">
        <v>13</v>
      </c>
      <c r="D8" s="70">
        <v>1</v>
      </c>
      <c r="E8" s="69">
        <v>15360</v>
      </c>
      <c r="F8" s="69">
        <v>11520</v>
      </c>
      <c r="G8" s="69">
        <v>10752</v>
      </c>
      <c r="H8" s="69">
        <v>29184</v>
      </c>
      <c r="I8" s="69">
        <v>9984</v>
      </c>
      <c r="J8" s="69">
        <v>9216</v>
      </c>
      <c r="K8" s="69">
        <v>21888</v>
      </c>
      <c r="L8" s="69"/>
      <c r="M8" s="69">
        <v>16128</v>
      </c>
      <c r="N8" s="69">
        <v>23040</v>
      </c>
      <c r="O8" s="99">
        <v>14000</v>
      </c>
      <c r="P8" s="99">
        <v>14000</v>
      </c>
    </row>
    <row r="9" spans="2:18">
      <c r="B9" s="115"/>
      <c r="C9" s="110"/>
      <c r="D9" s="70">
        <v>2</v>
      </c>
      <c r="E9" s="69"/>
      <c r="F9" s="69"/>
      <c r="G9" s="69">
        <v>16800</v>
      </c>
      <c r="H9" s="69">
        <v>16896</v>
      </c>
      <c r="I9" s="69">
        <v>3072</v>
      </c>
      <c r="J9" s="69"/>
      <c r="K9" s="69">
        <v>18432</v>
      </c>
      <c r="L9" s="69">
        <v>9216</v>
      </c>
      <c r="M9" s="69">
        <v>11520</v>
      </c>
      <c r="N9" s="69">
        <v>16512</v>
      </c>
      <c r="O9" s="99">
        <v>12000</v>
      </c>
      <c r="P9" s="99">
        <v>12000</v>
      </c>
    </row>
    <row r="10" spans="2:18">
      <c r="B10" s="115"/>
      <c r="C10" s="110"/>
      <c r="D10" s="70">
        <v>3</v>
      </c>
      <c r="E10" s="69">
        <v>8064</v>
      </c>
      <c r="F10" s="69">
        <v>6912</v>
      </c>
      <c r="G10" s="69"/>
      <c r="H10" s="69"/>
      <c r="I10" s="69">
        <v>5376</v>
      </c>
      <c r="J10" s="69"/>
      <c r="K10" s="69">
        <v>5760</v>
      </c>
      <c r="L10" s="69"/>
      <c r="M10" s="69"/>
      <c r="N10" s="69">
        <v>6528</v>
      </c>
      <c r="O10" s="99">
        <v>3000</v>
      </c>
      <c r="P10" s="99">
        <v>4000</v>
      </c>
      <c r="Q10" s="80">
        <v>-723341.76000000024</v>
      </c>
      <c r="R10" s="80">
        <f>Q10/2</f>
        <v>-361670.88000000012</v>
      </c>
    </row>
    <row r="11" spans="2:18">
      <c r="B11" s="115"/>
      <c r="C11" s="103" t="s">
        <v>14</v>
      </c>
      <c r="D11" s="103"/>
      <c r="E11" s="71">
        <f t="shared" ref="E11:K11" si="0">SUM(E5:E10)</f>
        <v>48768</v>
      </c>
      <c r="F11" s="71">
        <f t="shared" si="0"/>
        <v>31104</v>
      </c>
      <c r="G11" s="71">
        <f t="shared" si="0"/>
        <v>40224</v>
      </c>
      <c r="H11" s="71">
        <f t="shared" si="0"/>
        <v>46080</v>
      </c>
      <c r="I11" s="71">
        <f t="shared" si="0"/>
        <v>18432</v>
      </c>
      <c r="J11" s="71">
        <f t="shared" si="0"/>
        <v>9216</v>
      </c>
      <c r="K11" s="71">
        <f t="shared" ref="K11" si="1">SUM(K5:K10)</f>
        <v>46080</v>
      </c>
      <c r="L11" s="71">
        <f t="shared" ref="L11" si="2">SUM(L5:L10)</f>
        <v>21888</v>
      </c>
      <c r="M11" s="71">
        <f t="shared" ref="M11:P11" si="3">SUM(M5:M10)</f>
        <v>52992</v>
      </c>
      <c r="N11" s="71">
        <f t="shared" si="3"/>
        <v>71424</v>
      </c>
      <c r="O11" s="71">
        <f t="shared" si="3"/>
        <v>45000</v>
      </c>
      <c r="P11" s="71">
        <f t="shared" si="3"/>
        <v>49000</v>
      </c>
    </row>
    <row r="12" spans="2:18">
      <c r="B12" s="115"/>
      <c r="C12" s="103" t="s">
        <v>72</v>
      </c>
      <c r="D12" s="103"/>
      <c r="E12" s="71">
        <f>단가!D30</f>
        <v>899942.40000000002</v>
      </c>
      <c r="F12" s="71">
        <f>단가!E30</f>
        <v>593308.79999999993</v>
      </c>
      <c r="G12" s="71">
        <f>단가!F30</f>
        <v>787838.39999999991</v>
      </c>
      <c r="H12" s="71">
        <f>단가!G30</f>
        <v>982886.39999999991</v>
      </c>
      <c r="I12" s="71">
        <f>단가!H30</f>
        <v>393154.55999999994</v>
      </c>
      <c r="J12" s="71">
        <f>단가!I30</f>
        <v>196577.27999999997</v>
      </c>
      <c r="K12" s="71">
        <f>단가!J30</f>
        <v>982886.39999999991</v>
      </c>
      <c r="L12" s="71">
        <f>단가!K30</f>
        <v>396731.51999999996</v>
      </c>
      <c r="M12" s="71">
        <f>단가!L30</f>
        <v>990040.32</v>
      </c>
      <c r="N12" s="71">
        <f>단가!M30</f>
        <v>1383194.88</v>
      </c>
      <c r="O12" s="71">
        <f>단가!N30</f>
        <v>871290</v>
      </c>
      <c r="P12" s="71">
        <f>단가!O30</f>
        <v>940005</v>
      </c>
    </row>
    <row r="13" spans="2:18">
      <c r="B13" s="115"/>
      <c r="C13" s="107" t="s">
        <v>17</v>
      </c>
      <c r="D13" s="108"/>
      <c r="E13" s="71">
        <f>단가!D31</f>
        <v>1311018089.4720001</v>
      </c>
      <c r="F13" s="71">
        <f>단가!E31</f>
        <v>864320393.66399992</v>
      </c>
      <c r="G13" s="71">
        <f>단가!F31</f>
        <v>1147707224.3519998</v>
      </c>
      <c r="H13" s="71">
        <f>단가!G31</f>
        <v>1431849249.7919998</v>
      </c>
      <c r="I13" s="71">
        <f>단가!H31</f>
        <v>572739699.9167999</v>
      </c>
      <c r="J13" s="71">
        <f>단가!I31</f>
        <v>286369849.95839995</v>
      </c>
      <c r="K13" s="71">
        <f>단가!J31</f>
        <v>1431849249.7919998</v>
      </c>
      <c r="L13" s="71">
        <f>단가!K31</f>
        <v>577950543.7055999</v>
      </c>
      <c r="M13" s="71">
        <f>단가!L31</f>
        <v>1442270937.3695998</v>
      </c>
      <c r="N13" s="71">
        <f>단가!M31</f>
        <v>2015010637.2863998</v>
      </c>
      <c r="O13" s="71">
        <f>단가!N31</f>
        <v>1269277846.2</v>
      </c>
      <c r="P13" s="71">
        <f>단가!O31</f>
        <v>1369380483.8999999</v>
      </c>
    </row>
    <row r="14" spans="2:18">
      <c r="B14" s="72"/>
      <c r="C14" s="73"/>
      <c r="D14" s="73"/>
      <c r="E14" s="73"/>
      <c r="F14" s="74"/>
      <c r="G14" s="74"/>
      <c r="H14" s="74"/>
      <c r="I14" s="74"/>
      <c r="J14" s="74"/>
      <c r="K14" s="74"/>
      <c r="L14" s="74"/>
      <c r="M14" s="74"/>
    </row>
    <row r="15" spans="2:18" ht="17.25">
      <c r="B15" s="44" t="s">
        <v>76</v>
      </c>
      <c r="C15" s="73"/>
      <c r="D15" s="73"/>
      <c r="E15" s="66" t="s">
        <v>95</v>
      </c>
      <c r="F15" s="66"/>
      <c r="G15" s="66"/>
      <c r="H15" s="66" t="s">
        <v>96</v>
      </c>
      <c r="I15" s="66"/>
      <c r="J15" s="66"/>
      <c r="K15" s="66" t="s">
        <v>20</v>
      </c>
      <c r="L15" s="66"/>
      <c r="M15" s="66"/>
      <c r="N15" s="66" t="s">
        <v>21</v>
      </c>
      <c r="O15" s="66"/>
      <c r="P15" s="66"/>
    </row>
    <row r="16" spans="2:18">
      <c r="B16" s="112" t="s">
        <v>71</v>
      </c>
      <c r="C16" s="113"/>
      <c r="D16" s="114"/>
      <c r="E16" s="94" t="s">
        <v>94</v>
      </c>
      <c r="F16" s="94" t="s">
        <v>88</v>
      </c>
      <c r="G16" s="94" t="s">
        <v>89</v>
      </c>
      <c r="H16" s="94" t="s">
        <v>90</v>
      </c>
      <c r="I16" s="94" t="s">
        <v>91</v>
      </c>
      <c r="J16" s="94" t="s">
        <v>92</v>
      </c>
      <c r="K16" s="94" t="s">
        <v>3</v>
      </c>
      <c r="L16" s="94" t="s">
        <v>4</v>
      </c>
      <c r="M16" s="94" t="s">
        <v>5</v>
      </c>
      <c r="N16" s="94" t="s">
        <v>16</v>
      </c>
      <c r="O16" s="94" t="s">
        <v>7</v>
      </c>
      <c r="P16" s="94" t="s">
        <v>8</v>
      </c>
    </row>
    <row r="17" spans="2:17">
      <c r="B17" s="103" t="s">
        <v>73</v>
      </c>
      <c r="C17" s="103"/>
      <c r="D17" s="103"/>
      <c r="E17" s="64" t="s">
        <v>90</v>
      </c>
      <c r="F17" s="64" t="s">
        <v>91</v>
      </c>
      <c r="G17" s="64" t="s">
        <v>92</v>
      </c>
      <c r="H17" s="64" t="s">
        <v>74</v>
      </c>
      <c r="I17" s="64" t="s">
        <v>75</v>
      </c>
      <c r="J17" s="64" t="s">
        <v>99</v>
      </c>
      <c r="K17" s="64" t="s">
        <v>16</v>
      </c>
      <c r="L17" s="64" t="s">
        <v>7</v>
      </c>
      <c r="M17" s="64" t="s">
        <v>8</v>
      </c>
      <c r="N17" s="64" t="s">
        <v>9</v>
      </c>
      <c r="O17" s="64" t="s">
        <v>10</v>
      </c>
      <c r="P17" s="64" t="s">
        <v>11</v>
      </c>
    </row>
    <row r="18" spans="2:17">
      <c r="B18" s="105"/>
      <c r="C18" s="109" t="s">
        <v>12</v>
      </c>
      <c r="D18" s="68">
        <v>1</v>
      </c>
      <c r="E18" s="75">
        <f t="shared" ref="E18:K18" si="4">E5</f>
        <v>0</v>
      </c>
      <c r="F18" s="75">
        <f t="shared" si="4"/>
        <v>0</v>
      </c>
      <c r="G18" s="75">
        <f t="shared" si="4"/>
        <v>2880</v>
      </c>
      <c r="H18" s="75">
        <f t="shared" si="4"/>
        <v>0</v>
      </c>
      <c r="I18" s="75">
        <f t="shared" si="4"/>
        <v>0</v>
      </c>
      <c r="J18" s="75">
        <f t="shared" si="4"/>
        <v>0</v>
      </c>
      <c r="K18" s="75">
        <f t="shared" ref="K18:O23" si="5">K5</f>
        <v>0</v>
      </c>
      <c r="L18" s="75">
        <f t="shared" si="5"/>
        <v>2880</v>
      </c>
      <c r="M18" s="75">
        <f t="shared" si="5"/>
        <v>16704</v>
      </c>
      <c r="N18" s="75">
        <f t="shared" si="5"/>
        <v>2304</v>
      </c>
      <c r="O18" s="100">
        <f>O5</f>
        <v>5000</v>
      </c>
      <c r="P18" s="100">
        <f t="shared" ref="P18:P23" si="6">P5</f>
        <v>9000</v>
      </c>
    </row>
    <row r="19" spans="2:17">
      <c r="B19" s="111"/>
      <c r="C19" s="109"/>
      <c r="D19" s="68">
        <v>2</v>
      </c>
      <c r="E19" s="75">
        <f t="shared" ref="E19:K19" si="7">E6</f>
        <v>9216</v>
      </c>
      <c r="F19" s="75">
        <f t="shared" si="7"/>
        <v>5760</v>
      </c>
      <c r="G19" s="75">
        <f t="shared" si="7"/>
        <v>9792</v>
      </c>
      <c r="H19" s="75">
        <f t="shared" si="7"/>
        <v>0</v>
      </c>
      <c r="I19" s="75">
        <f t="shared" si="7"/>
        <v>0</v>
      </c>
      <c r="J19" s="75">
        <f t="shared" si="7"/>
        <v>0</v>
      </c>
      <c r="K19" s="75">
        <f t="shared" si="5"/>
        <v>0</v>
      </c>
      <c r="L19" s="75">
        <f t="shared" si="5"/>
        <v>9792</v>
      </c>
      <c r="M19" s="75">
        <f t="shared" si="5"/>
        <v>8640</v>
      </c>
      <c r="N19" s="75">
        <f t="shared" si="5"/>
        <v>14976</v>
      </c>
      <c r="O19" s="100">
        <f t="shared" si="5"/>
        <v>8000</v>
      </c>
      <c r="P19" s="100">
        <f t="shared" si="6"/>
        <v>7000</v>
      </c>
    </row>
    <row r="20" spans="2:17">
      <c r="B20" s="111"/>
      <c r="C20" s="109"/>
      <c r="D20" s="68">
        <v>3</v>
      </c>
      <c r="E20" s="75">
        <f t="shared" ref="E20:K20" si="8">E7</f>
        <v>16128</v>
      </c>
      <c r="F20" s="75">
        <f t="shared" si="8"/>
        <v>6912</v>
      </c>
      <c r="G20" s="75">
        <f t="shared" si="8"/>
        <v>0</v>
      </c>
      <c r="H20" s="75">
        <f t="shared" si="8"/>
        <v>0</v>
      </c>
      <c r="I20" s="75">
        <f t="shared" si="8"/>
        <v>0</v>
      </c>
      <c r="J20" s="75">
        <f t="shared" si="8"/>
        <v>0</v>
      </c>
      <c r="K20" s="75">
        <f t="shared" si="5"/>
        <v>0</v>
      </c>
      <c r="L20" s="75">
        <f t="shared" si="5"/>
        <v>0</v>
      </c>
      <c r="M20" s="75">
        <f t="shared" si="5"/>
        <v>0</v>
      </c>
      <c r="N20" s="75">
        <f t="shared" si="5"/>
        <v>8064</v>
      </c>
      <c r="O20" s="100">
        <f t="shared" si="5"/>
        <v>3000</v>
      </c>
      <c r="P20" s="100">
        <f t="shared" si="6"/>
        <v>3000</v>
      </c>
    </row>
    <row r="21" spans="2:17">
      <c r="B21" s="111"/>
      <c r="C21" s="110" t="s">
        <v>13</v>
      </c>
      <c r="D21" s="70">
        <v>1</v>
      </c>
      <c r="E21" s="75">
        <f t="shared" ref="E21:K21" si="9">E8</f>
        <v>15360</v>
      </c>
      <c r="F21" s="75">
        <f t="shared" si="9"/>
        <v>11520</v>
      </c>
      <c r="G21" s="75">
        <f t="shared" si="9"/>
        <v>10752</v>
      </c>
      <c r="H21" s="75">
        <f t="shared" si="9"/>
        <v>29184</v>
      </c>
      <c r="I21" s="75">
        <f t="shared" si="9"/>
        <v>9984</v>
      </c>
      <c r="J21" s="75">
        <f t="shared" si="9"/>
        <v>9216</v>
      </c>
      <c r="K21" s="75">
        <f t="shared" si="5"/>
        <v>21888</v>
      </c>
      <c r="L21" s="75">
        <f t="shared" si="5"/>
        <v>0</v>
      </c>
      <c r="M21" s="75">
        <f t="shared" si="5"/>
        <v>16128</v>
      </c>
      <c r="N21" s="75">
        <f t="shared" si="5"/>
        <v>23040</v>
      </c>
      <c r="O21" s="100">
        <f t="shared" si="5"/>
        <v>14000</v>
      </c>
      <c r="P21" s="100">
        <f t="shared" si="6"/>
        <v>14000</v>
      </c>
    </row>
    <row r="22" spans="2:17">
      <c r="B22" s="111"/>
      <c r="C22" s="110"/>
      <c r="D22" s="70">
        <v>2</v>
      </c>
      <c r="E22" s="75">
        <f t="shared" ref="E22:K22" si="10">E9</f>
        <v>0</v>
      </c>
      <c r="F22" s="75">
        <f t="shared" si="10"/>
        <v>0</v>
      </c>
      <c r="G22" s="75">
        <f t="shared" si="10"/>
        <v>16800</v>
      </c>
      <c r="H22" s="75">
        <f t="shared" si="10"/>
        <v>16896</v>
      </c>
      <c r="I22" s="75">
        <f t="shared" si="10"/>
        <v>3072</v>
      </c>
      <c r="J22" s="75">
        <f t="shared" si="10"/>
        <v>0</v>
      </c>
      <c r="K22" s="75">
        <f t="shared" si="5"/>
        <v>18432</v>
      </c>
      <c r="L22" s="75">
        <f t="shared" si="5"/>
        <v>9216</v>
      </c>
      <c r="M22" s="75">
        <f t="shared" si="5"/>
        <v>11520</v>
      </c>
      <c r="N22" s="75">
        <f t="shared" si="5"/>
        <v>16512</v>
      </c>
      <c r="O22" s="100">
        <f t="shared" si="5"/>
        <v>12000</v>
      </c>
      <c r="P22" s="100">
        <f t="shared" si="6"/>
        <v>12000</v>
      </c>
    </row>
    <row r="23" spans="2:17">
      <c r="B23" s="111"/>
      <c r="C23" s="110"/>
      <c r="D23" s="70">
        <v>3</v>
      </c>
      <c r="E23" s="75">
        <f t="shared" ref="E23:K23" si="11">E10</f>
        <v>8064</v>
      </c>
      <c r="F23" s="75">
        <f t="shared" si="11"/>
        <v>6912</v>
      </c>
      <c r="G23" s="75">
        <f t="shared" si="11"/>
        <v>0</v>
      </c>
      <c r="H23" s="75">
        <f t="shared" si="11"/>
        <v>0</v>
      </c>
      <c r="I23" s="75">
        <f t="shared" si="11"/>
        <v>5376</v>
      </c>
      <c r="J23" s="75">
        <f t="shared" si="11"/>
        <v>0</v>
      </c>
      <c r="K23" s="75">
        <f t="shared" si="5"/>
        <v>5760</v>
      </c>
      <c r="L23" s="75">
        <f t="shared" si="5"/>
        <v>0</v>
      </c>
      <c r="M23" s="75">
        <f t="shared" si="5"/>
        <v>0</v>
      </c>
      <c r="N23" s="75">
        <f t="shared" si="5"/>
        <v>6528</v>
      </c>
      <c r="O23" s="100">
        <f t="shared" si="5"/>
        <v>3000</v>
      </c>
      <c r="P23" s="100">
        <f t="shared" si="6"/>
        <v>4000</v>
      </c>
    </row>
    <row r="24" spans="2:17">
      <c r="B24" s="111"/>
      <c r="C24" s="103" t="s">
        <v>14</v>
      </c>
      <c r="D24" s="103"/>
      <c r="E24" s="71">
        <f t="shared" ref="E24:J24" si="12">SUM(E18:E23)</f>
        <v>48768</v>
      </c>
      <c r="F24" s="71">
        <f t="shared" si="12"/>
        <v>31104</v>
      </c>
      <c r="G24" s="71">
        <f t="shared" si="12"/>
        <v>40224</v>
      </c>
      <c r="H24" s="71">
        <f t="shared" si="12"/>
        <v>46080</v>
      </c>
      <c r="I24" s="71">
        <f t="shared" si="12"/>
        <v>18432</v>
      </c>
      <c r="J24" s="71">
        <f t="shared" si="12"/>
        <v>9216</v>
      </c>
      <c r="K24" s="71">
        <f t="shared" ref="K24:P24" si="13">SUM(K18:K23)</f>
        <v>46080</v>
      </c>
      <c r="L24" s="71">
        <f t="shared" si="13"/>
        <v>21888</v>
      </c>
      <c r="M24" s="71">
        <f t="shared" si="13"/>
        <v>52992</v>
      </c>
      <c r="N24" s="71">
        <f t="shared" si="13"/>
        <v>71424</v>
      </c>
      <c r="O24" s="71">
        <f t="shared" si="13"/>
        <v>45000</v>
      </c>
      <c r="P24" s="71">
        <f t="shared" si="13"/>
        <v>49000</v>
      </c>
    </row>
    <row r="25" spans="2:17">
      <c r="B25" s="111"/>
      <c r="C25" s="103" t="s">
        <v>72</v>
      </c>
      <c r="D25" s="103"/>
      <c r="E25" s="71">
        <f>단가!X30</f>
        <v>899942.40000000002</v>
      </c>
      <c r="F25" s="71">
        <f>단가!Y30</f>
        <v>593308.79999999993</v>
      </c>
      <c r="G25" s="71">
        <f>단가!Z30</f>
        <v>787838.39999999991</v>
      </c>
      <c r="H25" s="71">
        <f>단가!AA30</f>
        <v>982886.39999999991</v>
      </c>
      <c r="I25" s="71">
        <f>단가!AB30</f>
        <v>393154.55999999994</v>
      </c>
      <c r="J25" s="71">
        <f>단가!AC30</f>
        <v>196577.27999999997</v>
      </c>
      <c r="K25" s="71">
        <f>단가!AD30</f>
        <v>982886.39999999991</v>
      </c>
      <c r="L25" s="71">
        <f>단가!AE30</f>
        <v>396731.51999999996</v>
      </c>
      <c r="M25" s="71">
        <f>단가!AF30</f>
        <v>990040.32</v>
      </c>
      <c r="N25" s="71">
        <f>단가!AG30</f>
        <v>1383194.88</v>
      </c>
      <c r="O25" s="71">
        <f>단가!AH30</f>
        <v>871290</v>
      </c>
      <c r="P25" s="71">
        <f>단가!AI30</f>
        <v>940005</v>
      </c>
    </row>
    <row r="26" spans="2:17">
      <c r="B26" s="106"/>
      <c r="C26" s="103" t="s">
        <v>17</v>
      </c>
      <c r="D26" s="103"/>
      <c r="E26" s="71">
        <f>단가!X31</f>
        <v>1311018089.4720001</v>
      </c>
      <c r="F26" s="71">
        <f>단가!Y31</f>
        <v>864320393.66399992</v>
      </c>
      <c r="G26" s="71">
        <f>단가!Z31</f>
        <v>1147707224.3519998</v>
      </c>
      <c r="H26" s="71">
        <f>단가!AA31</f>
        <v>1431849249.7919998</v>
      </c>
      <c r="I26" s="71">
        <f>단가!AB31</f>
        <v>572739699.9167999</v>
      </c>
      <c r="J26" s="71">
        <f>단가!AC31</f>
        <v>286369849.95839995</v>
      </c>
      <c r="K26" s="71">
        <f>단가!AD31</f>
        <v>1431849249.7919998</v>
      </c>
      <c r="L26" s="71">
        <f>단가!AE31</f>
        <v>577950543.7055999</v>
      </c>
      <c r="M26" s="71">
        <f>단가!AF31</f>
        <v>1442270937.3695998</v>
      </c>
      <c r="N26" s="71">
        <f>단가!AG31</f>
        <v>2015010637.2863998</v>
      </c>
      <c r="O26" s="71">
        <f>단가!AH31</f>
        <v>1269277846.2</v>
      </c>
      <c r="P26" s="71">
        <f>단가!AI31</f>
        <v>1369380483.8999999</v>
      </c>
    </row>
    <row r="27" spans="2:17">
      <c r="B27" s="72"/>
      <c r="C27" s="73"/>
      <c r="D27" s="73"/>
      <c r="E27" s="73"/>
      <c r="O27" s="65">
        <v>871290</v>
      </c>
      <c r="P27" s="65">
        <v>940005</v>
      </c>
    </row>
    <row r="28" spans="2:17">
      <c r="B28" s="72"/>
      <c r="C28" s="73"/>
      <c r="D28" s="73"/>
      <c r="E28" s="73"/>
      <c r="F28" s="74"/>
      <c r="G28" s="74"/>
      <c r="H28" s="74"/>
      <c r="I28" s="74"/>
      <c r="J28" s="74"/>
      <c r="K28" s="74"/>
      <c r="L28" s="74"/>
      <c r="M28" s="74"/>
      <c r="N28" s="74"/>
      <c r="O28" s="74">
        <f>+-361670.88-O27</f>
        <v>-1232960.8799999999</v>
      </c>
      <c r="P28" s="74"/>
      <c r="Q28" s="74"/>
    </row>
    <row r="29" spans="2:17">
      <c r="B29" s="72"/>
      <c r="C29" s="73"/>
      <c r="D29" s="73"/>
      <c r="E29" s="73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</row>
    <row r="30" spans="2:17" ht="18" customHeight="1">
      <c r="B30" s="44" t="s">
        <v>62</v>
      </c>
      <c r="K30" s="76">
        <v>3093000</v>
      </c>
      <c r="L30" s="66"/>
      <c r="M30" s="66"/>
      <c r="N30" s="77">
        <v>3184000</v>
      </c>
      <c r="O30" s="66"/>
      <c r="P30" s="66"/>
    </row>
    <row r="31" spans="2:17">
      <c r="B31" s="104" t="s">
        <v>15</v>
      </c>
      <c r="C31" s="104"/>
      <c r="D31" s="104"/>
      <c r="E31" s="67" t="s">
        <v>94</v>
      </c>
      <c r="F31" s="67" t="s">
        <v>88</v>
      </c>
      <c r="G31" s="67" t="s">
        <v>89</v>
      </c>
      <c r="H31" s="67" t="s">
        <v>90</v>
      </c>
      <c r="I31" s="67" t="s">
        <v>91</v>
      </c>
      <c r="J31" s="67" t="s">
        <v>92</v>
      </c>
      <c r="K31" s="67" t="s">
        <v>3</v>
      </c>
      <c r="L31" s="67" t="s">
        <v>4</v>
      </c>
      <c r="M31" s="67" t="s">
        <v>5</v>
      </c>
      <c r="N31" s="67" t="s">
        <v>16</v>
      </c>
      <c r="O31" s="67" t="s">
        <v>7</v>
      </c>
      <c r="P31" s="67" t="s">
        <v>8</v>
      </c>
    </row>
    <row r="32" spans="2:17" ht="17.25" customHeight="1">
      <c r="B32" s="105"/>
      <c r="C32" s="103" t="s">
        <v>72</v>
      </c>
      <c r="D32" s="103"/>
      <c r="E32" s="67"/>
      <c r="F32" s="78"/>
      <c r="G32" s="78"/>
      <c r="H32" s="78"/>
      <c r="I32" s="78"/>
      <c r="J32" s="78"/>
      <c r="K32" s="78">
        <f>$K$30/3</f>
        <v>1031000</v>
      </c>
      <c r="L32" s="78">
        <f>$K$30/3</f>
        <v>1031000</v>
      </c>
      <c r="M32" s="78">
        <f>$K$30/3</f>
        <v>1031000</v>
      </c>
      <c r="N32" s="78">
        <f>$N$30/3</f>
        <v>1061333.3333333333</v>
      </c>
      <c r="O32" s="78">
        <f>$N$30/3</f>
        <v>1061333.3333333333</v>
      </c>
      <c r="P32" s="78">
        <f>$N$30/3</f>
        <v>1061333.3333333333</v>
      </c>
    </row>
    <row r="33" spans="2:16">
      <c r="B33" s="106"/>
      <c r="C33" s="107" t="s">
        <v>17</v>
      </c>
      <c r="D33" s="108"/>
      <c r="E33" s="101"/>
      <c r="F33" s="78"/>
      <c r="G33" s="78"/>
      <c r="H33" s="78"/>
      <c r="I33" s="78"/>
      <c r="J33" s="78"/>
      <c r="K33" s="78">
        <f>K32*단가!$F$2</f>
        <v>1501940180</v>
      </c>
      <c r="L33" s="78">
        <f>L32*단가!$F$2</f>
        <v>1501940180</v>
      </c>
      <c r="M33" s="78">
        <f>M32*단가!$F$2</f>
        <v>1501940180</v>
      </c>
      <c r="N33" s="78">
        <f>N32*단가!$F$2</f>
        <v>1546129173.3333333</v>
      </c>
      <c r="O33" s="78">
        <f>O32*단가!$F$2</f>
        <v>1546129173.3333333</v>
      </c>
      <c r="P33" s="78">
        <f>P32*단가!$F$2</f>
        <v>1546129173.3333333</v>
      </c>
    </row>
    <row r="34" spans="2:16">
      <c r="E34" s="79"/>
      <c r="F34" s="80"/>
    </row>
    <row r="35" spans="2:16" ht="17.25">
      <c r="B35" s="44" t="s">
        <v>63</v>
      </c>
      <c r="E35" s="79"/>
      <c r="F35" s="80"/>
      <c r="O35" s="97" t="s">
        <v>78</v>
      </c>
    </row>
    <row r="36" spans="2:16" ht="17.25">
      <c r="B36" s="44"/>
      <c r="C36" s="81" t="s">
        <v>79</v>
      </c>
      <c r="D36" s="81" t="s">
        <v>94</v>
      </c>
      <c r="E36" s="81" t="s">
        <v>88</v>
      </c>
      <c r="F36" s="81" t="s">
        <v>89</v>
      </c>
      <c r="G36" s="81" t="s">
        <v>90</v>
      </c>
      <c r="H36" s="81" t="s">
        <v>91</v>
      </c>
      <c r="I36" s="81" t="s">
        <v>92</v>
      </c>
      <c r="J36" s="81" t="s">
        <v>3</v>
      </c>
      <c r="K36" s="81" t="s">
        <v>4</v>
      </c>
      <c r="L36" s="81" t="s">
        <v>5</v>
      </c>
      <c r="M36" s="81" t="s">
        <v>16</v>
      </c>
      <c r="N36" s="81" t="s">
        <v>7</v>
      </c>
      <c r="O36" s="81" t="s">
        <v>8</v>
      </c>
    </row>
    <row r="37" spans="2:16">
      <c r="B37" s="81"/>
      <c r="C37" s="81" t="s">
        <v>80</v>
      </c>
      <c r="D37" s="81" t="s">
        <v>90</v>
      </c>
      <c r="E37" s="81" t="s">
        <v>91</v>
      </c>
      <c r="F37" s="81" t="s">
        <v>92</v>
      </c>
      <c r="G37" s="81" t="s">
        <v>74</v>
      </c>
      <c r="H37" s="81" t="s">
        <v>75</v>
      </c>
      <c r="I37" s="81" t="s">
        <v>93</v>
      </c>
      <c r="J37" s="81" t="s">
        <v>16</v>
      </c>
      <c r="K37" s="81" t="s">
        <v>7</v>
      </c>
      <c r="L37" s="81" t="s">
        <v>8</v>
      </c>
      <c r="M37" s="81" t="s">
        <v>9</v>
      </c>
      <c r="N37" s="81" t="s">
        <v>10</v>
      </c>
      <c r="O37" s="81" t="s">
        <v>11</v>
      </c>
    </row>
    <row r="38" spans="2:16">
      <c r="B38" s="152" t="s">
        <v>65</v>
      </c>
      <c r="C38" s="152"/>
      <c r="D38" s="82"/>
      <c r="E38" s="82"/>
      <c r="F38" s="82"/>
      <c r="G38" s="82"/>
      <c r="H38" s="82"/>
      <c r="I38" s="82"/>
      <c r="J38" s="82">
        <f>$K$30/3</f>
        <v>1031000</v>
      </c>
      <c r="K38" s="82">
        <f>$K$30/3</f>
        <v>1031000</v>
      </c>
      <c r="L38" s="82">
        <f>$K$30/3</f>
        <v>1031000</v>
      </c>
      <c r="M38" s="82">
        <f>+$N$30/3</f>
        <v>1061333.3333333333</v>
      </c>
      <c r="N38" s="82">
        <f>+$N$30/3</f>
        <v>1061333.3333333333</v>
      </c>
      <c r="O38" s="82">
        <f>+$N$30/3</f>
        <v>1061333.3333333333</v>
      </c>
    </row>
    <row r="39" spans="2:16">
      <c r="B39" s="152" t="s">
        <v>64</v>
      </c>
      <c r="C39" s="152"/>
      <c r="D39" s="82">
        <f>E12</f>
        <v>899942.40000000002</v>
      </c>
      <c r="E39" s="82">
        <f>F12</f>
        <v>593308.79999999993</v>
      </c>
      <c r="F39" s="82">
        <f>G12</f>
        <v>787838.39999999991</v>
      </c>
      <c r="G39" s="82">
        <f>H12</f>
        <v>982886.39999999991</v>
      </c>
      <c r="H39" s="82">
        <f>I12</f>
        <v>393154.55999999994</v>
      </c>
      <c r="I39" s="82">
        <f>J12</f>
        <v>196577.27999999997</v>
      </c>
      <c r="J39" s="82">
        <f>K12</f>
        <v>982886.39999999991</v>
      </c>
      <c r="K39" s="82">
        <f>L12</f>
        <v>396731.51999999996</v>
      </c>
      <c r="L39" s="82">
        <f>M12</f>
        <v>990040.32</v>
      </c>
      <c r="M39" s="82">
        <f>N12</f>
        <v>1383194.88</v>
      </c>
      <c r="N39" s="82">
        <f>O12</f>
        <v>871290</v>
      </c>
      <c r="O39" s="82">
        <f>P12</f>
        <v>940005</v>
      </c>
    </row>
    <row r="40" spans="2:16">
      <c r="B40" s="152" t="s">
        <v>0</v>
      </c>
      <c r="C40" s="152"/>
      <c r="D40" s="83">
        <f t="shared" ref="D40:I40" si="14">D39-D38</f>
        <v>899942.40000000002</v>
      </c>
      <c r="E40" s="83">
        <f t="shared" si="14"/>
        <v>593308.79999999993</v>
      </c>
      <c r="F40" s="83">
        <f t="shared" si="14"/>
        <v>787838.39999999991</v>
      </c>
      <c r="G40" s="83">
        <f t="shared" si="14"/>
        <v>982886.39999999991</v>
      </c>
      <c r="H40" s="83">
        <f t="shared" si="14"/>
        <v>393154.55999999994</v>
      </c>
      <c r="I40" s="83">
        <f t="shared" si="14"/>
        <v>196577.27999999997</v>
      </c>
      <c r="J40" s="83">
        <f>J39-J38</f>
        <v>-48113.600000000093</v>
      </c>
      <c r="K40" s="83">
        <f t="shared" ref="K40:O40" si="15">K39-K38</f>
        <v>-634268.48</v>
      </c>
      <c r="L40" s="83">
        <f t="shared" si="15"/>
        <v>-40959.680000000051</v>
      </c>
      <c r="M40" s="83">
        <f t="shared" si="15"/>
        <v>321861.54666666663</v>
      </c>
      <c r="N40" s="83">
        <f t="shared" si="15"/>
        <v>-190043.33333333326</v>
      </c>
      <c r="O40" s="83">
        <f t="shared" si="15"/>
        <v>-121328.33333333326</v>
      </c>
      <c r="P40" s="97"/>
    </row>
    <row r="42" spans="2:16">
      <c r="D42" s="97"/>
      <c r="F42" s="97" t="s">
        <v>78</v>
      </c>
    </row>
    <row r="43" spans="2:16">
      <c r="B43" s="45"/>
      <c r="C43" s="45" t="s">
        <v>97</v>
      </c>
      <c r="D43" s="45" t="s">
        <v>98</v>
      </c>
      <c r="E43" s="45" t="s">
        <v>58</v>
      </c>
      <c r="F43" s="45" t="s">
        <v>59</v>
      </c>
    </row>
    <row r="44" spans="2:16">
      <c r="B44" s="45" t="s">
        <v>65</v>
      </c>
      <c r="C44" s="46">
        <f t="shared" ref="C44:D44" si="16">I30</f>
        <v>0</v>
      </c>
      <c r="D44" s="46">
        <f t="shared" si="16"/>
        <v>0</v>
      </c>
      <c r="E44" s="46">
        <f>K30</f>
        <v>3093000</v>
      </c>
      <c r="F44" s="46">
        <f>N30</f>
        <v>3184000</v>
      </c>
    </row>
    <row r="45" spans="2:16">
      <c r="B45" s="45" t="s">
        <v>64</v>
      </c>
      <c r="C45" s="46">
        <f>+D39+E39+F39</f>
        <v>2281089.5999999996</v>
      </c>
      <c r="D45" s="46">
        <f>+I39+H39+G39</f>
        <v>1572618.2399999998</v>
      </c>
      <c r="E45" s="46">
        <f>+J39+K39+L39</f>
        <v>2369658.2399999998</v>
      </c>
      <c r="F45" s="46">
        <f>+M39+N39+O39</f>
        <v>3194489.88</v>
      </c>
    </row>
    <row r="46" spans="2:16">
      <c r="B46" s="45" t="s">
        <v>0</v>
      </c>
      <c r="C46" s="47">
        <f t="shared" ref="C46:D46" si="17">C45-C44</f>
        <v>2281089.5999999996</v>
      </c>
      <c r="D46" s="47">
        <f t="shared" si="17"/>
        <v>1572618.2399999998</v>
      </c>
      <c r="E46" s="47">
        <f>E45-E44</f>
        <v>-723341.76000000024</v>
      </c>
      <c r="F46" s="47">
        <f>F45-F44</f>
        <v>10489.879999999888</v>
      </c>
    </row>
    <row r="47" spans="2:16">
      <c r="C47" s="80"/>
    </row>
    <row r="51" spans="8:10">
      <c r="H51" s="80"/>
    </row>
    <row r="52" spans="8:10">
      <c r="H52" s="85"/>
      <c r="J52" s="84"/>
    </row>
  </sheetData>
  <mergeCells count="22">
    <mergeCell ref="B38:C38"/>
    <mergeCell ref="B39:C39"/>
    <mergeCell ref="B40:C40"/>
    <mergeCell ref="B16:D16"/>
    <mergeCell ref="B4:D4"/>
    <mergeCell ref="B5:B13"/>
    <mergeCell ref="C5:C7"/>
    <mergeCell ref="C8:C10"/>
    <mergeCell ref="C11:D11"/>
    <mergeCell ref="C12:D12"/>
    <mergeCell ref="C13:D13"/>
    <mergeCell ref="C32:D32"/>
    <mergeCell ref="B31:D31"/>
    <mergeCell ref="B32:B33"/>
    <mergeCell ref="C33:D33"/>
    <mergeCell ref="B17:D17"/>
    <mergeCell ref="C18:C20"/>
    <mergeCell ref="C21:C23"/>
    <mergeCell ref="C24:D24"/>
    <mergeCell ref="C25:D25"/>
    <mergeCell ref="C26:D26"/>
    <mergeCell ref="B18:B26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AEB0D-50DD-48D9-9F4F-883777204B0D}">
  <dimension ref="A3:AG45"/>
  <sheetViews>
    <sheetView workbookViewId="0">
      <selection activeCell="J10" sqref="J10"/>
    </sheetView>
  </sheetViews>
  <sheetFormatPr defaultRowHeight="16.5"/>
  <cols>
    <col min="4" max="15" width="9" customWidth="1"/>
  </cols>
  <sheetData>
    <row r="3" spans="1:33">
      <c r="E3" s="18">
        <f>1-(D5/E5)</f>
        <v>2.5692995529061124E-2</v>
      </c>
      <c r="F3" s="18">
        <f t="shared" ref="F3:AA3" si="0">1-(E5/F5)</f>
        <v>5.5514892179494346E-2</v>
      </c>
      <c r="G3" s="18">
        <f t="shared" si="0"/>
        <v>-6.4808153477218244E-2</v>
      </c>
      <c r="H3" s="18">
        <f t="shared" si="0"/>
        <v>4.3468287647665971E-2</v>
      </c>
      <c r="I3" s="18">
        <f t="shared" si="0"/>
        <v>-0.13521255126619369</v>
      </c>
      <c r="J3" s="18">
        <f t="shared" si="0"/>
        <v>-2.0935796889538727E-2</v>
      </c>
      <c r="K3" s="18">
        <f t="shared" si="0"/>
        <v>-6.8759767012359641E-2</v>
      </c>
      <c r="L3" s="18">
        <f t="shared" si="0"/>
        <v>-4.6458039099085635E-2</v>
      </c>
      <c r="M3" s="18">
        <f t="shared" si="0"/>
        <v>-9.9011518666775489E-2</v>
      </c>
      <c r="N3" s="18">
        <f t="shared" si="0"/>
        <v>-6.0653322935620757E-2</v>
      </c>
      <c r="O3" s="18">
        <f t="shared" si="0"/>
        <v>-2.3410481511040082E-2</v>
      </c>
      <c r="P3" s="18">
        <f t="shared" si="0"/>
        <v>-0.13690896259703589</v>
      </c>
      <c r="Q3" s="18">
        <f t="shared" si="0"/>
        <v>-0.16804050871408394</v>
      </c>
      <c r="R3" s="18">
        <f t="shared" si="0"/>
        <v>-3.5452611675725887E-3</v>
      </c>
      <c r="S3" s="18">
        <f t="shared" si="0"/>
        <v>-7.8608861362554627E-3</v>
      </c>
      <c r="T3" s="18">
        <f t="shared" si="0"/>
        <v>1.9387993459472064E-2</v>
      </c>
      <c r="U3" s="18">
        <f t="shared" si="0"/>
        <v>3.1338386695327514E-2</v>
      </c>
      <c r="V3" s="18">
        <f t="shared" si="0"/>
        <v>-0.13948691504447597</v>
      </c>
      <c r="W3" s="18">
        <f t="shared" si="0"/>
        <v>-4.485452586206895E-2</v>
      </c>
      <c r="X3" s="18">
        <f t="shared" si="0"/>
        <v>4.9180327868852514E-2</v>
      </c>
      <c r="Y3" s="18">
        <f t="shared" si="0"/>
        <v>3.438041058619834E-2</v>
      </c>
      <c r="Z3" s="18">
        <f t="shared" si="0"/>
        <v>2.0946845865116859E-2</v>
      </c>
      <c r="AA3" s="18">
        <f t="shared" si="0"/>
        <v>4.7624538745387412E-2</v>
      </c>
      <c r="AB3" t="s">
        <v>66</v>
      </c>
    </row>
    <row r="4" spans="1:33">
      <c r="A4" s="116" t="s">
        <v>1</v>
      </c>
      <c r="B4" s="116"/>
      <c r="C4" s="116"/>
      <c r="D4" s="6">
        <v>1</v>
      </c>
      <c r="E4" s="6">
        <v>2</v>
      </c>
      <c r="F4" s="6">
        <v>3</v>
      </c>
      <c r="G4" s="6">
        <v>4</v>
      </c>
      <c r="H4" s="6">
        <v>5</v>
      </c>
      <c r="I4" s="6">
        <v>6</v>
      </c>
      <c r="J4" s="6">
        <v>7</v>
      </c>
      <c r="K4" s="6">
        <v>8</v>
      </c>
      <c r="L4" s="6">
        <v>9</v>
      </c>
      <c r="M4" s="6">
        <v>10</v>
      </c>
      <c r="N4" s="6">
        <v>11</v>
      </c>
      <c r="O4" s="6">
        <v>12</v>
      </c>
      <c r="P4" s="6">
        <v>1</v>
      </c>
      <c r="Q4" s="6">
        <v>2</v>
      </c>
      <c r="R4" s="6">
        <v>3</v>
      </c>
      <c r="S4" s="6">
        <v>4</v>
      </c>
      <c r="T4" s="6">
        <v>5</v>
      </c>
      <c r="U4" s="6" t="s">
        <v>5</v>
      </c>
      <c r="V4" s="6" t="s">
        <v>6</v>
      </c>
      <c r="W4" s="6" t="s">
        <v>7</v>
      </c>
      <c r="X4" s="6" t="s">
        <v>8</v>
      </c>
      <c r="Y4" s="6" t="s">
        <v>9</v>
      </c>
      <c r="Z4" s="6" t="s">
        <v>10</v>
      </c>
      <c r="AA4" s="6" t="s">
        <v>11</v>
      </c>
      <c r="AB4" s="6" t="s">
        <v>18</v>
      </c>
      <c r="AC4" s="6" t="s">
        <v>19</v>
      </c>
      <c r="AD4" s="6" t="s">
        <v>2</v>
      </c>
      <c r="AE4" s="6" t="s">
        <v>3</v>
      </c>
      <c r="AF4" s="6" t="s">
        <v>4</v>
      </c>
      <c r="AG4" s="6" t="s">
        <v>5</v>
      </c>
    </row>
    <row r="5" spans="1:33">
      <c r="A5" s="116"/>
      <c r="B5" s="116" t="s">
        <v>12</v>
      </c>
      <c r="C5" s="1">
        <v>1</v>
      </c>
      <c r="D5" s="3">
        <v>16344</v>
      </c>
      <c r="E5" s="3">
        <v>16775</v>
      </c>
      <c r="F5" s="3">
        <v>17761</v>
      </c>
      <c r="G5" s="3">
        <v>16680</v>
      </c>
      <c r="H5" s="3">
        <v>17438</v>
      </c>
      <c r="I5" s="3">
        <v>15361</v>
      </c>
      <c r="J5" s="3">
        <v>15046</v>
      </c>
      <c r="K5" s="3">
        <v>14078</v>
      </c>
      <c r="L5" s="3">
        <v>13453</v>
      </c>
      <c r="M5" s="3">
        <v>12241</v>
      </c>
      <c r="N5" s="3">
        <v>11541</v>
      </c>
      <c r="O5" s="3">
        <v>11277</v>
      </c>
      <c r="P5" s="3">
        <v>9919</v>
      </c>
      <c r="Q5" s="3">
        <v>8492</v>
      </c>
      <c r="R5" s="3">
        <v>8462</v>
      </c>
      <c r="S5" s="3">
        <v>8396</v>
      </c>
      <c r="T5" s="3">
        <v>8562</v>
      </c>
      <c r="U5" s="3">
        <v>8839</v>
      </c>
      <c r="V5" s="3">
        <v>7757</v>
      </c>
      <c r="W5" s="3">
        <v>7424</v>
      </c>
      <c r="X5" s="3">
        <v>7808</v>
      </c>
      <c r="Y5" s="3">
        <v>8086</v>
      </c>
      <c r="Z5" s="3">
        <v>8259</v>
      </c>
      <c r="AA5" s="3">
        <v>8672</v>
      </c>
      <c r="AB5" s="3">
        <f>AA5+(AA5*$AB$28)</f>
        <v>8456.7620033130443</v>
      </c>
      <c r="AC5" s="3">
        <f>AB5+(AB5*$AB28)</f>
        <v>8246.8661878089551</v>
      </c>
      <c r="AD5" s="3">
        <f>AC5+(AC5*$R28)</f>
        <v>8217.6288933591495</v>
      </c>
      <c r="AE5" s="3">
        <f>AD5+(AD5*$S28)</f>
        <v>8153.0310483184503</v>
      </c>
      <c r="AF5" s="3">
        <f>AE5+(AE5*$T28)</f>
        <v>8311.1019609581217</v>
      </c>
      <c r="AG5" s="3">
        <f>AF5+(AF5*$U28)</f>
        <v>8571.5584880749229</v>
      </c>
    </row>
    <row r="6" spans="1:33">
      <c r="A6" s="116"/>
      <c r="B6" s="116"/>
      <c r="C6" s="1">
        <v>2</v>
      </c>
      <c r="D6" s="3">
        <v>16710</v>
      </c>
      <c r="E6" s="3">
        <v>14642</v>
      </c>
      <c r="F6" s="3">
        <v>16722</v>
      </c>
      <c r="G6" s="3">
        <v>17541</v>
      </c>
      <c r="H6" s="3">
        <v>18678</v>
      </c>
      <c r="I6" s="3">
        <v>16319</v>
      </c>
      <c r="J6" s="3">
        <v>17180</v>
      </c>
      <c r="K6" s="3">
        <v>17680</v>
      </c>
      <c r="L6" s="3">
        <v>16946</v>
      </c>
      <c r="M6" s="3">
        <v>15639</v>
      </c>
      <c r="N6" s="3">
        <v>15066</v>
      </c>
      <c r="O6" s="3">
        <v>14921</v>
      </c>
      <c r="P6" s="3">
        <v>13593</v>
      </c>
      <c r="Q6" s="3">
        <v>12085</v>
      </c>
      <c r="R6" s="3">
        <v>11805</v>
      </c>
      <c r="S6" s="3">
        <v>11381</v>
      </c>
      <c r="T6" s="3">
        <v>10605</v>
      </c>
      <c r="U6" s="3">
        <v>9769</v>
      </c>
      <c r="V6" s="3">
        <v>9878</v>
      </c>
      <c r="W6" s="3">
        <v>9386</v>
      </c>
      <c r="X6" s="3">
        <v>9667</v>
      </c>
      <c r="Y6" s="3">
        <v>9859</v>
      </c>
      <c r="Z6" s="3">
        <v>9958</v>
      </c>
      <c r="AA6" s="3">
        <v>10256</v>
      </c>
      <c r="AB6" s="3">
        <f t="shared" ref="AB6:AB10" si="1">AA6+(AA6*AB29)</f>
        <v>9917.5116364648711</v>
      </c>
      <c r="AC6" s="3">
        <f t="shared" ref="AC6:AC10" si="2">AB6+(AB6*$AB29)</f>
        <v>9590.1947210819144</v>
      </c>
      <c r="AD6" s="3">
        <f t="shared" ref="AD6:AD10" si="3">AC6+(AC6*$R29)</f>
        <v>9362.7271631062304</v>
      </c>
      <c r="AE6" s="3">
        <f t="shared" ref="AE6:AE10" si="4">AD6+(AD6*$S29)</f>
        <v>9013.9180674945055</v>
      </c>
      <c r="AF6" s="3">
        <f t="shared" ref="AF6:AF10" si="5">AE6+(AE6*$T29)</f>
        <v>8354.3423560022147</v>
      </c>
      <c r="AG6" s="3">
        <f t="shared" ref="AG6:AG10" si="6">AF6+(AF6*$U29)</f>
        <v>7639.4042651415493</v>
      </c>
    </row>
    <row r="7" spans="1:33">
      <c r="A7" s="116"/>
      <c r="B7" s="116"/>
      <c r="C7" s="1">
        <v>3</v>
      </c>
      <c r="D7" s="3">
        <v>5210</v>
      </c>
      <c r="E7" s="3">
        <v>3827</v>
      </c>
      <c r="F7" s="3">
        <v>4687</v>
      </c>
      <c r="G7" s="3">
        <v>5118</v>
      </c>
      <c r="H7" s="3">
        <v>5329</v>
      </c>
      <c r="I7" s="3">
        <v>4805</v>
      </c>
      <c r="J7" s="3">
        <v>4741</v>
      </c>
      <c r="K7" s="3">
        <v>4795</v>
      </c>
      <c r="L7" s="3">
        <v>4636</v>
      </c>
      <c r="M7" s="3">
        <v>4295</v>
      </c>
      <c r="N7" s="3">
        <v>3742</v>
      </c>
      <c r="O7" s="3">
        <v>3948</v>
      </c>
      <c r="P7" s="3">
        <v>3902</v>
      </c>
      <c r="Q7" s="3">
        <v>3596</v>
      </c>
      <c r="R7" s="3">
        <v>3755</v>
      </c>
      <c r="S7" s="3">
        <v>3498</v>
      </c>
      <c r="T7" s="3">
        <v>3600</v>
      </c>
      <c r="U7" s="3">
        <v>3523</v>
      </c>
      <c r="V7" s="3">
        <v>3014</v>
      </c>
      <c r="W7" s="3">
        <v>2883</v>
      </c>
      <c r="X7" s="3">
        <v>3034</v>
      </c>
      <c r="Y7" s="3">
        <v>3142</v>
      </c>
      <c r="Z7" s="3">
        <v>3210</v>
      </c>
      <c r="AA7" s="3">
        <v>3370</v>
      </c>
      <c r="AB7" s="3">
        <f t="shared" si="1"/>
        <v>3318.5943189504596</v>
      </c>
      <c r="AC7" s="3">
        <f t="shared" si="2"/>
        <v>3267.9727755994854</v>
      </c>
      <c r="AD7" s="3">
        <f t="shared" si="3"/>
        <v>3406.350317895176</v>
      </c>
      <c r="AE7" s="3">
        <f t="shared" si="4"/>
        <v>3156.0838708685724</v>
      </c>
      <c r="AF7" s="3">
        <f t="shared" si="5"/>
        <v>3245.5062472098484</v>
      </c>
      <c r="AG7" s="3">
        <f t="shared" si="6"/>
        <v>3174.5712540122445</v>
      </c>
    </row>
    <row r="8" spans="1:33">
      <c r="A8" s="116"/>
      <c r="B8" s="117" t="s">
        <v>13</v>
      </c>
      <c r="C8" s="2">
        <v>1</v>
      </c>
      <c r="D8" s="3">
        <v>7135</v>
      </c>
      <c r="E8" s="3">
        <v>9887</v>
      </c>
      <c r="F8" s="3">
        <v>11444</v>
      </c>
      <c r="G8" s="3">
        <v>14836</v>
      </c>
      <c r="H8" s="3">
        <v>13481</v>
      </c>
      <c r="I8" s="3">
        <v>10800</v>
      </c>
      <c r="J8" s="3">
        <v>11099</v>
      </c>
      <c r="K8" s="3">
        <v>11166</v>
      </c>
      <c r="L8" s="3">
        <v>11517</v>
      </c>
      <c r="M8" s="3">
        <v>11204</v>
      </c>
      <c r="N8" s="3">
        <v>11300</v>
      </c>
      <c r="O8" s="3">
        <v>12277</v>
      </c>
      <c r="P8" s="3">
        <v>12546</v>
      </c>
      <c r="Q8" s="3">
        <v>12398</v>
      </c>
      <c r="R8" s="3">
        <v>12378</v>
      </c>
      <c r="S8" s="3">
        <v>11967</v>
      </c>
      <c r="T8" s="3">
        <v>11714</v>
      </c>
      <c r="U8" s="3">
        <v>11979</v>
      </c>
      <c r="V8" s="3">
        <v>11038</v>
      </c>
      <c r="W8" s="3">
        <v>10485</v>
      </c>
      <c r="X8" s="3">
        <v>11214</v>
      </c>
      <c r="Y8" s="3">
        <v>11923</v>
      </c>
      <c r="Z8" s="3">
        <v>12932</v>
      </c>
      <c r="AA8" s="3">
        <v>13756</v>
      </c>
      <c r="AB8" s="3">
        <f t="shared" si="1"/>
        <v>13868.881773764551</v>
      </c>
      <c r="AC8" s="3">
        <f t="shared" si="2"/>
        <v>13982.689855674511</v>
      </c>
      <c r="AD8" s="3">
        <f t="shared" si="3"/>
        <v>13960.097046083827</v>
      </c>
      <c r="AE8" s="3">
        <f t="shared" si="4"/>
        <v>13480.645229760567</v>
      </c>
      <c r="AF8" s="3">
        <f t="shared" si="5"/>
        <v>13189.489071050524</v>
      </c>
      <c r="AG8" s="3">
        <f t="shared" si="6"/>
        <v>13481.267567070927</v>
      </c>
    </row>
    <row r="9" spans="1:33">
      <c r="A9" s="116"/>
      <c r="B9" s="117"/>
      <c r="C9" s="2">
        <v>2</v>
      </c>
      <c r="D9" s="3">
        <v>5823</v>
      </c>
      <c r="E9" s="3">
        <v>5716</v>
      </c>
      <c r="F9" s="3">
        <v>8611</v>
      </c>
      <c r="G9" s="3">
        <v>18795</v>
      </c>
      <c r="H9" s="3">
        <v>13523</v>
      </c>
      <c r="I9" s="3">
        <v>11340</v>
      </c>
      <c r="J9" s="3">
        <v>11483</v>
      </c>
      <c r="K9" s="3">
        <v>11747</v>
      </c>
      <c r="L9" s="3">
        <v>11506</v>
      </c>
      <c r="M9" s="3">
        <v>10390</v>
      </c>
      <c r="N9" s="3">
        <v>9877</v>
      </c>
      <c r="O9" s="3">
        <v>10453</v>
      </c>
      <c r="P9" s="3">
        <v>10462</v>
      </c>
      <c r="Q9" s="3">
        <v>10049</v>
      </c>
      <c r="R9" s="3">
        <v>10136</v>
      </c>
      <c r="S9" s="3">
        <v>10658</v>
      </c>
      <c r="T9" s="3">
        <v>10741</v>
      </c>
      <c r="U9" s="3">
        <v>11355</v>
      </c>
      <c r="V9" s="3">
        <v>10680</v>
      </c>
      <c r="W9" s="3">
        <v>10790</v>
      </c>
      <c r="X9" s="3">
        <v>11327</v>
      </c>
      <c r="Y9" s="3">
        <v>12042</v>
      </c>
      <c r="Z9" s="3">
        <v>13061</v>
      </c>
      <c r="AA9" s="3">
        <v>13895</v>
      </c>
      <c r="AB9" s="3">
        <f t="shared" si="1"/>
        <v>14208.725429610198</v>
      </c>
      <c r="AC9" s="3">
        <f t="shared" si="2"/>
        <v>14529.534244983915</v>
      </c>
      <c r="AD9" s="3">
        <f t="shared" si="3"/>
        <v>14654.245124947767</v>
      </c>
      <c r="AE9" s="3">
        <f t="shared" si="4"/>
        <v>15371.970397533876</v>
      </c>
      <c r="AF9" s="3">
        <f t="shared" si="5"/>
        <v>15490.755756717874</v>
      </c>
      <c r="AG9" s="3">
        <f t="shared" si="6"/>
        <v>16328.388872933177</v>
      </c>
    </row>
    <row r="10" spans="1:33">
      <c r="A10" s="116"/>
      <c r="B10" s="117"/>
      <c r="C10" s="2">
        <v>3</v>
      </c>
      <c r="D10" s="3">
        <v>2191</v>
      </c>
      <c r="E10" s="3">
        <v>2232</v>
      </c>
      <c r="F10" s="3">
        <v>2663</v>
      </c>
      <c r="G10" s="3">
        <v>4315</v>
      </c>
      <c r="H10" s="3">
        <v>4793</v>
      </c>
      <c r="I10" s="3">
        <v>4101</v>
      </c>
      <c r="J10" s="3">
        <v>4422</v>
      </c>
      <c r="K10" s="3">
        <v>4549</v>
      </c>
      <c r="L10" s="3">
        <v>4508</v>
      </c>
      <c r="M10" s="3">
        <v>4265</v>
      </c>
      <c r="N10" s="3">
        <v>4233</v>
      </c>
      <c r="O10" s="3">
        <v>4453</v>
      </c>
      <c r="P10" s="3">
        <v>4541</v>
      </c>
      <c r="Q10" s="3">
        <v>4043</v>
      </c>
      <c r="R10" s="3">
        <v>4407</v>
      </c>
      <c r="S10" s="3">
        <v>3907</v>
      </c>
      <c r="T10" s="3">
        <v>3939</v>
      </c>
      <c r="U10" s="3">
        <v>3866</v>
      </c>
      <c r="V10" s="3">
        <v>3458</v>
      </c>
      <c r="W10" s="3">
        <v>3354</v>
      </c>
      <c r="X10" s="3">
        <v>3588</v>
      </c>
      <c r="Y10" s="3">
        <v>3814</v>
      </c>
      <c r="Z10" s="3">
        <v>4139</v>
      </c>
      <c r="AA10" s="3">
        <v>4402</v>
      </c>
      <c r="AB10" s="3">
        <f t="shared" si="1"/>
        <v>4385.0558169533124</v>
      </c>
      <c r="AC10" s="3">
        <f t="shared" si="2"/>
        <v>4368.1768554738937</v>
      </c>
      <c r="AD10" s="3">
        <f t="shared" si="3"/>
        <v>4728.9702240676079</v>
      </c>
      <c r="AE10" s="3">
        <f t="shared" si="4"/>
        <v>4123.7782322493831</v>
      </c>
      <c r="AF10" s="3">
        <f t="shared" si="5"/>
        <v>4157.2793501554461</v>
      </c>
      <c r="AG10" s="3">
        <f t="shared" si="6"/>
        <v>4078.7792486134522</v>
      </c>
    </row>
    <row r="11" spans="1:33">
      <c r="A11" s="1"/>
      <c r="B11" s="118" t="s">
        <v>14</v>
      </c>
      <c r="C11" s="118"/>
      <c r="D11" s="4">
        <f t="shared" ref="D11:H11" si="7">SUM(D5:D10)</f>
        <v>53413</v>
      </c>
      <c r="E11" s="4">
        <f t="shared" si="7"/>
        <v>53079</v>
      </c>
      <c r="F11" s="4">
        <f t="shared" si="7"/>
        <v>61888</v>
      </c>
      <c r="G11" s="4">
        <f t="shared" si="7"/>
        <v>77285</v>
      </c>
      <c r="H11" s="4">
        <f t="shared" si="7"/>
        <v>73242</v>
      </c>
      <c r="I11" s="4">
        <f>SUM(I5:I10)</f>
        <v>62726</v>
      </c>
      <c r="J11" s="4">
        <f>SUM(J5:J10)</f>
        <v>63971</v>
      </c>
      <c r="K11" s="4">
        <f>SUM(K5:K10)</f>
        <v>64015</v>
      </c>
      <c r="L11" s="4">
        <f>SUM(L5:L10)</f>
        <v>62566</v>
      </c>
      <c r="M11" s="4">
        <f>SUM(M5:M10)</f>
        <v>58034</v>
      </c>
      <c r="N11" s="4">
        <f t="shared" ref="N11:U11" si="8">SUM(N5:N10)</f>
        <v>55759</v>
      </c>
      <c r="O11" s="4">
        <f t="shared" si="8"/>
        <v>57329</v>
      </c>
      <c r="P11" s="4">
        <f t="shared" si="8"/>
        <v>54963</v>
      </c>
      <c r="Q11" s="4">
        <f t="shared" si="8"/>
        <v>50663</v>
      </c>
      <c r="R11" s="4">
        <f t="shared" si="8"/>
        <v>50943</v>
      </c>
      <c r="S11" s="4">
        <f t="shared" si="8"/>
        <v>49807</v>
      </c>
      <c r="T11" s="4">
        <f t="shared" si="8"/>
        <v>49161</v>
      </c>
      <c r="U11" s="4">
        <f t="shared" si="8"/>
        <v>49331</v>
      </c>
      <c r="V11" s="4">
        <f t="shared" ref="V11:AG11" si="9">SUM(V5:V10)</f>
        <v>45825</v>
      </c>
      <c r="W11" s="4">
        <f t="shared" si="9"/>
        <v>44322</v>
      </c>
      <c r="X11" s="4">
        <f t="shared" si="9"/>
        <v>46638</v>
      </c>
      <c r="Y11" s="4">
        <f t="shared" si="9"/>
        <v>48866</v>
      </c>
      <c r="Z11" s="4">
        <f t="shared" si="9"/>
        <v>51559</v>
      </c>
      <c r="AA11" s="4">
        <f t="shared" si="9"/>
        <v>54351</v>
      </c>
      <c r="AB11" s="4">
        <f t="shared" si="9"/>
        <v>54155.530979056435</v>
      </c>
      <c r="AC11" s="4">
        <f t="shared" si="9"/>
        <v>53985.434640622676</v>
      </c>
      <c r="AD11" s="4">
        <f t="shared" si="9"/>
        <v>54330.018769459755</v>
      </c>
      <c r="AE11" s="4">
        <f t="shared" si="9"/>
        <v>53299.426846225353</v>
      </c>
      <c r="AF11" s="4">
        <f t="shared" si="9"/>
        <v>52748.474742094033</v>
      </c>
      <c r="AG11" s="4">
        <f t="shared" si="9"/>
        <v>53273.969695846266</v>
      </c>
    </row>
    <row r="13" spans="1:33">
      <c r="D13" s="6">
        <v>1</v>
      </c>
      <c r="E13" s="6">
        <v>2</v>
      </c>
      <c r="F13" s="6">
        <v>3</v>
      </c>
      <c r="G13" s="6">
        <v>4</v>
      </c>
      <c r="H13" s="6">
        <v>5</v>
      </c>
      <c r="I13" s="6" t="s">
        <v>5</v>
      </c>
      <c r="J13" s="6" t="s">
        <v>6</v>
      </c>
      <c r="K13" s="6" t="s">
        <v>7</v>
      </c>
      <c r="L13" s="6" t="s">
        <v>8</v>
      </c>
      <c r="M13" s="6" t="s">
        <v>9</v>
      </c>
      <c r="N13" s="6" t="s">
        <v>10</v>
      </c>
      <c r="O13" s="6" t="s">
        <v>11</v>
      </c>
    </row>
    <row r="14" spans="1:33">
      <c r="D14" s="3">
        <v>9919</v>
      </c>
      <c r="E14" s="3">
        <v>8492</v>
      </c>
      <c r="F14" s="3">
        <v>8462</v>
      </c>
      <c r="G14" s="3">
        <v>8396</v>
      </c>
      <c r="H14" s="3">
        <v>8562</v>
      </c>
      <c r="I14" s="3">
        <v>8839</v>
      </c>
      <c r="J14" s="19">
        <v>7757</v>
      </c>
      <c r="K14" s="19">
        <v>7424</v>
      </c>
      <c r="L14" s="19">
        <v>7808</v>
      </c>
      <c r="M14" s="19">
        <v>8086</v>
      </c>
      <c r="N14" s="19">
        <v>8259</v>
      </c>
      <c r="O14" s="19">
        <v>8672</v>
      </c>
    </row>
    <row r="15" spans="1:33">
      <c r="D15" s="3">
        <v>13593</v>
      </c>
      <c r="E15" s="3">
        <v>12085</v>
      </c>
      <c r="F15" s="3">
        <v>11805</v>
      </c>
      <c r="G15" s="3">
        <v>11381</v>
      </c>
      <c r="H15" s="3">
        <v>10605</v>
      </c>
      <c r="I15" s="3">
        <v>9769</v>
      </c>
      <c r="J15" s="19">
        <v>9878</v>
      </c>
      <c r="K15" s="19">
        <v>9386</v>
      </c>
      <c r="L15" s="19">
        <v>9667</v>
      </c>
      <c r="M15" s="19">
        <v>9859</v>
      </c>
      <c r="N15" s="19">
        <v>9958</v>
      </c>
      <c r="O15" s="19">
        <v>10256</v>
      </c>
    </row>
    <row r="16" spans="1:33">
      <c r="D16" s="3">
        <v>3902</v>
      </c>
      <c r="E16" s="3">
        <v>3596</v>
      </c>
      <c r="F16" s="3">
        <v>3755</v>
      </c>
      <c r="G16" s="3">
        <v>3498</v>
      </c>
      <c r="H16" s="3">
        <v>3600</v>
      </c>
      <c r="I16" s="3">
        <v>3523</v>
      </c>
      <c r="J16" s="19">
        <v>3014</v>
      </c>
      <c r="K16" s="19">
        <v>2883</v>
      </c>
      <c r="L16" s="19">
        <v>3034</v>
      </c>
      <c r="M16" s="19">
        <v>3142</v>
      </c>
      <c r="N16" s="19">
        <v>3210</v>
      </c>
      <c r="O16" s="19">
        <v>3370</v>
      </c>
    </row>
    <row r="17" spans="1:33">
      <c r="D17" s="3">
        <v>12546</v>
      </c>
      <c r="E17" s="3">
        <v>12398</v>
      </c>
      <c r="F17" s="3">
        <v>12378</v>
      </c>
      <c r="G17" s="3">
        <v>11967</v>
      </c>
      <c r="H17" s="3">
        <v>11714</v>
      </c>
      <c r="I17" s="3">
        <v>11979</v>
      </c>
      <c r="J17" s="19">
        <v>11038</v>
      </c>
      <c r="K17" s="19">
        <v>10485</v>
      </c>
      <c r="L17" s="19">
        <v>11214</v>
      </c>
      <c r="M17" s="19">
        <v>11923</v>
      </c>
      <c r="N17" s="19">
        <v>12932</v>
      </c>
      <c r="O17" s="19">
        <v>13756</v>
      </c>
    </row>
    <row r="18" spans="1:33">
      <c r="D18" s="3">
        <v>10462</v>
      </c>
      <c r="E18" s="3">
        <v>10049</v>
      </c>
      <c r="F18" s="3">
        <v>10136</v>
      </c>
      <c r="G18" s="3">
        <v>10658</v>
      </c>
      <c r="H18" s="3">
        <v>10741</v>
      </c>
      <c r="I18" s="3">
        <v>11355</v>
      </c>
      <c r="J18" s="19">
        <v>10680</v>
      </c>
      <c r="K18" s="19">
        <v>10790</v>
      </c>
      <c r="L18" s="19">
        <v>11327</v>
      </c>
      <c r="M18" s="19">
        <v>12042</v>
      </c>
      <c r="N18" s="19">
        <v>13061</v>
      </c>
      <c r="O18" s="19">
        <v>13895</v>
      </c>
    </row>
    <row r="19" spans="1:33">
      <c r="D19" s="3">
        <v>4541</v>
      </c>
      <c r="E19" s="3">
        <v>4043</v>
      </c>
      <c r="F19" s="3">
        <v>4407</v>
      </c>
      <c r="G19" s="3">
        <v>3907</v>
      </c>
      <c r="H19" s="3">
        <v>3939</v>
      </c>
      <c r="I19" s="3">
        <v>3866</v>
      </c>
      <c r="J19" s="19">
        <v>3458</v>
      </c>
      <c r="K19" s="19">
        <v>3354</v>
      </c>
      <c r="L19" s="19">
        <v>3588</v>
      </c>
      <c r="M19" s="19">
        <v>3814</v>
      </c>
      <c r="N19" s="19">
        <v>4139</v>
      </c>
      <c r="O19" s="19">
        <v>4402</v>
      </c>
    </row>
    <row r="20" spans="1:33">
      <c r="D20" s="4"/>
      <c r="E20" s="4"/>
      <c r="F20" s="4"/>
      <c r="G20" s="4"/>
      <c r="H20" s="4"/>
      <c r="I20" s="4">
        <f>SUM(I14:I19)</f>
        <v>49331</v>
      </c>
      <c r="J20" s="4">
        <f t="shared" ref="J20:O20" si="10">SUM(J14:J19)</f>
        <v>45825</v>
      </c>
      <c r="K20" s="4">
        <f t="shared" si="10"/>
        <v>44322</v>
      </c>
      <c r="L20" s="4">
        <f t="shared" si="10"/>
        <v>46638</v>
      </c>
      <c r="M20" s="4">
        <f t="shared" si="10"/>
        <v>48866</v>
      </c>
      <c r="N20" s="4">
        <f t="shared" si="10"/>
        <v>51559</v>
      </c>
      <c r="O20" s="4">
        <f t="shared" si="10"/>
        <v>54351</v>
      </c>
    </row>
    <row r="23" spans="1:33">
      <c r="D23" s="20">
        <f>1-(D5/D14)</f>
        <v>-0.64774674866417992</v>
      </c>
      <c r="E23" s="20">
        <f t="shared" ref="E23:O23" si="11">1-(E5/E14)</f>
        <v>-0.97538860103626934</v>
      </c>
      <c r="F23" s="20">
        <f t="shared" si="11"/>
        <v>-1.0989127865752777</v>
      </c>
      <c r="G23" s="20">
        <f t="shared" si="11"/>
        <v>-0.98666031443544555</v>
      </c>
      <c r="H23" s="20">
        <f t="shared" si="11"/>
        <v>-1.0366736743751459</v>
      </c>
      <c r="I23" s="20">
        <f t="shared" si="11"/>
        <v>-0.73786627446543718</v>
      </c>
      <c r="J23" s="20">
        <f t="shared" si="11"/>
        <v>-0.93966739718963521</v>
      </c>
      <c r="K23" s="20">
        <f t="shared" si="11"/>
        <v>-0.89628232758620685</v>
      </c>
      <c r="L23" s="20">
        <f t="shared" si="11"/>
        <v>-0.7229764344262295</v>
      </c>
      <c r="M23" s="20">
        <f t="shared" si="11"/>
        <v>-0.51385110066782103</v>
      </c>
      <c r="N23" s="20">
        <f t="shared" si="11"/>
        <v>-0.39738467126770805</v>
      </c>
      <c r="O23" s="20">
        <f t="shared" si="11"/>
        <v>-0.30039206642066429</v>
      </c>
    </row>
    <row r="26" spans="1:33">
      <c r="B26" t="s">
        <v>27</v>
      </c>
      <c r="D26" t="s">
        <v>28</v>
      </c>
      <c r="P26" t="s">
        <v>29</v>
      </c>
    </row>
    <row r="27" spans="1:33">
      <c r="A27" s="116" t="s">
        <v>1</v>
      </c>
      <c r="B27" s="116"/>
      <c r="C27" s="116"/>
      <c r="D27" s="6">
        <v>1</v>
      </c>
      <c r="E27" s="6">
        <v>2</v>
      </c>
      <c r="F27" s="6">
        <v>3</v>
      </c>
      <c r="G27" s="6">
        <v>4</v>
      </c>
      <c r="H27" s="6">
        <v>5</v>
      </c>
      <c r="I27" s="6">
        <v>6</v>
      </c>
      <c r="J27" s="6">
        <v>7</v>
      </c>
      <c r="K27" s="6">
        <v>8</v>
      </c>
      <c r="L27" s="6">
        <v>9</v>
      </c>
      <c r="M27" s="6">
        <v>10</v>
      </c>
      <c r="N27" s="6">
        <v>11</v>
      </c>
      <c r="O27" s="6">
        <v>12</v>
      </c>
      <c r="P27" s="49">
        <v>1</v>
      </c>
      <c r="Q27" s="49">
        <v>2</v>
      </c>
      <c r="R27" s="49">
        <v>3</v>
      </c>
      <c r="S27" s="49">
        <v>4</v>
      </c>
      <c r="T27" s="49">
        <v>5</v>
      </c>
      <c r="U27" s="49" t="s">
        <v>5</v>
      </c>
      <c r="V27" s="6" t="s">
        <v>6</v>
      </c>
      <c r="W27" s="6" t="s">
        <v>7</v>
      </c>
      <c r="X27" s="6" t="s">
        <v>8</v>
      </c>
      <c r="Y27" s="6" t="s">
        <v>9</v>
      </c>
      <c r="Z27" s="6" t="s">
        <v>10</v>
      </c>
      <c r="AA27" s="6" t="s">
        <v>11</v>
      </c>
      <c r="AB27" s="6" t="s">
        <v>30</v>
      </c>
    </row>
    <row r="28" spans="1:33">
      <c r="A28" s="116"/>
      <c r="B28" s="116" t="s">
        <v>12</v>
      </c>
      <c r="C28" s="1">
        <v>1</v>
      </c>
      <c r="D28" s="53"/>
      <c r="E28" s="54">
        <f>1-(D5/E5)</f>
        <v>2.5692995529061124E-2</v>
      </c>
      <c r="F28" s="54">
        <f t="shared" ref="F28:AA28" si="12">1-(E5/F5)</f>
        <v>5.5514892179494346E-2</v>
      </c>
      <c r="G28" s="54">
        <f t="shared" si="12"/>
        <v>-6.4808153477218244E-2</v>
      </c>
      <c r="H28" s="54">
        <f t="shared" si="12"/>
        <v>4.3468287647665971E-2</v>
      </c>
      <c r="I28" s="54">
        <f t="shared" si="12"/>
        <v>-0.13521255126619369</v>
      </c>
      <c r="J28" s="54">
        <f t="shared" si="12"/>
        <v>-2.0935796889538727E-2</v>
      </c>
      <c r="K28" s="54">
        <f t="shared" si="12"/>
        <v>-6.8759767012359641E-2</v>
      </c>
      <c r="L28" s="54">
        <f t="shared" si="12"/>
        <v>-4.6458039099085635E-2</v>
      </c>
      <c r="M28" s="54">
        <f t="shared" si="12"/>
        <v>-9.9011518666775489E-2</v>
      </c>
      <c r="N28" s="54">
        <f t="shared" si="12"/>
        <v>-6.0653322935620757E-2</v>
      </c>
      <c r="O28" s="54">
        <f t="shared" si="12"/>
        <v>-2.3410481511040082E-2</v>
      </c>
      <c r="P28" s="50">
        <f t="shared" si="12"/>
        <v>-0.13690896259703589</v>
      </c>
      <c r="Q28" s="50">
        <f t="shared" si="12"/>
        <v>-0.16804050871408394</v>
      </c>
      <c r="R28" s="50">
        <f t="shared" si="12"/>
        <v>-3.5452611675725887E-3</v>
      </c>
      <c r="S28" s="50">
        <f t="shared" si="12"/>
        <v>-7.8608861362554627E-3</v>
      </c>
      <c r="T28" s="50">
        <f t="shared" si="12"/>
        <v>1.9387993459472064E-2</v>
      </c>
      <c r="U28" s="50">
        <f t="shared" si="12"/>
        <v>3.1338386695327514E-2</v>
      </c>
      <c r="V28" s="22">
        <f t="shared" si="12"/>
        <v>-0.13948691504447597</v>
      </c>
      <c r="W28" s="22">
        <f t="shared" si="12"/>
        <v>-4.485452586206895E-2</v>
      </c>
      <c r="X28" s="22">
        <f t="shared" si="12"/>
        <v>4.9180327868852514E-2</v>
      </c>
      <c r="Y28" s="22">
        <f t="shared" si="12"/>
        <v>3.438041058619834E-2</v>
      </c>
      <c r="Z28" s="22">
        <f t="shared" si="12"/>
        <v>2.0946845865116859E-2</v>
      </c>
      <c r="AA28" s="22">
        <f t="shared" si="12"/>
        <v>4.7624538745387412E-2</v>
      </c>
      <c r="AB28" s="22">
        <f t="shared" ref="AB28:AB33" si="13">AVERAGE(P28:AA28)</f>
        <v>-2.4819879691761509E-2</v>
      </c>
    </row>
    <row r="29" spans="1:33">
      <c r="A29" s="116"/>
      <c r="B29" s="116"/>
      <c r="C29" s="1">
        <v>2</v>
      </c>
      <c r="D29" s="53"/>
      <c r="E29" s="54">
        <f t="shared" ref="E29:AA34" si="14">1-(D6/E6)</f>
        <v>-0.14123753585575738</v>
      </c>
      <c r="F29" s="54">
        <f t="shared" si="14"/>
        <v>0.12438703504365511</v>
      </c>
      <c r="G29" s="54">
        <f t="shared" si="14"/>
        <v>4.6690610569522839E-2</v>
      </c>
      <c r="H29" s="54">
        <f t="shared" si="14"/>
        <v>6.0873755220045012E-2</v>
      </c>
      <c r="I29" s="54">
        <f t="shared" si="14"/>
        <v>-0.14455542619033035</v>
      </c>
      <c r="J29" s="54">
        <f t="shared" si="14"/>
        <v>5.0116414435389944E-2</v>
      </c>
      <c r="K29" s="54">
        <f t="shared" si="14"/>
        <v>2.828054298642535E-2</v>
      </c>
      <c r="L29" s="54">
        <f t="shared" si="14"/>
        <v>-4.3314056414493152E-2</v>
      </c>
      <c r="M29" s="54">
        <f t="shared" si="14"/>
        <v>-8.3573118485836595E-2</v>
      </c>
      <c r="N29" s="54">
        <f t="shared" si="14"/>
        <v>-3.8032656312226187E-2</v>
      </c>
      <c r="O29" s="54">
        <f t="shared" si="14"/>
        <v>-9.7178473292673928E-3</v>
      </c>
      <c r="P29" s="50">
        <f t="shared" si="14"/>
        <v>-9.7697344221290283E-2</v>
      </c>
      <c r="Q29" s="50">
        <f t="shared" si="14"/>
        <v>-0.12478278858088543</v>
      </c>
      <c r="R29" s="50">
        <f t="shared" si="14"/>
        <v>-2.371876323591704E-2</v>
      </c>
      <c r="S29" s="50">
        <f t="shared" si="14"/>
        <v>-3.7255074246551168E-2</v>
      </c>
      <c r="T29" s="50">
        <f t="shared" si="14"/>
        <v>-7.3173031588873227E-2</v>
      </c>
      <c r="U29" s="50">
        <f t="shared" si="14"/>
        <v>-8.5576824649401084E-2</v>
      </c>
      <c r="V29" s="22">
        <f t="shared" si="14"/>
        <v>1.1034622393196969E-2</v>
      </c>
      <c r="W29" s="22">
        <f t="shared" si="14"/>
        <v>-5.2418495631792128E-2</v>
      </c>
      <c r="X29" s="22">
        <f t="shared" si="14"/>
        <v>2.9067963173683653E-2</v>
      </c>
      <c r="Y29" s="22">
        <f t="shared" si="14"/>
        <v>1.9474591743584568E-2</v>
      </c>
      <c r="Z29" s="22">
        <f t="shared" si="14"/>
        <v>9.9417553725648089E-3</v>
      </c>
      <c r="AA29" s="22">
        <f t="shared" si="14"/>
        <v>2.9056162246489881E-2</v>
      </c>
      <c r="AB29" s="22">
        <f t="shared" si="13"/>
        <v>-3.3003935602099209E-2</v>
      </c>
      <c r="AC29" s="20"/>
      <c r="AD29" s="20"/>
      <c r="AE29" s="20"/>
      <c r="AF29" s="20"/>
      <c r="AG29" s="20"/>
    </row>
    <row r="30" spans="1:33">
      <c r="A30" s="116"/>
      <c r="B30" s="116"/>
      <c r="C30" s="1">
        <v>3</v>
      </c>
      <c r="D30" s="53"/>
      <c r="E30" s="54">
        <f t="shared" si="14"/>
        <v>-0.36137967076038668</v>
      </c>
      <c r="F30" s="54">
        <f t="shared" si="14"/>
        <v>0.1834862385321101</v>
      </c>
      <c r="G30" s="54">
        <f t="shared" si="14"/>
        <v>8.4212583040250144E-2</v>
      </c>
      <c r="H30" s="54">
        <f t="shared" si="14"/>
        <v>3.9594670669919285E-2</v>
      </c>
      <c r="I30" s="54">
        <f t="shared" si="14"/>
        <v>-0.10905306971904261</v>
      </c>
      <c r="J30" s="54">
        <f t="shared" si="14"/>
        <v>-1.3499261759122527E-2</v>
      </c>
      <c r="K30" s="54">
        <f t="shared" si="14"/>
        <v>1.1261730969760131E-2</v>
      </c>
      <c r="L30" s="54">
        <f t="shared" si="14"/>
        <v>-3.4296807592752332E-2</v>
      </c>
      <c r="M30" s="54">
        <f t="shared" si="14"/>
        <v>-7.9394644935972147E-2</v>
      </c>
      <c r="N30" s="54">
        <f t="shared" si="14"/>
        <v>-0.14778193479422774</v>
      </c>
      <c r="O30" s="54">
        <f t="shared" si="14"/>
        <v>5.2178318135764901E-2</v>
      </c>
      <c r="P30" s="50">
        <f t="shared" si="14"/>
        <v>-1.178882624295241E-2</v>
      </c>
      <c r="Q30" s="50">
        <f t="shared" si="14"/>
        <v>-8.5094549499443728E-2</v>
      </c>
      <c r="R30" s="50">
        <f t="shared" si="14"/>
        <v>4.2343541944074525E-2</v>
      </c>
      <c r="S30" s="50">
        <f t="shared" si="14"/>
        <v>-7.3470554602629967E-2</v>
      </c>
      <c r="T30" s="50">
        <f t="shared" si="14"/>
        <v>2.8333333333333321E-2</v>
      </c>
      <c r="U30" s="50">
        <f t="shared" si="14"/>
        <v>-2.1856372409877922E-2</v>
      </c>
      <c r="V30" s="22">
        <f t="shared" si="14"/>
        <v>-0.16887856668878576</v>
      </c>
      <c r="W30" s="22">
        <f t="shared" si="14"/>
        <v>-4.5438779049601141E-2</v>
      </c>
      <c r="X30" s="22">
        <f t="shared" si="14"/>
        <v>4.9769281476598537E-2</v>
      </c>
      <c r="Y30" s="22">
        <f t="shared" si="14"/>
        <v>3.4373010821133088E-2</v>
      </c>
      <c r="Z30" s="22">
        <f t="shared" si="14"/>
        <v>2.1183800623052917E-2</v>
      </c>
      <c r="AA30" s="22">
        <f t="shared" si="14"/>
        <v>4.7477744807121636E-2</v>
      </c>
      <c r="AB30" s="22">
        <f t="shared" si="13"/>
        <v>-1.5253911290664742E-2</v>
      </c>
      <c r="AC30" s="20"/>
      <c r="AD30" s="20"/>
      <c r="AE30" s="20"/>
      <c r="AF30" s="20"/>
      <c r="AG30" s="20"/>
    </row>
    <row r="31" spans="1:33">
      <c r="A31" s="116"/>
      <c r="B31" s="117" t="s">
        <v>13</v>
      </c>
      <c r="C31" s="2">
        <v>1</v>
      </c>
      <c r="D31" s="53"/>
      <c r="E31" s="54">
        <f t="shared" si="14"/>
        <v>0.27834530191160112</v>
      </c>
      <c r="F31" s="54">
        <f t="shared" si="14"/>
        <v>0.13605382733310034</v>
      </c>
      <c r="G31" s="54">
        <f t="shared" si="14"/>
        <v>0.22863305473173368</v>
      </c>
      <c r="H31" s="54">
        <f t="shared" si="14"/>
        <v>-0.10051183146650833</v>
      </c>
      <c r="I31" s="54">
        <f t="shared" si="14"/>
        <v>-0.24824074074074076</v>
      </c>
      <c r="J31" s="54">
        <f t="shared" si="14"/>
        <v>2.6939363906658298E-2</v>
      </c>
      <c r="K31" s="54">
        <f t="shared" si="14"/>
        <v>6.0003582303420622E-3</v>
      </c>
      <c r="L31" s="54">
        <f t="shared" si="14"/>
        <v>3.047668663714509E-2</v>
      </c>
      <c r="M31" s="54">
        <f t="shared" si="14"/>
        <v>-2.7936451267404516E-2</v>
      </c>
      <c r="N31" s="54">
        <f t="shared" si="14"/>
        <v>8.4955752212388935E-3</v>
      </c>
      <c r="O31" s="54">
        <f t="shared" si="14"/>
        <v>7.9579701881567155E-2</v>
      </c>
      <c r="P31" s="50">
        <f t="shared" si="14"/>
        <v>2.1441096763908818E-2</v>
      </c>
      <c r="Q31" s="50">
        <f t="shared" si="14"/>
        <v>-1.1937409259557885E-2</v>
      </c>
      <c r="R31" s="50">
        <f t="shared" si="14"/>
        <v>-1.6157699143641846E-3</v>
      </c>
      <c r="S31" s="50">
        <f t="shared" si="14"/>
        <v>-3.4344447229882169E-2</v>
      </c>
      <c r="T31" s="50">
        <f t="shared" si="14"/>
        <v>-2.1598087758238016E-2</v>
      </c>
      <c r="U31" s="50">
        <f t="shared" si="14"/>
        <v>2.21220469154354E-2</v>
      </c>
      <c r="V31" s="22">
        <f t="shared" si="14"/>
        <v>-8.5250951259286056E-2</v>
      </c>
      <c r="W31" s="22">
        <f t="shared" si="14"/>
        <v>-5.2742012398664828E-2</v>
      </c>
      <c r="X31" s="22">
        <f t="shared" si="14"/>
        <v>6.5008025682183002E-2</v>
      </c>
      <c r="Y31" s="22">
        <f t="shared" si="14"/>
        <v>5.9464899773546964E-2</v>
      </c>
      <c r="Z31" s="22">
        <f t="shared" si="14"/>
        <v>7.8023507578100837E-2</v>
      </c>
      <c r="AA31" s="22">
        <f t="shared" si="14"/>
        <v>5.990113405059605E-2</v>
      </c>
      <c r="AB31" s="22">
        <f t="shared" si="13"/>
        <v>8.2060027453148277E-3</v>
      </c>
      <c r="AC31" s="20"/>
      <c r="AD31" s="20"/>
      <c r="AE31" s="20"/>
      <c r="AF31" s="20"/>
      <c r="AG31" s="20"/>
    </row>
    <row r="32" spans="1:33">
      <c r="A32" s="116"/>
      <c r="B32" s="117"/>
      <c r="C32" s="2">
        <v>2</v>
      </c>
      <c r="D32" s="53"/>
      <c r="E32" s="54">
        <f t="shared" si="14"/>
        <v>-1.8719384184744614E-2</v>
      </c>
      <c r="F32" s="54">
        <f t="shared" si="14"/>
        <v>0.33619788642434101</v>
      </c>
      <c r="G32" s="54">
        <f t="shared" si="14"/>
        <v>0.54184623570098434</v>
      </c>
      <c r="H32" s="54">
        <f t="shared" si="14"/>
        <v>-0.38985432226576933</v>
      </c>
      <c r="I32" s="54">
        <f t="shared" si="14"/>
        <v>-0.19250440917107592</v>
      </c>
      <c r="J32" s="54">
        <f t="shared" si="14"/>
        <v>1.2453191674649533E-2</v>
      </c>
      <c r="K32" s="54">
        <f t="shared" si="14"/>
        <v>2.2473823103771218E-2</v>
      </c>
      <c r="L32" s="54">
        <f t="shared" si="14"/>
        <v>-2.0945593603337365E-2</v>
      </c>
      <c r="M32" s="54">
        <f t="shared" si="14"/>
        <v>-0.10741097208854677</v>
      </c>
      <c r="N32" s="54">
        <f t="shared" si="14"/>
        <v>-5.1938847828287837E-2</v>
      </c>
      <c r="O32" s="54">
        <f t="shared" si="14"/>
        <v>5.5103797952740785E-2</v>
      </c>
      <c r="P32" s="50">
        <f t="shared" si="14"/>
        <v>8.6025616516915981E-4</v>
      </c>
      <c r="Q32" s="50">
        <f t="shared" si="14"/>
        <v>-4.1098616777788921E-2</v>
      </c>
      <c r="R32" s="50">
        <f t="shared" si="14"/>
        <v>8.5832675611681175E-3</v>
      </c>
      <c r="S32" s="50">
        <f t="shared" si="14"/>
        <v>4.897729405141682E-2</v>
      </c>
      <c r="T32" s="50">
        <f t="shared" si="14"/>
        <v>7.7273996834559266E-3</v>
      </c>
      <c r="U32" s="50">
        <f t="shared" si="14"/>
        <v>5.4073095552619965E-2</v>
      </c>
      <c r="V32" s="22">
        <f t="shared" si="14"/>
        <v>-6.3202247191011196E-2</v>
      </c>
      <c r="W32" s="22">
        <f t="shared" si="14"/>
        <v>1.0194624652456019E-2</v>
      </c>
      <c r="X32" s="22">
        <f t="shared" si="14"/>
        <v>4.7408846119890491E-2</v>
      </c>
      <c r="Y32" s="22">
        <f t="shared" si="14"/>
        <v>5.9375519016774625E-2</v>
      </c>
      <c r="Z32" s="22">
        <f t="shared" si="14"/>
        <v>7.801852844345758E-2</v>
      </c>
      <c r="AA32" s="22">
        <f t="shared" si="14"/>
        <v>6.0021590500179967E-2</v>
      </c>
      <c r="AB32" s="22">
        <f t="shared" si="13"/>
        <v>2.2578296481482379E-2</v>
      </c>
      <c r="AC32" s="20"/>
      <c r="AD32" s="20"/>
      <c r="AE32" s="20"/>
      <c r="AF32" s="20"/>
      <c r="AG32" s="20"/>
    </row>
    <row r="33" spans="1:33">
      <c r="A33" s="116"/>
      <c r="B33" s="117"/>
      <c r="C33" s="2">
        <v>3</v>
      </c>
      <c r="D33" s="53"/>
      <c r="E33" s="54">
        <f t="shared" si="14"/>
        <v>1.8369175627240164E-2</v>
      </c>
      <c r="F33" s="54">
        <f t="shared" si="14"/>
        <v>0.16184754036800597</v>
      </c>
      <c r="G33" s="54">
        <f t="shared" si="14"/>
        <v>0.38285052143684817</v>
      </c>
      <c r="H33" s="54">
        <f t="shared" si="14"/>
        <v>9.9728771124556692E-2</v>
      </c>
      <c r="I33" s="54">
        <f t="shared" si="14"/>
        <v>-0.16873933187027546</v>
      </c>
      <c r="J33" s="54">
        <f t="shared" si="14"/>
        <v>7.2591587516960598E-2</v>
      </c>
      <c r="K33" s="54">
        <f t="shared" si="14"/>
        <v>2.7918223785447394E-2</v>
      </c>
      <c r="L33" s="54">
        <f t="shared" si="14"/>
        <v>-9.0949423247559391E-3</v>
      </c>
      <c r="M33" s="54">
        <f t="shared" si="14"/>
        <v>-5.6975381008206316E-2</v>
      </c>
      <c r="N33" s="54">
        <f t="shared" si="14"/>
        <v>-7.5596503661705672E-3</v>
      </c>
      <c r="O33" s="54">
        <f t="shared" si="14"/>
        <v>4.9404895576016128E-2</v>
      </c>
      <c r="P33" s="50">
        <f t="shared" si="14"/>
        <v>1.9378991411583391E-2</v>
      </c>
      <c r="Q33" s="50">
        <f t="shared" si="14"/>
        <v>-0.12317585951026455</v>
      </c>
      <c r="R33" s="50">
        <f t="shared" si="14"/>
        <v>8.259587020648973E-2</v>
      </c>
      <c r="S33" s="50">
        <f t="shared" si="14"/>
        <v>-0.12797542871768619</v>
      </c>
      <c r="T33" s="50">
        <f t="shared" si="14"/>
        <v>8.1238893120081368E-3</v>
      </c>
      <c r="U33" s="50">
        <f t="shared" si="14"/>
        <v>-1.8882565959648323E-2</v>
      </c>
      <c r="V33" s="22">
        <f t="shared" si="14"/>
        <v>-0.11798727588201263</v>
      </c>
      <c r="W33" s="22">
        <f t="shared" si="14"/>
        <v>-3.1007751937984551E-2</v>
      </c>
      <c r="X33" s="22">
        <f t="shared" si="14"/>
        <v>6.5217391304347783E-2</v>
      </c>
      <c r="Y33" s="22">
        <f t="shared" si="14"/>
        <v>5.9255374934451988E-2</v>
      </c>
      <c r="Z33" s="22">
        <f t="shared" si="14"/>
        <v>7.8521381976322746E-2</v>
      </c>
      <c r="AA33" s="22">
        <f t="shared" si="14"/>
        <v>5.9745570195365749E-2</v>
      </c>
      <c r="AB33" s="23">
        <f t="shared" si="13"/>
        <v>-3.8492010555855605E-3</v>
      </c>
      <c r="AC33" s="20"/>
      <c r="AD33" s="20"/>
      <c r="AE33" s="20"/>
      <c r="AF33" s="20"/>
      <c r="AG33" s="20"/>
    </row>
    <row r="34" spans="1:33">
      <c r="A34" s="1"/>
      <c r="B34" s="118" t="s">
        <v>14</v>
      </c>
      <c r="C34" s="118"/>
      <c r="D34" s="54"/>
      <c r="E34" s="54">
        <f t="shared" ref="E34" si="15">1-(D11/E11)</f>
        <v>-6.2925073946382692E-3</v>
      </c>
      <c r="F34" s="54">
        <f t="shared" ref="F34" si="16">1-(E11/F11)</f>
        <v>0.14233777145811788</v>
      </c>
      <c r="G34" s="54">
        <f t="shared" ref="G34" si="17">1-(F11/G11)</f>
        <v>0.19922365271398068</v>
      </c>
      <c r="H34" s="54">
        <f t="shared" ref="H34" si="18">1-(G11/H11)</f>
        <v>-5.5200567980120629E-2</v>
      </c>
      <c r="I34" s="54">
        <f t="shared" si="14"/>
        <v>-0.16764977840130091</v>
      </c>
      <c r="J34" s="54">
        <f t="shared" ref="J34" si="19">1-(I11/J11)</f>
        <v>1.946194369323595E-2</v>
      </c>
      <c r="K34" s="54">
        <f t="shared" ref="K34" si="20">1-(J11/K11)</f>
        <v>6.8733890494410144E-4</v>
      </c>
      <c r="L34" s="54">
        <f t="shared" ref="L34" si="21">1-(K11/L11)</f>
        <v>-2.3159543522040638E-2</v>
      </c>
      <c r="M34" s="54">
        <f t="shared" ref="M34" si="22">1-(L11/M11)</f>
        <v>-7.8092152875900434E-2</v>
      </c>
      <c r="N34" s="54">
        <f t="shared" ref="N34" si="23">1-(M11/N11)</f>
        <v>-4.0800588245843761E-2</v>
      </c>
      <c r="O34" s="54">
        <f t="shared" ref="O34" si="24">1-(N11/O11)</f>
        <v>2.7385790786512931E-2</v>
      </c>
      <c r="P34" s="54">
        <f t="shared" si="14"/>
        <v>-4.3047140803813555E-2</v>
      </c>
      <c r="Q34" s="54">
        <f t="shared" si="14"/>
        <v>-8.4874563290764371E-2</v>
      </c>
      <c r="R34" s="54">
        <f t="shared" si="14"/>
        <v>5.496339045599985E-3</v>
      </c>
      <c r="S34" s="54">
        <f t="shared" si="14"/>
        <v>-2.2808039030658422E-2</v>
      </c>
      <c r="T34" s="54">
        <f t="shared" si="14"/>
        <v>-1.3140497548870034E-2</v>
      </c>
      <c r="U34" s="54">
        <f t="shared" si="14"/>
        <v>3.4461089375849019E-3</v>
      </c>
      <c r="V34" s="54">
        <f t="shared" si="14"/>
        <v>-7.6508456082924114E-2</v>
      </c>
      <c r="W34" s="54">
        <f t="shared" si="14"/>
        <v>-3.3910924597265524E-2</v>
      </c>
      <c r="X34" s="54">
        <f t="shared" si="14"/>
        <v>4.9659076289720883E-2</v>
      </c>
      <c r="Y34" s="54">
        <f t="shared" si="14"/>
        <v>4.5594073588998474E-2</v>
      </c>
      <c r="Z34" s="54">
        <f t="shared" si="14"/>
        <v>5.223142419364224E-2</v>
      </c>
      <c r="AA34" s="54">
        <f t="shared" si="14"/>
        <v>5.1369800003679744E-2</v>
      </c>
      <c r="AB34" s="21"/>
    </row>
    <row r="37" spans="1:33" ht="17.25">
      <c r="A37" s="44" t="s">
        <v>77</v>
      </c>
    </row>
    <row r="38" spans="1:33">
      <c r="A38" s="116" t="s">
        <v>1</v>
      </c>
      <c r="B38" s="116"/>
      <c r="C38" s="116"/>
      <c r="D38" s="6" t="s">
        <v>5</v>
      </c>
      <c r="E38" s="6" t="s">
        <v>6</v>
      </c>
      <c r="F38" s="6" t="s">
        <v>7</v>
      </c>
      <c r="G38" s="6" t="s">
        <v>8</v>
      </c>
      <c r="H38" s="6" t="s">
        <v>9</v>
      </c>
      <c r="I38" s="6" t="s">
        <v>10</v>
      </c>
      <c r="J38" s="6" t="s">
        <v>11</v>
      </c>
      <c r="K38" s="6" t="s">
        <v>18</v>
      </c>
      <c r="L38" s="6" t="s">
        <v>19</v>
      </c>
      <c r="M38" s="6" t="s">
        <v>2</v>
      </c>
      <c r="N38" s="6" t="s">
        <v>3</v>
      </c>
      <c r="O38" s="6" t="s">
        <v>4</v>
      </c>
      <c r="P38" s="6" t="s">
        <v>5</v>
      </c>
    </row>
    <row r="39" spans="1:33">
      <c r="A39" s="116"/>
      <c r="B39" s="116" t="s">
        <v>12</v>
      </c>
      <c r="C39" s="1">
        <v>1</v>
      </c>
      <c r="D39" s="3">
        <v>8891.25</v>
      </c>
      <c r="E39" s="95">
        <v>8713.4249999999993</v>
      </c>
      <c r="F39" s="95">
        <v>8626.2907500000001</v>
      </c>
      <c r="G39" s="95">
        <v>8540.0278424999997</v>
      </c>
      <c r="H39" s="3">
        <v>8497.3277032874994</v>
      </c>
      <c r="I39" s="3">
        <v>8582.3009803203749</v>
      </c>
      <c r="J39" s="3">
        <v>8753.9469999267822</v>
      </c>
      <c r="K39" s="96">
        <v>8841.4864699260506</v>
      </c>
      <c r="L39" s="96">
        <v>8885.6939022756815</v>
      </c>
      <c r="M39" s="96">
        <v>8796.8369632529248</v>
      </c>
      <c r="N39" s="96">
        <v>8664.8844088041315</v>
      </c>
      <c r="O39" s="96">
        <v>8751.5332528921736</v>
      </c>
      <c r="P39" s="96">
        <v>8839.0485854210947</v>
      </c>
    </row>
    <row r="40" spans="1:33">
      <c r="A40" s="116"/>
      <c r="B40" s="116"/>
      <c r="C40" s="1">
        <v>2</v>
      </c>
      <c r="D40" s="3">
        <v>9778.75</v>
      </c>
      <c r="E40" s="95">
        <v>9680.9624999999996</v>
      </c>
      <c r="F40" s="95">
        <v>9535.7480624999989</v>
      </c>
      <c r="G40" s="95">
        <v>9488.069322187499</v>
      </c>
      <c r="H40" s="3">
        <v>9535.5096687984369</v>
      </c>
      <c r="I40" s="3">
        <v>9630.8647654864217</v>
      </c>
      <c r="J40" s="3">
        <v>9823.4820607961501</v>
      </c>
      <c r="K40" s="96">
        <v>9692.5022999855355</v>
      </c>
      <c r="L40" s="96">
        <v>9627.8856179856321</v>
      </c>
      <c r="M40" s="96">
        <v>9563.699713865728</v>
      </c>
      <c r="N40" s="96">
        <v>9531.8207148195088</v>
      </c>
      <c r="O40" s="96">
        <v>9595.3661862516383</v>
      </c>
      <c r="P40" s="96">
        <v>9723.3044020683265</v>
      </c>
    </row>
    <row r="41" spans="1:33">
      <c r="A41" s="116"/>
      <c r="B41" s="116"/>
      <c r="C41" s="1">
        <v>3</v>
      </c>
      <c r="D41" s="3">
        <v>3397.5</v>
      </c>
      <c r="E41" s="95">
        <v>3380.5124999999998</v>
      </c>
      <c r="F41" s="95">
        <v>3346.707375</v>
      </c>
      <c r="G41" s="95">
        <v>3313.2403012499999</v>
      </c>
      <c r="H41" s="3">
        <v>3329.8065027562498</v>
      </c>
      <c r="I41" s="3">
        <v>3363.1045677838124</v>
      </c>
      <c r="J41" s="3">
        <v>3396.7356134616507</v>
      </c>
      <c r="K41" s="96">
        <v>3374.0907093719065</v>
      </c>
      <c r="L41" s="96">
        <v>3340.3498022781873</v>
      </c>
      <c r="M41" s="96">
        <v>3329.2153029372598</v>
      </c>
      <c r="N41" s="96">
        <v>3340.3126872803841</v>
      </c>
      <c r="O41" s="96">
        <v>3362.58143852892</v>
      </c>
      <c r="P41" s="96">
        <v>3407.4158577093058</v>
      </c>
    </row>
    <row r="42" spans="1:33">
      <c r="A42" s="116"/>
      <c r="B42" s="117" t="s">
        <v>13</v>
      </c>
      <c r="C42" s="2">
        <v>1</v>
      </c>
      <c r="D42" s="3">
        <v>11908.75</v>
      </c>
      <c r="E42" s="95">
        <v>11789.6625</v>
      </c>
      <c r="F42" s="95">
        <v>11730.7141875</v>
      </c>
      <c r="G42" s="95">
        <v>11848.021329375</v>
      </c>
      <c r="H42" s="3">
        <v>11966.50154266875</v>
      </c>
      <c r="I42" s="3">
        <v>12205.831573522124</v>
      </c>
      <c r="J42" s="3">
        <v>12449.948204992566</v>
      </c>
      <c r="K42" s="96">
        <v>12574.447687042491</v>
      </c>
      <c r="L42" s="96">
        <v>12637.319925477705</v>
      </c>
      <c r="M42" s="96">
        <v>12510.946726222928</v>
      </c>
      <c r="N42" s="96">
        <v>12573.501459854042</v>
      </c>
      <c r="O42" s="96">
        <v>12623.795465693458</v>
      </c>
      <c r="P42" s="96">
        <v>12497.557511036523</v>
      </c>
    </row>
    <row r="43" spans="1:33">
      <c r="A43" s="116"/>
      <c r="B43" s="117"/>
      <c r="C43" s="2">
        <v>2</v>
      </c>
      <c r="D43" s="3">
        <v>10920</v>
      </c>
      <c r="E43" s="95">
        <v>11138.4</v>
      </c>
      <c r="F43" s="95">
        <v>11249.784</v>
      </c>
      <c r="G43" s="95">
        <v>11362.28184</v>
      </c>
      <c r="H43" s="3">
        <v>11248.6590216</v>
      </c>
      <c r="I43" s="3">
        <v>11304.902316708001</v>
      </c>
      <c r="J43" s="3">
        <v>11417.951339875081</v>
      </c>
      <c r="K43" s="96">
        <v>11341.831664275913</v>
      </c>
      <c r="L43" s="96">
        <v>11304.025558728326</v>
      </c>
      <c r="M43" s="96">
        <v>11379.385729119849</v>
      </c>
      <c r="N43" s="96">
        <v>11455.248300647316</v>
      </c>
      <c r="O43" s="96">
        <v>11607.984944655947</v>
      </c>
      <c r="P43" s="96">
        <v>11762.758077251359</v>
      </c>
    </row>
    <row r="44" spans="1:33">
      <c r="A44" s="116"/>
      <c r="B44" s="117"/>
      <c r="C44" s="2">
        <v>3</v>
      </c>
      <c r="D44" s="3">
        <v>3888.75</v>
      </c>
      <c r="E44" s="95">
        <v>3927.6374999999998</v>
      </c>
      <c r="F44" s="95">
        <v>3947.2756875</v>
      </c>
      <c r="G44" s="95">
        <v>3907.802930625</v>
      </c>
      <c r="H44" s="3">
        <v>3868.7249013187502</v>
      </c>
      <c r="I44" s="3">
        <v>3849.3812768121566</v>
      </c>
      <c r="J44" s="3">
        <v>3900.7063605029853</v>
      </c>
      <c r="K44" s="96">
        <v>3926.7110695730053</v>
      </c>
      <c r="L44" s="96">
        <v>3952.8891433701588</v>
      </c>
      <c r="M44" s="96">
        <v>3926.5365490810245</v>
      </c>
      <c r="N44" s="96">
        <v>3939.6250042446281</v>
      </c>
      <c r="O44" s="96">
        <v>3965.8891709395925</v>
      </c>
      <c r="P44" s="96">
        <v>3948.2629968465276</v>
      </c>
    </row>
    <row r="45" spans="1:33">
      <c r="A45" s="1"/>
      <c r="B45" s="118" t="s">
        <v>14</v>
      </c>
      <c r="C45" s="118"/>
      <c r="D45" s="4">
        <f>SUM(D39:D44)</f>
        <v>48785</v>
      </c>
      <c r="E45" s="4">
        <f t="shared" ref="E45:P45" si="25">SUM(E39:E44)</f>
        <v>48630.6</v>
      </c>
      <c r="F45" s="4">
        <f t="shared" si="25"/>
        <v>48436.5200625</v>
      </c>
      <c r="G45" s="4">
        <f t="shared" si="25"/>
        <v>48459.443565937494</v>
      </c>
      <c r="H45" s="4">
        <f t="shared" si="25"/>
        <v>48446.529340429697</v>
      </c>
      <c r="I45" s="4">
        <f t="shared" si="25"/>
        <v>48936.385480632889</v>
      </c>
      <c r="J45" s="4">
        <f t="shared" si="25"/>
        <v>49742.77057955521</v>
      </c>
      <c r="K45" s="4">
        <f t="shared" si="25"/>
        <v>49751.069900174902</v>
      </c>
      <c r="L45" s="4">
        <f t="shared" si="25"/>
        <v>49748.16395011569</v>
      </c>
      <c r="M45" s="4">
        <f t="shared" si="25"/>
        <v>49506.620984479712</v>
      </c>
      <c r="N45" s="4">
        <f t="shared" si="25"/>
        <v>49505.392575650003</v>
      </c>
      <c r="O45" s="4">
        <f t="shared" si="25"/>
        <v>49907.150458961725</v>
      </c>
      <c r="P45" s="4">
        <f t="shared" si="25"/>
        <v>50178.347430333139</v>
      </c>
    </row>
  </sheetData>
  <mergeCells count="15">
    <mergeCell ref="A38:C38"/>
    <mergeCell ref="A39:A44"/>
    <mergeCell ref="B39:B41"/>
    <mergeCell ref="B42:B44"/>
    <mergeCell ref="B45:C45"/>
    <mergeCell ref="A28:A33"/>
    <mergeCell ref="B28:B30"/>
    <mergeCell ref="B31:B33"/>
    <mergeCell ref="B34:C34"/>
    <mergeCell ref="A4:C4"/>
    <mergeCell ref="A5:A10"/>
    <mergeCell ref="B5:B7"/>
    <mergeCell ref="B8:B10"/>
    <mergeCell ref="B11:C11"/>
    <mergeCell ref="A27:C27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FCDA3-8466-4BF4-AE78-3D56E4B47683}">
  <dimension ref="B3:AE45"/>
  <sheetViews>
    <sheetView zoomScale="70" zoomScaleNormal="70" workbookViewId="0">
      <selection activeCell="F20" sqref="F20"/>
    </sheetView>
  </sheetViews>
  <sheetFormatPr defaultRowHeight="16.5"/>
  <cols>
    <col min="4" max="4" width="8.875" style="57"/>
  </cols>
  <sheetData>
    <row r="3" spans="2:5">
      <c r="B3" t="s">
        <v>67</v>
      </c>
      <c r="C3" t="s">
        <v>68</v>
      </c>
      <c r="D3" s="57" t="s">
        <v>69</v>
      </c>
    </row>
    <row r="4" spans="2:5">
      <c r="B4" s="55">
        <v>44927</v>
      </c>
      <c r="C4" s="56">
        <v>53413</v>
      </c>
      <c r="E4" s="56">
        <f>SUM(C4:D4)</f>
        <v>53413</v>
      </c>
    </row>
    <row r="5" spans="2:5">
      <c r="B5" s="55">
        <v>44958</v>
      </c>
      <c r="C5" s="56">
        <v>53079</v>
      </c>
      <c r="E5" s="56">
        <f t="shared" ref="E5:E33" si="0">SUM(C5:D5)</f>
        <v>53079</v>
      </c>
    </row>
    <row r="6" spans="2:5">
      <c r="B6" s="55">
        <v>44986</v>
      </c>
      <c r="C6" s="56">
        <v>61888</v>
      </c>
      <c r="E6" s="56">
        <f t="shared" si="0"/>
        <v>61888</v>
      </c>
    </row>
    <row r="7" spans="2:5">
      <c r="B7" s="55">
        <v>45017</v>
      </c>
      <c r="C7" s="56">
        <v>77285</v>
      </c>
      <c r="E7" s="56">
        <f t="shared" si="0"/>
        <v>77285</v>
      </c>
    </row>
    <row r="8" spans="2:5">
      <c r="B8" s="55">
        <v>45047</v>
      </c>
      <c r="C8" s="56">
        <v>73242</v>
      </c>
      <c r="E8" s="56">
        <f t="shared" si="0"/>
        <v>73242</v>
      </c>
    </row>
    <row r="9" spans="2:5">
      <c r="B9" s="55">
        <v>45078</v>
      </c>
      <c r="C9" s="56">
        <v>62726</v>
      </c>
      <c r="E9" s="56">
        <f t="shared" si="0"/>
        <v>62726</v>
      </c>
    </row>
    <row r="10" spans="2:5">
      <c r="B10" s="55">
        <v>45108</v>
      </c>
      <c r="C10" s="56">
        <v>63971</v>
      </c>
      <c r="E10" s="56">
        <f t="shared" si="0"/>
        <v>63971</v>
      </c>
    </row>
    <row r="11" spans="2:5">
      <c r="B11" s="55">
        <v>45139</v>
      </c>
      <c r="C11" s="56">
        <v>64015</v>
      </c>
      <c r="D11" s="57">
        <v>590</v>
      </c>
      <c r="E11" s="56">
        <f t="shared" si="0"/>
        <v>64605</v>
      </c>
    </row>
    <row r="12" spans="2:5">
      <c r="B12" s="55">
        <v>45170</v>
      </c>
      <c r="C12" s="56">
        <v>62566</v>
      </c>
      <c r="D12" s="57">
        <v>3356</v>
      </c>
      <c r="E12" s="56">
        <f t="shared" si="0"/>
        <v>65922</v>
      </c>
    </row>
    <row r="13" spans="2:5">
      <c r="B13" s="55">
        <v>45200</v>
      </c>
      <c r="C13" s="56">
        <v>58034</v>
      </c>
      <c r="D13" s="57">
        <v>4851</v>
      </c>
      <c r="E13" s="56">
        <f t="shared" si="0"/>
        <v>62885</v>
      </c>
    </row>
    <row r="14" spans="2:5">
      <c r="B14" s="55">
        <v>45231</v>
      </c>
      <c r="C14" s="56">
        <v>55759</v>
      </c>
      <c r="D14" s="57">
        <v>8822</v>
      </c>
      <c r="E14" s="56">
        <f t="shared" si="0"/>
        <v>64581</v>
      </c>
    </row>
    <row r="15" spans="2:5">
      <c r="B15" s="55">
        <v>45261</v>
      </c>
      <c r="C15" s="56">
        <v>57329</v>
      </c>
      <c r="D15" s="57">
        <v>13245</v>
      </c>
      <c r="E15" s="56">
        <f t="shared" si="0"/>
        <v>70574</v>
      </c>
    </row>
    <row r="16" spans="2:5">
      <c r="B16" s="55">
        <v>45292</v>
      </c>
      <c r="C16" s="56">
        <v>54963</v>
      </c>
      <c r="D16" s="57">
        <v>16019</v>
      </c>
      <c r="E16" s="56">
        <f t="shared" si="0"/>
        <v>70982</v>
      </c>
    </row>
    <row r="17" spans="2:5">
      <c r="B17" s="55">
        <v>45323</v>
      </c>
      <c r="C17" s="56">
        <v>50663</v>
      </c>
      <c r="D17" s="57">
        <v>15665</v>
      </c>
      <c r="E17" s="56">
        <f t="shared" si="0"/>
        <v>66328</v>
      </c>
    </row>
    <row r="18" spans="2:5">
      <c r="B18" s="55">
        <v>45352</v>
      </c>
      <c r="C18" s="56">
        <v>50943</v>
      </c>
      <c r="D18" s="57">
        <v>23359</v>
      </c>
      <c r="E18" s="56">
        <f t="shared" si="0"/>
        <v>74302</v>
      </c>
    </row>
    <row r="19" spans="2:5">
      <c r="B19" s="55">
        <v>45383</v>
      </c>
      <c r="C19" s="56">
        <v>49807</v>
      </c>
      <c r="D19" s="57">
        <v>26822</v>
      </c>
      <c r="E19" s="56">
        <f t="shared" si="0"/>
        <v>76629</v>
      </c>
    </row>
    <row r="20" spans="2:5">
      <c r="B20" s="55">
        <v>45413</v>
      </c>
      <c r="C20" s="56">
        <v>49161</v>
      </c>
      <c r="D20" s="57">
        <v>27580</v>
      </c>
      <c r="E20" s="56">
        <f t="shared" si="0"/>
        <v>76741</v>
      </c>
    </row>
    <row r="21" spans="2:5">
      <c r="B21" s="55">
        <v>45444</v>
      </c>
      <c r="C21" s="56">
        <v>49331</v>
      </c>
      <c r="D21" s="57">
        <v>22165</v>
      </c>
      <c r="E21" s="56">
        <f t="shared" si="0"/>
        <v>71496</v>
      </c>
    </row>
    <row r="22" spans="2:5">
      <c r="B22" s="55">
        <v>45474</v>
      </c>
      <c r="C22" s="56">
        <v>45825</v>
      </c>
      <c r="D22" s="57">
        <v>26179</v>
      </c>
      <c r="E22" s="56">
        <f t="shared" si="0"/>
        <v>72004</v>
      </c>
    </row>
    <row r="23" spans="2:5">
      <c r="B23" s="55">
        <v>45505</v>
      </c>
      <c r="C23" s="56">
        <v>44322</v>
      </c>
      <c r="D23" s="57">
        <v>27002</v>
      </c>
      <c r="E23" s="56">
        <f t="shared" si="0"/>
        <v>71324</v>
      </c>
    </row>
    <row r="24" spans="2:5">
      <c r="B24" s="55">
        <v>45536</v>
      </c>
      <c r="C24" s="56">
        <v>46638</v>
      </c>
      <c r="D24" s="57">
        <v>33428.400000000001</v>
      </c>
      <c r="E24" s="56">
        <f t="shared" si="0"/>
        <v>80066.399999999994</v>
      </c>
    </row>
    <row r="25" spans="2:5">
      <c r="B25" s="55">
        <v>45566</v>
      </c>
      <c r="C25" s="56">
        <v>48866</v>
      </c>
      <c r="D25" s="57">
        <v>34498.799999999996</v>
      </c>
      <c r="E25" s="56">
        <f t="shared" si="0"/>
        <v>83364.799999999988</v>
      </c>
    </row>
    <row r="26" spans="2:5">
      <c r="B26" s="55">
        <v>45597</v>
      </c>
      <c r="C26" s="56">
        <v>51559</v>
      </c>
      <c r="D26" s="57">
        <v>35634</v>
      </c>
      <c r="E26" s="56">
        <f t="shared" si="0"/>
        <v>87193</v>
      </c>
    </row>
    <row r="27" spans="2:5">
      <c r="B27" s="55">
        <v>45627</v>
      </c>
      <c r="C27" s="56">
        <v>54351</v>
      </c>
      <c r="D27" s="57">
        <v>36717.599999999999</v>
      </c>
      <c r="E27" s="56">
        <f t="shared" si="0"/>
        <v>91068.6</v>
      </c>
    </row>
    <row r="28" spans="2:5">
      <c r="B28" s="55">
        <v>45658</v>
      </c>
      <c r="C28" s="56">
        <v>54155.530979056435</v>
      </c>
      <c r="D28" s="57">
        <v>37950.587999999996</v>
      </c>
      <c r="E28" s="56">
        <f t="shared" si="0"/>
        <v>92106.118979056424</v>
      </c>
    </row>
    <row r="29" spans="2:5">
      <c r="B29" s="55">
        <v>45689</v>
      </c>
      <c r="C29" s="56">
        <v>53985.434640622676</v>
      </c>
      <c r="D29" s="57">
        <v>39233.711640000001</v>
      </c>
      <c r="E29" s="56">
        <f t="shared" si="0"/>
        <v>93219.146280622677</v>
      </c>
    </row>
    <row r="30" spans="2:5">
      <c r="B30" s="55">
        <v>45717</v>
      </c>
      <c r="C30" s="56">
        <v>54330.018769459755</v>
      </c>
      <c r="D30" s="57">
        <v>40623.080717999997</v>
      </c>
      <c r="E30" s="56">
        <f t="shared" si="0"/>
        <v>94953.099487459753</v>
      </c>
    </row>
    <row r="31" spans="2:5">
      <c r="B31" s="55">
        <v>45748</v>
      </c>
      <c r="C31" s="56">
        <v>53299.426846225353</v>
      </c>
      <c r="D31" s="57">
        <v>42757.105818924007</v>
      </c>
      <c r="E31" s="56">
        <f t="shared" si="0"/>
        <v>96056.532665149367</v>
      </c>
    </row>
    <row r="32" spans="2:5">
      <c r="B32" s="55">
        <v>45778</v>
      </c>
      <c r="C32" s="56">
        <v>52748.474742094033</v>
      </c>
      <c r="D32" s="57">
        <v>44857.846709420162</v>
      </c>
      <c r="E32" s="56">
        <f t="shared" si="0"/>
        <v>97606.321451514203</v>
      </c>
    </row>
    <row r="33" spans="2:31">
      <c r="B33" s="55">
        <v>45809</v>
      </c>
      <c r="C33" s="56">
        <v>53273.969695846266</v>
      </c>
      <c r="D33" s="57">
        <v>46684.514163280845</v>
      </c>
      <c r="E33" s="56">
        <f t="shared" si="0"/>
        <v>99958.483859127111</v>
      </c>
    </row>
    <row r="37" spans="2:31">
      <c r="E37" s="57"/>
    </row>
    <row r="45" spans="2:31">
      <c r="B45" s="56"/>
      <c r="C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A6904-3078-4E8A-ADE3-206C94429768}">
  <sheetPr>
    <tabColor theme="7"/>
  </sheetPr>
  <dimension ref="B3:T64"/>
  <sheetViews>
    <sheetView topLeftCell="A25" workbookViewId="0">
      <selection activeCell="K45" sqref="K45"/>
    </sheetView>
  </sheetViews>
  <sheetFormatPr defaultRowHeight="16.5"/>
  <cols>
    <col min="1" max="1" width="2.875" style="65" customWidth="1"/>
    <col min="2" max="2" width="9" style="65"/>
    <col min="3" max="4" width="11.375" style="65" bestFit="1" customWidth="1"/>
    <col min="5" max="14" width="11.875" style="65" customWidth="1"/>
    <col min="15" max="16" width="12.875" style="65" bestFit="1" customWidth="1"/>
    <col min="17" max="16384" width="9" style="65"/>
  </cols>
  <sheetData>
    <row r="3" spans="2:16" ht="17.25">
      <c r="B3" s="44" t="s">
        <v>61</v>
      </c>
      <c r="E3" s="66" t="s">
        <v>95</v>
      </c>
      <c r="F3" s="66"/>
      <c r="G3" s="66"/>
      <c r="H3" s="66" t="s">
        <v>96</v>
      </c>
      <c r="I3" s="66"/>
      <c r="J3" s="66"/>
      <c r="K3" s="66" t="s">
        <v>20</v>
      </c>
      <c r="L3" s="66"/>
      <c r="M3" s="66"/>
      <c r="N3" s="66" t="s">
        <v>21</v>
      </c>
      <c r="O3" s="66"/>
      <c r="P3" s="66"/>
    </row>
    <row r="4" spans="2:16">
      <c r="B4" s="104"/>
      <c r="C4" s="104"/>
      <c r="D4" s="104"/>
      <c r="E4" s="67" t="s">
        <v>94</v>
      </c>
      <c r="F4" s="67" t="s">
        <v>88</v>
      </c>
      <c r="G4" s="67" t="s">
        <v>89</v>
      </c>
      <c r="H4" s="67" t="s">
        <v>90</v>
      </c>
      <c r="I4" s="67" t="s">
        <v>91</v>
      </c>
      <c r="J4" s="67" t="s">
        <v>92</v>
      </c>
      <c r="K4" s="67" t="s">
        <v>74</v>
      </c>
      <c r="L4" s="67" t="s">
        <v>75</v>
      </c>
      <c r="M4" s="67" t="s">
        <v>5</v>
      </c>
      <c r="N4" s="67" t="s">
        <v>16</v>
      </c>
      <c r="O4" s="67" t="s">
        <v>7</v>
      </c>
      <c r="P4" s="67" t="s">
        <v>8</v>
      </c>
    </row>
    <row r="5" spans="2:16">
      <c r="B5" s="115"/>
      <c r="C5" s="119" t="s">
        <v>12</v>
      </c>
      <c r="D5" s="10" t="s">
        <v>22</v>
      </c>
      <c r="E5" s="155"/>
      <c r="F5" s="155"/>
      <c r="G5" s="155"/>
      <c r="H5" s="155"/>
      <c r="I5" s="155"/>
      <c r="J5" s="155"/>
      <c r="K5" s="156"/>
      <c r="L5" s="69"/>
      <c r="M5" s="69">
        <v>2160</v>
      </c>
      <c r="N5" s="69">
        <v>4860</v>
      </c>
      <c r="O5" s="99">
        <v>4000</v>
      </c>
      <c r="P5" s="99"/>
    </row>
    <row r="6" spans="2:16">
      <c r="B6" s="115"/>
      <c r="C6" s="119"/>
      <c r="D6" s="10">
        <v>1</v>
      </c>
      <c r="E6" s="155"/>
      <c r="F6" s="155">
        <v>5940</v>
      </c>
      <c r="G6" s="155">
        <v>5130</v>
      </c>
      <c r="H6" s="155"/>
      <c r="I6" s="155"/>
      <c r="J6" s="155"/>
      <c r="K6" s="156"/>
      <c r="L6" s="69">
        <v>9984</v>
      </c>
      <c r="M6" s="69"/>
      <c r="N6" s="69">
        <v>1080</v>
      </c>
      <c r="O6" s="99"/>
      <c r="P6" s="99"/>
    </row>
    <row r="7" spans="2:16">
      <c r="B7" s="115"/>
      <c r="C7" s="119"/>
      <c r="D7" s="10" t="s">
        <v>86</v>
      </c>
      <c r="E7" s="155"/>
      <c r="F7" s="155"/>
      <c r="G7" s="155"/>
      <c r="H7" s="155"/>
      <c r="I7" s="155">
        <v>5130</v>
      </c>
      <c r="J7" s="155"/>
      <c r="K7" s="156"/>
      <c r="L7" s="69"/>
      <c r="M7" s="69"/>
      <c r="N7" s="69">
        <v>4992</v>
      </c>
      <c r="O7" s="99"/>
      <c r="P7" s="99"/>
    </row>
    <row r="8" spans="2:16">
      <c r="B8" s="115"/>
      <c r="C8" s="119"/>
      <c r="D8" s="10">
        <v>2</v>
      </c>
      <c r="E8" s="155"/>
      <c r="F8" s="155"/>
      <c r="G8" s="155">
        <v>810</v>
      </c>
      <c r="H8" s="155"/>
      <c r="I8" s="155">
        <v>810</v>
      </c>
      <c r="J8" s="155"/>
      <c r="K8" s="156">
        <v>5940</v>
      </c>
      <c r="L8" s="69">
        <v>21504</v>
      </c>
      <c r="M8" s="69">
        <v>3780</v>
      </c>
      <c r="N8" s="69"/>
      <c r="O8" s="99"/>
      <c r="P8" s="99"/>
    </row>
    <row r="9" spans="2:16">
      <c r="B9" s="115"/>
      <c r="C9" s="119"/>
      <c r="D9" s="10" t="s">
        <v>87</v>
      </c>
      <c r="E9" s="155"/>
      <c r="F9" s="155"/>
      <c r="G9" s="155"/>
      <c r="H9" s="155">
        <v>10752</v>
      </c>
      <c r="I9" s="155">
        <v>10752</v>
      </c>
      <c r="J9" s="155">
        <v>11520</v>
      </c>
      <c r="K9" s="156"/>
      <c r="L9" s="69"/>
      <c r="M9" s="69"/>
      <c r="N9" s="69">
        <v>4992</v>
      </c>
      <c r="O9" s="99"/>
      <c r="P9" s="99"/>
    </row>
    <row r="10" spans="2:16">
      <c r="B10" s="115"/>
      <c r="C10" s="119"/>
      <c r="D10" s="10">
        <v>3</v>
      </c>
      <c r="E10" s="155"/>
      <c r="F10" s="155">
        <v>16128</v>
      </c>
      <c r="G10" s="155"/>
      <c r="H10" s="155">
        <v>13056</v>
      </c>
      <c r="I10" s="155">
        <v>14592</v>
      </c>
      <c r="J10" s="155">
        <v>13824</v>
      </c>
      <c r="K10" s="156"/>
      <c r="L10" s="69"/>
      <c r="M10" s="69"/>
      <c r="N10" s="69"/>
      <c r="O10" s="99"/>
      <c r="P10" s="99"/>
    </row>
    <row r="11" spans="2:16">
      <c r="B11" s="115"/>
      <c r="C11" s="120" t="s">
        <v>13</v>
      </c>
      <c r="D11" s="13" t="s">
        <v>22</v>
      </c>
      <c r="E11" s="155"/>
      <c r="F11" s="155"/>
      <c r="G11" s="155"/>
      <c r="H11" s="155"/>
      <c r="I11" s="155"/>
      <c r="J11" s="155"/>
      <c r="K11" s="156">
        <v>3840</v>
      </c>
      <c r="L11" s="69"/>
      <c r="M11" s="69">
        <v>2688</v>
      </c>
      <c r="N11" s="69">
        <v>1152</v>
      </c>
      <c r="O11" s="99">
        <v>8000</v>
      </c>
      <c r="P11" s="99">
        <v>8000</v>
      </c>
    </row>
    <row r="12" spans="2:16">
      <c r="B12" s="115"/>
      <c r="C12" s="121"/>
      <c r="D12" s="13">
        <v>1</v>
      </c>
      <c r="E12" s="155"/>
      <c r="F12" s="155">
        <v>384</v>
      </c>
      <c r="G12" s="155"/>
      <c r="H12" s="155">
        <v>1536</v>
      </c>
      <c r="I12" s="155"/>
      <c r="J12" s="155"/>
      <c r="K12" s="156">
        <v>9984</v>
      </c>
      <c r="L12" s="69"/>
      <c r="M12" s="69">
        <v>14592</v>
      </c>
      <c r="N12" s="69">
        <v>25344</v>
      </c>
      <c r="O12" s="99">
        <v>15000</v>
      </c>
      <c r="P12" s="99">
        <v>14000</v>
      </c>
    </row>
    <row r="13" spans="2:16">
      <c r="B13" s="115"/>
      <c r="C13" s="121"/>
      <c r="D13" s="13">
        <v>2</v>
      </c>
      <c r="E13" s="155"/>
      <c r="F13" s="155">
        <v>384</v>
      </c>
      <c r="G13" s="155"/>
      <c r="H13" s="155"/>
      <c r="I13" s="155"/>
      <c r="J13" s="155"/>
      <c r="K13" s="156">
        <v>11520</v>
      </c>
      <c r="L13" s="69"/>
      <c r="M13" s="69">
        <v>13824</v>
      </c>
      <c r="N13" s="69">
        <v>20736</v>
      </c>
      <c r="O13" s="99">
        <v>11000</v>
      </c>
      <c r="P13" s="99">
        <v>15000</v>
      </c>
    </row>
    <row r="14" spans="2:16">
      <c r="B14" s="115"/>
      <c r="C14" s="121"/>
      <c r="D14" s="13" t="s">
        <v>81</v>
      </c>
      <c r="E14" s="155"/>
      <c r="F14" s="155"/>
      <c r="G14" s="155"/>
      <c r="H14" s="155"/>
      <c r="I14" s="155"/>
      <c r="J14" s="155"/>
      <c r="K14" s="156"/>
      <c r="L14" s="69">
        <v>2304</v>
      </c>
      <c r="M14" s="69">
        <v>1152</v>
      </c>
      <c r="N14" s="69">
        <v>3456</v>
      </c>
      <c r="O14" s="99">
        <v>2000</v>
      </c>
      <c r="P14" s="99">
        <v>1500</v>
      </c>
    </row>
    <row r="15" spans="2:16">
      <c r="B15" s="115"/>
      <c r="C15" s="122"/>
      <c r="D15" s="13" t="s">
        <v>83</v>
      </c>
      <c r="E15" s="155"/>
      <c r="F15" s="155"/>
      <c r="G15" s="155"/>
      <c r="H15" s="155"/>
      <c r="I15" s="155"/>
      <c r="J15" s="155"/>
      <c r="K15" s="156"/>
      <c r="L15" s="69"/>
      <c r="M15" s="69">
        <v>1536</v>
      </c>
      <c r="N15" s="69"/>
      <c r="O15" s="99"/>
      <c r="P15" s="99"/>
    </row>
    <row r="16" spans="2:16">
      <c r="B16" s="115"/>
      <c r="C16" s="123"/>
      <c r="D16" s="14" t="s">
        <v>24</v>
      </c>
      <c r="E16" s="155"/>
      <c r="F16" s="155"/>
      <c r="G16" s="155"/>
      <c r="H16" s="155"/>
      <c r="I16" s="155"/>
      <c r="J16" s="155"/>
      <c r="K16" s="156">
        <v>3024</v>
      </c>
      <c r="L16" s="69"/>
      <c r="M16" s="69">
        <v>2016</v>
      </c>
      <c r="N16" s="69"/>
      <c r="O16" s="99"/>
      <c r="P16" s="99"/>
    </row>
    <row r="17" spans="2:16">
      <c r="B17" s="115"/>
      <c r="C17" s="123"/>
      <c r="D17" s="14" t="s">
        <v>25</v>
      </c>
      <c r="E17" s="155"/>
      <c r="F17" s="155"/>
      <c r="G17" s="155"/>
      <c r="H17" s="155"/>
      <c r="I17" s="155"/>
      <c r="J17" s="155"/>
      <c r="K17" s="156">
        <v>1008</v>
      </c>
      <c r="L17" s="69"/>
      <c r="M17" s="69"/>
      <c r="N17" s="69"/>
      <c r="O17" s="99"/>
      <c r="P17" s="99"/>
    </row>
    <row r="18" spans="2:16">
      <c r="B18" s="115"/>
      <c r="C18" s="103" t="s">
        <v>14</v>
      </c>
      <c r="D18" s="103"/>
      <c r="E18" s="71">
        <f t="shared" ref="E18:J18" si="0">SUM(E5:E17)</f>
        <v>0</v>
      </c>
      <c r="F18" s="71">
        <f t="shared" si="0"/>
        <v>22836</v>
      </c>
      <c r="G18" s="71">
        <f t="shared" si="0"/>
        <v>5940</v>
      </c>
      <c r="H18" s="71">
        <f t="shared" si="0"/>
        <v>25344</v>
      </c>
      <c r="I18" s="71">
        <f t="shared" si="0"/>
        <v>31284</v>
      </c>
      <c r="J18" s="71">
        <f t="shared" si="0"/>
        <v>25344</v>
      </c>
      <c r="K18" s="71">
        <f>SUM(K5:K17)</f>
        <v>35316</v>
      </c>
      <c r="L18" s="71">
        <f t="shared" ref="L18:P18" si="1">SUM(L5:L17)</f>
        <v>33792</v>
      </c>
      <c r="M18" s="71">
        <f t="shared" si="1"/>
        <v>41748</v>
      </c>
      <c r="N18" s="71">
        <f t="shared" si="1"/>
        <v>66612</v>
      </c>
      <c r="O18" s="71">
        <f t="shared" si="1"/>
        <v>40000</v>
      </c>
      <c r="P18" s="71">
        <f t="shared" si="1"/>
        <v>38500</v>
      </c>
    </row>
    <row r="19" spans="2:16">
      <c r="B19" s="115"/>
      <c r="C19" s="103" t="s">
        <v>72</v>
      </c>
      <c r="D19" s="103"/>
      <c r="E19" s="71">
        <f>단가!D50</f>
        <v>0</v>
      </c>
      <c r="F19" s="71">
        <f>단가!E50</f>
        <v>330394.80000000005</v>
      </c>
      <c r="G19" s="71">
        <f>단가!F50</f>
        <v>84942</v>
      </c>
      <c r="H19" s="71">
        <f>단가!G50</f>
        <v>423859.20000000001</v>
      </c>
      <c r="I19" s="71">
        <f>단가!H50</f>
        <v>526771.19999999995</v>
      </c>
      <c r="J19" s="71">
        <f>단가!I50</f>
        <v>420019.19999999995</v>
      </c>
      <c r="K19" s="71">
        <f>단가!J50</f>
        <v>607272.95999999985</v>
      </c>
      <c r="L19" s="71">
        <f>단가!K50</f>
        <v>499123.1999999999</v>
      </c>
      <c r="M19" s="71">
        <f>단가!L50</f>
        <v>758830.67999999993</v>
      </c>
      <c r="N19" s="71">
        <f>단가!M50</f>
        <v>1262478</v>
      </c>
      <c r="O19" s="71">
        <f>단가!N50</f>
        <v>755800</v>
      </c>
      <c r="P19" s="71">
        <f>단가!O50</f>
        <v>745900</v>
      </c>
    </row>
    <row r="20" spans="2:16">
      <c r="B20" s="115"/>
      <c r="C20" s="107" t="s">
        <v>17</v>
      </c>
      <c r="D20" s="108"/>
      <c r="E20" s="71">
        <f>단가!D51</f>
        <v>0</v>
      </c>
      <c r="F20" s="71">
        <f>단가!E51</f>
        <v>481312536.74400008</v>
      </c>
      <c r="G20" s="71">
        <f>단가!F51</f>
        <v>123741806.75999999</v>
      </c>
      <c r="H20" s="71">
        <f>단가!G51</f>
        <v>617469605.37600005</v>
      </c>
      <c r="I20" s="71">
        <f>단가!H51</f>
        <v>767389748.73599994</v>
      </c>
      <c r="J20" s="71">
        <f>단가!I51</f>
        <v>611875570.17599988</v>
      </c>
      <c r="K20" s="71">
        <f>단가!J51</f>
        <v>884663102.66879976</v>
      </c>
      <c r="L20" s="71">
        <f>단가!K51</f>
        <v>727112695.29599988</v>
      </c>
      <c r="M20" s="71">
        <f>단가!L51</f>
        <v>1105449358.0103998</v>
      </c>
      <c r="N20" s="71">
        <f>단가!M51</f>
        <v>1839152700.8399999</v>
      </c>
      <c r="O20" s="71">
        <f>단가!N51</f>
        <v>1101034324</v>
      </c>
      <c r="P20" s="71">
        <f>단가!O51</f>
        <v>1086612202</v>
      </c>
    </row>
    <row r="21" spans="2:16">
      <c r="B21" s="72"/>
      <c r="C21" s="73"/>
      <c r="D21" s="73"/>
      <c r="E21" s="73"/>
      <c r="F21" s="73"/>
      <c r="G21" s="73"/>
      <c r="H21" s="73"/>
      <c r="I21" s="73"/>
      <c r="J21" s="73"/>
      <c r="K21" s="74"/>
      <c r="L21" s="74"/>
      <c r="M21" s="74"/>
    </row>
    <row r="22" spans="2:16" ht="17.25">
      <c r="B22" s="44" t="s">
        <v>76</v>
      </c>
      <c r="C22" s="73"/>
      <c r="D22" s="73"/>
      <c r="E22" s="66" t="s">
        <v>95</v>
      </c>
      <c r="F22" s="66"/>
      <c r="G22" s="66"/>
      <c r="H22" s="66" t="s">
        <v>96</v>
      </c>
      <c r="I22" s="66"/>
      <c r="J22" s="66"/>
      <c r="K22" s="66" t="s">
        <v>20</v>
      </c>
      <c r="L22" s="66"/>
      <c r="M22" s="66"/>
      <c r="N22" s="66" t="s">
        <v>21</v>
      </c>
      <c r="O22" s="66"/>
      <c r="P22" s="66"/>
    </row>
    <row r="23" spans="2:16">
      <c r="B23" s="112" t="s">
        <v>71</v>
      </c>
      <c r="C23" s="113"/>
      <c r="D23" s="114"/>
      <c r="E23" s="94" t="s">
        <v>94</v>
      </c>
      <c r="F23" s="94" t="s">
        <v>88</v>
      </c>
      <c r="G23" s="94" t="s">
        <v>89</v>
      </c>
      <c r="H23" s="94" t="s">
        <v>90</v>
      </c>
      <c r="I23" s="94" t="s">
        <v>91</v>
      </c>
      <c r="J23" s="94" t="s">
        <v>92</v>
      </c>
      <c r="K23" s="94" t="s">
        <v>3</v>
      </c>
      <c r="L23" s="94" t="s">
        <v>4</v>
      </c>
      <c r="M23" s="94" t="s">
        <v>5</v>
      </c>
      <c r="N23" s="94" t="s">
        <v>16</v>
      </c>
      <c r="O23" s="94" t="s">
        <v>7</v>
      </c>
      <c r="P23" s="94" t="s">
        <v>8</v>
      </c>
    </row>
    <row r="24" spans="2:16">
      <c r="B24" s="103" t="s">
        <v>73</v>
      </c>
      <c r="C24" s="103"/>
      <c r="D24" s="103"/>
      <c r="E24" s="64" t="s">
        <v>90</v>
      </c>
      <c r="F24" s="64" t="s">
        <v>91</v>
      </c>
      <c r="G24" s="64" t="s">
        <v>92</v>
      </c>
      <c r="H24" s="64" t="s">
        <v>74</v>
      </c>
      <c r="I24" s="64" t="s">
        <v>75</v>
      </c>
      <c r="J24" s="64" t="s">
        <v>93</v>
      </c>
      <c r="K24" s="64" t="s">
        <v>16</v>
      </c>
      <c r="L24" s="64" t="s">
        <v>7</v>
      </c>
      <c r="M24" s="64" t="s">
        <v>8</v>
      </c>
      <c r="N24" s="64" t="s">
        <v>9</v>
      </c>
      <c r="O24" s="64" t="s">
        <v>10</v>
      </c>
      <c r="P24" s="64" t="s">
        <v>11</v>
      </c>
    </row>
    <row r="25" spans="2:16">
      <c r="B25" s="105"/>
      <c r="C25" s="119" t="s">
        <v>12</v>
      </c>
      <c r="D25" s="10" t="s">
        <v>22</v>
      </c>
      <c r="E25" s="157">
        <f t="shared" ref="E25:K25" si="2">E5</f>
        <v>0</v>
      </c>
      <c r="F25" s="157">
        <f t="shared" si="2"/>
        <v>0</v>
      </c>
      <c r="G25" s="157">
        <f t="shared" si="2"/>
        <v>0</v>
      </c>
      <c r="H25" s="157">
        <f t="shared" si="2"/>
        <v>0</v>
      </c>
      <c r="I25" s="157">
        <f t="shared" si="2"/>
        <v>0</v>
      </c>
      <c r="J25" s="157">
        <f t="shared" si="2"/>
        <v>0</v>
      </c>
      <c r="K25" s="157">
        <f>K5</f>
        <v>0</v>
      </c>
      <c r="L25" s="75">
        <f t="shared" ref="L25:P25" si="3">L5</f>
        <v>0</v>
      </c>
      <c r="M25" s="75">
        <f t="shared" si="3"/>
        <v>2160</v>
      </c>
      <c r="N25" s="75">
        <f t="shared" si="3"/>
        <v>4860</v>
      </c>
      <c r="O25" s="100">
        <f t="shared" si="3"/>
        <v>4000</v>
      </c>
      <c r="P25" s="100">
        <f t="shared" si="3"/>
        <v>0</v>
      </c>
    </row>
    <row r="26" spans="2:16">
      <c r="B26" s="111"/>
      <c r="C26" s="119"/>
      <c r="D26" s="10">
        <v>1</v>
      </c>
      <c r="E26" s="157">
        <f t="shared" ref="E26:K26" si="4">E6</f>
        <v>0</v>
      </c>
      <c r="F26" s="157">
        <f t="shared" si="4"/>
        <v>5940</v>
      </c>
      <c r="G26" s="157">
        <f t="shared" si="4"/>
        <v>5130</v>
      </c>
      <c r="H26" s="157">
        <f t="shared" si="4"/>
        <v>0</v>
      </c>
      <c r="I26" s="157">
        <f t="shared" si="4"/>
        <v>0</v>
      </c>
      <c r="J26" s="157">
        <f t="shared" si="4"/>
        <v>0</v>
      </c>
      <c r="K26" s="157">
        <f t="shared" ref="K26:P26" si="5">K6</f>
        <v>0</v>
      </c>
      <c r="L26" s="75">
        <f t="shared" si="5"/>
        <v>9984</v>
      </c>
      <c r="M26" s="75">
        <f t="shared" si="5"/>
        <v>0</v>
      </c>
      <c r="N26" s="75">
        <f t="shared" si="5"/>
        <v>1080</v>
      </c>
      <c r="O26" s="100">
        <f t="shared" si="5"/>
        <v>0</v>
      </c>
      <c r="P26" s="100">
        <f t="shared" si="5"/>
        <v>0</v>
      </c>
    </row>
    <row r="27" spans="2:16">
      <c r="B27" s="111"/>
      <c r="C27" s="119"/>
      <c r="D27" s="10">
        <v>2</v>
      </c>
      <c r="E27" s="157">
        <f t="shared" ref="E27:K27" si="6">E8</f>
        <v>0</v>
      </c>
      <c r="F27" s="157">
        <f t="shared" si="6"/>
        <v>0</v>
      </c>
      <c r="G27" s="157">
        <f t="shared" si="6"/>
        <v>810</v>
      </c>
      <c r="H27" s="157">
        <f t="shared" si="6"/>
        <v>0</v>
      </c>
      <c r="I27" s="157">
        <f t="shared" si="6"/>
        <v>810</v>
      </c>
      <c r="J27" s="157">
        <f t="shared" si="6"/>
        <v>0</v>
      </c>
      <c r="K27" s="157">
        <f t="shared" ref="K27:P27" si="7">K8</f>
        <v>5940</v>
      </c>
      <c r="L27" s="75">
        <f t="shared" si="7"/>
        <v>21504</v>
      </c>
      <c r="M27" s="75">
        <f t="shared" si="7"/>
        <v>3780</v>
      </c>
      <c r="N27" s="75">
        <f t="shared" si="7"/>
        <v>0</v>
      </c>
      <c r="O27" s="100">
        <f t="shared" si="7"/>
        <v>0</v>
      </c>
      <c r="P27" s="100">
        <f t="shared" si="7"/>
        <v>0</v>
      </c>
    </row>
    <row r="28" spans="2:16">
      <c r="B28" s="111"/>
      <c r="C28" s="119"/>
      <c r="D28" s="10">
        <v>3</v>
      </c>
      <c r="E28" s="157">
        <f t="shared" ref="E28:K28" si="8">E10</f>
        <v>0</v>
      </c>
      <c r="F28" s="157">
        <f t="shared" si="8"/>
        <v>16128</v>
      </c>
      <c r="G28" s="157">
        <f t="shared" si="8"/>
        <v>0</v>
      </c>
      <c r="H28" s="157">
        <f t="shared" si="8"/>
        <v>13056</v>
      </c>
      <c r="I28" s="157">
        <f t="shared" si="8"/>
        <v>14592</v>
      </c>
      <c r="J28" s="157">
        <f t="shared" si="8"/>
        <v>13824</v>
      </c>
      <c r="K28" s="157">
        <f t="shared" ref="K28:P28" si="9">K10</f>
        <v>0</v>
      </c>
      <c r="L28" s="75">
        <f t="shared" si="9"/>
        <v>0</v>
      </c>
      <c r="M28" s="75">
        <f t="shared" si="9"/>
        <v>0</v>
      </c>
      <c r="N28" s="75">
        <f t="shared" si="9"/>
        <v>0</v>
      </c>
      <c r="O28" s="100">
        <f t="shared" si="9"/>
        <v>0</v>
      </c>
      <c r="P28" s="100">
        <f t="shared" si="9"/>
        <v>0</v>
      </c>
    </row>
    <row r="29" spans="2:16">
      <c r="B29" s="111"/>
      <c r="C29" s="120" t="s">
        <v>13</v>
      </c>
      <c r="D29" s="13" t="s">
        <v>22</v>
      </c>
      <c r="E29" s="157">
        <f t="shared" ref="E29:K29" si="10">E11</f>
        <v>0</v>
      </c>
      <c r="F29" s="157">
        <f t="shared" si="10"/>
        <v>0</v>
      </c>
      <c r="G29" s="157">
        <f t="shared" si="10"/>
        <v>0</v>
      </c>
      <c r="H29" s="157">
        <f t="shared" si="10"/>
        <v>0</v>
      </c>
      <c r="I29" s="157">
        <f t="shared" si="10"/>
        <v>0</v>
      </c>
      <c r="J29" s="157">
        <f t="shared" si="10"/>
        <v>0</v>
      </c>
      <c r="K29" s="157">
        <f t="shared" ref="K29:P29" si="11">K11</f>
        <v>3840</v>
      </c>
      <c r="L29" s="75">
        <f t="shared" si="11"/>
        <v>0</v>
      </c>
      <c r="M29" s="75">
        <f t="shared" si="11"/>
        <v>2688</v>
      </c>
      <c r="N29" s="75">
        <f t="shared" si="11"/>
        <v>1152</v>
      </c>
      <c r="O29" s="100">
        <f t="shared" si="11"/>
        <v>8000</v>
      </c>
      <c r="P29" s="100">
        <f t="shared" si="11"/>
        <v>8000</v>
      </c>
    </row>
    <row r="30" spans="2:16">
      <c r="B30" s="111"/>
      <c r="C30" s="121"/>
      <c r="D30" s="13">
        <v>1</v>
      </c>
      <c r="E30" s="157">
        <f t="shared" ref="E30:K30" si="12">E12</f>
        <v>0</v>
      </c>
      <c r="F30" s="157">
        <f t="shared" si="12"/>
        <v>384</v>
      </c>
      <c r="G30" s="157">
        <f t="shared" si="12"/>
        <v>0</v>
      </c>
      <c r="H30" s="157">
        <f t="shared" si="12"/>
        <v>1536</v>
      </c>
      <c r="I30" s="157">
        <f t="shared" si="12"/>
        <v>0</v>
      </c>
      <c r="J30" s="157">
        <f t="shared" si="12"/>
        <v>0</v>
      </c>
      <c r="K30" s="157">
        <f t="shared" ref="K30:P30" si="13">K12</f>
        <v>9984</v>
      </c>
      <c r="L30" s="75">
        <f t="shared" si="13"/>
        <v>0</v>
      </c>
      <c r="M30" s="75">
        <f t="shared" si="13"/>
        <v>14592</v>
      </c>
      <c r="N30" s="75">
        <f t="shared" si="13"/>
        <v>25344</v>
      </c>
      <c r="O30" s="100">
        <f t="shared" si="13"/>
        <v>15000</v>
      </c>
      <c r="P30" s="100">
        <f t="shared" si="13"/>
        <v>14000</v>
      </c>
    </row>
    <row r="31" spans="2:16">
      <c r="B31" s="111"/>
      <c r="C31" s="121"/>
      <c r="D31" s="13">
        <v>2</v>
      </c>
      <c r="E31" s="157">
        <f t="shared" ref="E31:K31" si="14">E13</f>
        <v>0</v>
      </c>
      <c r="F31" s="157">
        <f t="shared" si="14"/>
        <v>384</v>
      </c>
      <c r="G31" s="157">
        <f t="shared" si="14"/>
        <v>0</v>
      </c>
      <c r="H31" s="157">
        <f t="shared" si="14"/>
        <v>0</v>
      </c>
      <c r="I31" s="157">
        <f t="shared" si="14"/>
        <v>0</v>
      </c>
      <c r="J31" s="157">
        <f t="shared" si="14"/>
        <v>0</v>
      </c>
      <c r="K31" s="157">
        <f t="shared" ref="K31:P31" si="15">K13</f>
        <v>11520</v>
      </c>
      <c r="L31" s="75">
        <f t="shared" si="15"/>
        <v>0</v>
      </c>
      <c r="M31" s="75">
        <f t="shared" si="15"/>
        <v>13824</v>
      </c>
      <c r="N31" s="75">
        <f t="shared" si="15"/>
        <v>20736</v>
      </c>
      <c r="O31" s="100">
        <f t="shared" si="15"/>
        <v>11000</v>
      </c>
      <c r="P31" s="100">
        <f t="shared" si="15"/>
        <v>15000</v>
      </c>
    </row>
    <row r="32" spans="2:16">
      <c r="B32" s="111"/>
      <c r="C32" s="121"/>
      <c r="D32" s="13" t="s">
        <v>23</v>
      </c>
      <c r="E32" s="157">
        <f t="shared" ref="E32:K32" si="16">E14</f>
        <v>0</v>
      </c>
      <c r="F32" s="157">
        <f t="shared" si="16"/>
        <v>0</v>
      </c>
      <c r="G32" s="157">
        <f t="shared" si="16"/>
        <v>0</v>
      </c>
      <c r="H32" s="157">
        <f t="shared" si="16"/>
        <v>0</v>
      </c>
      <c r="I32" s="157">
        <f t="shared" si="16"/>
        <v>0</v>
      </c>
      <c r="J32" s="157">
        <f t="shared" si="16"/>
        <v>0</v>
      </c>
      <c r="K32" s="157">
        <f t="shared" ref="K32:P33" si="17">K14</f>
        <v>0</v>
      </c>
      <c r="L32" s="75">
        <f t="shared" si="17"/>
        <v>2304</v>
      </c>
      <c r="M32" s="75">
        <f t="shared" si="17"/>
        <v>1152</v>
      </c>
      <c r="N32" s="75">
        <f t="shared" si="17"/>
        <v>3456</v>
      </c>
      <c r="O32" s="100">
        <f t="shared" si="17"/>
        <v>2000</v>
      </c>
      <c r="P32" s="100">
        <f t="shared" si="17"/>
        <v>1500</v>
      </c>
    </row>
    <row r="33" spans="2:20">
      <c r="B33" s="111"/>
      <c r="C33" s="122"/>
      <c r="D33" s="13" t="s">
        <v>82</v>
      </c>
      <c r="E33" s="157">
        <f t="shared" ref="E33:K33" si="18">E15</f>
        <v>0</v>
      </c>
      <c r="F33" s="157">
        <f t="shared" si="18"/>
        <v>0</v>
      </c>
      <c r="G33" s="157">
        <f t="shared" si="18"/>
        <v>0</v>
      </c>
      <c r="H33" s="157">
        <f t="shared" si="18"/>
        <v>0</v>
      </c>
      <c r="I33" s="157">
        <f t="shared" si="18"/>
        <v>0</v>
      </c>
      <c r="J33" s="157">
        <f t="shared" si="18"/>
        <v>0</v>
      </c>
      <c r="K33" s="157">
        <f t="shared" si="17"/>
        <v>0</v>
      </c>
      <c r="L33" s="75">
        <f t="shared" si="17"/>
        <v>0</v>
      </c>
      <c r="M33" s="75">
        <f t="shared" si="17"/>
        <v>1536</v>
      </c>
      <c r="N33" s="75">
        <f t="shared" si="17"/>
        <v>0</v>
      </c>
      <c r="O33" s="100">
        <f t="shared" si="17"/>
        <v>0</v>
      </c>
      <c r="P33" s="100">
        <f t="shared" si="17"/>
        <v>0</v>
      </c>
    </row>
    <row r="34" spans="2:20">
      <c r="B34" s="111"/>
      <c r="C34" s="123"/>
      <c r="D34" s="14" t="s">
        <v>24</v>
      </c>
      <c r="E34" s="157">
        <f t="shared" ref="E34:K34" si="19">E16</f>
        <v>0</v>
      </c>
      <c r="F34" s="157">
        <f t="shared" si="19"/>
        <v>0</v>
      </c>
      <c r="G34" s="157">
        <f t="shared" si="19"/>
        <v>0</v>
      </c>
      <c r="H34" s="157">
        <f t="shared" si="19"/>
        <v>0</v>
      </c>
      <c r="I34" s="157">
        <f t="shared" si="19"/>
        <v>0</v>
      </c>
      <c r="J34" s="157">
        <f t="shared" si="19"/>
        <v>0</v>
      </c>
      <c r="K34" s="157">
        <f t="shared" ref="K34:P34" si="20">K16</f>
        <v>3024</v>
      </c>
      <c r="L34" s="75">
        <f t="shared" si="20"/>
        <v>0</v>
      </c>
      <c r="M34" s="75">
        <f t="shared" si="20"/>
        <v>2016</v>
      </c>
      <c r="N34" s="75">
        <f t="shared" si="20"/>
        <v>0</v>
      </c>
      <c r="O34" s="100">
        <f t="shared" si="20"/>
        <v>0</v>
      </c>
      <c r="P34" s="100">
        <f t="shared" si="20"/>
        <v>0</v>
      </c>
    </row>
    <row r="35" spans="2:20">
      <c r="B35" s="111"/>
      <c r="C35" s="123"/>
      <c r="D35" s="14" t="s">
        <v>25</v>
      </c>
      <c r="E35" s="157">
        <f t="shared" ref="E35:K35" si="21">E17</f>
        <v>0</v>
      </c>
      <c r="F35" s="157">
        <f t="shared" si="21"/>
        <v>0</v>
      </c>
      <c r="G35" s="157">
        <f t="shared" si="21"/>
        <v>0</v>
      </c>
      <c r="H35" s="157">
        <f t="shared" si="21"/>
        <v>0</v>
      </c>
      <c r="I35" s="157">
        <f t="shared" si="21"/>
        <v>0</v>
      </c>
      <c r="J35" s="157">
        <f t="shared" si="21"/>
        <v>0</v>
      </c>
      <c r="K35" s="157">
        <f t="shared" ref="K35:P35" si="22">K17</f>
        <v>1008</v>
      </c>
      <c r="L35" s="75">
        <f t="shared" si="22"/>
        <v>0</v>
      </c>
      <c r="M35" s="75">
        <f t="shared" si="22"/>
        <v>0</v>
      </c>
      <c r="N35" s="75">
        <f t="shared" si="22"/>
        <v>0</v>
      </c>
      <c r="O35" s="100">
        <f t="shared" si="22"/>
        <v>0</v>
      </c>
      <c r="P35" s="100">
        <f t="shared" si="22"/>
        <v>0</v>
      </c>
    </row>
    <row r="36" spans="2:20">
      <c r="B36" s="111"/>
      <c r="C36" s="103" t="s">
        <v>14</v>
      </c>
      <c r="D36" s="103"/>
      <c r="E36" s="71">
        <f t="shared" ref="E36:J36" si="23">SUM(E25:E35)</f>
        <v>0</v>
      </c>
      <c r="F36" s="71">
        <f t="shared" si="23"/>
        <v>22836</v>
      </c>
      <c r="G36" s="71">
        <f t="shared" si="23"/>
        <v>5940</v>
      </c>
      <c r="H36" s="71">
        <f t="shared" si="23"/>
        <v>14592</v>
      </c>
      <c r="I36" s="71">
        <f t="shared" si="23"/>
        <v>15402</v>
      </c>
      <c r="J36" s="71">
        <f t="shared" si="23"/>
        <v>13824</v>
      </c>
      <c r="K36" s="71">
        <f t="shared" ref="K36:P36" si="24">SUM(K25:K35)</f>
        <v>35316</v>
      </c>
      <c r="L36" s="71">
        <f t="shared" si="24"/>
        <v>33792</v>
      </c>
      <c r="M36" s="71">
        <f t="shared" si="24"/>
        <v>41748</v>
      </c>
      <c r="N36" s="71">
        <f t="shared" si="24"/>
        <v>56628</v>
      </c>
      <c r="O36" s="71">
        <f t="shared" si="24"/>
        <v>40000</v>
      </c>
      <c r="P36" s="71">
        <f t="shared" si="24"/>
        <v>38500</v>
      </c>
    </row>
    <row r="37" spans="2:20">
      <c r="B37" s="111"/>
      <c r="C37" s="103" t="s">
        <v>72</v>
      </c>
      <c r="D37" s="103"/>
      <c r="E37" s="71">
        <f>단가!D50</f>
        <v>0</v>
      </c>
      <c r="F37" s="71">
        <f>단가!E50</f>
        <v>330394.80000000005</v>
      </c>
      <c r="G37" s="71">
        <f>단가!F50</f>
        <v>84942</v>
      </c>
      <c r="H37" s="71">
        <f>단가!G50</f>
        <v>423859.20000000001</v>
      </c>
      <c r="I37" s="71">
        <f>단가!H50</f>
        <v>526771.19999999995</v>
      </c>
      <c r="J37" s="71">
        <f>단가!I50</f>
        <v>420019.19999999995</v>
      </c>
      <c r="K37" s="71">
        <f>단가!J50</f>
        <v>607272.95999999985</v>
      </c>
      <c r="L37" s="71">
        <f>단가!K50</f>
        <v>499123.1999999999</v>
      </c>
      <c r="M37" s="71">
        <f>단가!L50</f>
        <v>758830.67999999993</v>
      </c>
      <c r="N37" s="71">
        <f>단가!M50</f>
        <v>1262478</v>
      </c>
      <c r="O37" s="71">
        <f>단가!N50</f>
        <v>755800</v>
      </c>
      <c r="P37" s="71">
        <f>단가!O50</f>
        <v>745900</v>
      </c>
    </row>
    <row r="38" spans="2:20">
      <c r="B38" s="106"/>
      <c r="C38" s="103" t="s">
        <v>17</v>
      </c>
      <c r="D38" s="103"/>
      <c r="E38" s="71">
        <f>단가!D51</f>
        <v>0</v>
      </c>
      <c r="F38" s="71">
        <f>단가!E51</f>
        <v>481312536.74400008</v>
      </c>
      <c r="G38" s="71">
        <f>단가!F51</f>
        <v>123741806.75999999</v>
      </c>
      <c r="H38" s="71">
        <f>단가!G51</f>
        <v>617469605.37600005</v>
      </c>
      <c r="I38" s="71">
        <f>단가!H51</f>
        <v>767389748.73599994</v>
      </c>
      <c r="J38" s="71">
        <f>단가!I51</f>
        <v>611875570.17599988</v>
      </c>
      <c r="K38" s="71">
        <f>단가!J51</f>
        <v>884663102.66879976</v>
      </c>
      <c r="L38" s="71">
        <f>단가!K51</f>
        <v>727112695.29599988</v>
      </c>
      <c r="M38" s="71">
        <f>단가!L51</f>
        <v>1105449358.0103998</v>
      </c>
      <c r="N38" s="71">
        <f>단가!M51</f>
        <v>1839152700.8399999</v>
      </c>
      <c r="O38" s="71">
        <f>단가!N51</f>
        <v>1101034324</v>
      </c>
      <c r="P38" s="71">
        <f>단가!O51</f>
        <v>1086612202</v>
      </c>
    </row>
    <row r="39" spans="2:20">
      <c r="B39" s="72"/>
      <c r="C39" s="73"/>
      <c r="D39" s="73"/>
      <c r="E39" s="73"/>
      <c r="F39" s="73"/>
      <c r="G39" s="73"/>
      <c r="H39" s="73"/>
      <c r="I39" s="73"/>
      <c r="J39" s="73"/>
    </row>
    <row r="40" spans="2:20">
      <c r="B40" s="72"/>
      <c r="C40" s="73"/>
      <c r="D40" s="73"/>
      <c r="E40" s="73"/>
      <c r="F40" s="73"/>
      <c r="G40" s="73"/>
      <c r="H40" s="73"/>
      <c r="I40" s="73"/>
      <c r="J40" s="73"/>
      <c r="K40" s="74"/>
      <c r="L40" s="74"/>
      <c r="M40" s="74"/>
      <c r="N40" s="74"/>
      <c r="O40" s="74"/>
      <c r="P40" s="74"/>
      <c r="Q40" s="74"/>
      <c r="R40" s="74"/>
      <c r="S40" s="74"/>
      <c r="T40" s="74"/>
    </row>
    <row r="41" spans="2:20">
      <c r="B41" s="72"/>
      <c r="C41" s="73"/>
      <c r="D41" s="73"/>
      <c r="E41" s="73"/>
      <c r="F41" s="73"/>
      <c r="G41" s="73"/>
      <c r="H41" s="73"/>
      <c r="I41" s="73"/>
      <c r="J41" s="73"/>
      <c r="K41" s="74"/>
      <c r="L41" s="74"/>
      <c r="M41" s="74"/>
      <c r="N41" s="74"/>
      <c r="O41" s="74"/>
      <c r="P41" s="74"/>
      <c r="Q41" s="74"/>
      <c r="R41" s="74"/>
      <c r="S41" s="74"/>
      <c r="T41" s="74"/>
    </row>
    <row r="42" spans="2:20" ht="18" customHeight="1">
      <c r="B42" s="44" t="s">
        <v>62</v>
      </c>
      <c r="E42" s="42">
        <v>0</v>
      </c>
      <c r="F42" s="5"/>
      <c r="G42" s="5"/>
      <c r="H42" s="43">
        <v>0</v>
      </c>
      <c r="I42" s="5"/>
      <c r="J42" s="5"/>
      <c r="K42" s="42">
        <v>2159000</v>
      </c>
      <c r="L42" s="5"/>
      <c r="M42" s="5"/>
      <c r="N42" s="43">
        <v>2160000</v>
      </c>
      <c r="O42" s="5"/>
      <c r="P42" s="5"/>
    </row>
    <row r="43" spans="2:20">
      <c r="B43" s="104"/>
      <c r="C43" s="104"/>
      <c r="D43" s="104"/>
      <c r="E43" s="67" t="s">
        <v>94</v>
      </c>
      <c r="F43" s="67" t="s">
        <v>88</v>
      </c>
      <c r="G43" s="67" t="s">
        <v>89</v>
      </c>
      <c r="H43" s="67" t="s">
        <v>90</v>
      </c>
      <c r="I43" s="67" t="s">
        <v>91</v>
      </c>
      <c r="J43" s="67" t="s">
        <v>92</v>
      </c>
      <c r="K43" s="67" t="s">
        <v>3</v>
      </c>
      <c r="L43" s="67" t="s">
        <v>4</v>
      </c>
      <c r="M43" s="67" t="s">
        <v>5</v>
      </c>
      <c r="N43" s="67" t="s">
        <v>16</v>
      </c>
      <c r="O43" s="67" t="s">
        <v>7</v>
      </c>
      <c r="P43" s="67" t="s">
        <v>8</v>
      </c>
    </row>
    <row r="44" spans="2:20" ht="17.25" customHeight="1">
      <c r="B44" s="105"/>
      <c r="C44" s="103" t="s">
        <v>72</v>
      </c>
      <c r="D44" s="103"/>
      <c r="E44" s="67"/>
      <c r="F44" s="67"/>
      <c r="G44" s="67"/>
      <c r="H44" s="67"/>
      <c r="I44" s="67"/>
      <c r="J44" s="67"/>
      <c r="K44" s="78">
        <f>$K$42/3</f>
        <v>719666.66666666663</v>
      </c>
      <c r="L44" s="78">
        <f>$K$42/3</f>
        <v>719666.66666666663</v>
      </c>
      <c r="M44" s="78">
        <f>$K$42/3</f>
        <v>719666.66666666663</v>
      </c>
      <c r="N44" s="78">
        <f>$N$42/3</f>
        <v>720000</v>
      </c>
      <c r="O44" s="78">
        <f>$N$42/3</f>
        <v>720000</v>
      </c>
      <c r="P44" s="78">
        <f>$N$42/3</f>
        <v>720000</v>
      </c>
    </row>
    <row r="45" spans="2:20">
      <c r="B45" s="106"/>
      <c r="C45" s="107" t="s">
        <v>17</v>
      </c>
      <c r="D45" s="108"/>
      <c r="E45" s="101"/>
      <c r="F45" s="101"/>
      <c r="G45" s="101"/>
      <c r="H45" s="101"/>
      <c r="I45" s="101"/>
      <c r="J45" s="101"/>
      <c r="K45" s="78">
        <f>K44*단가!$F$2</f>
        <v>1048396006.6666666</v>
      </c>
      <c r="L45" s="78">
        <f>L44*단가!$F$2</f>
        <v>1048396006.6666666</v>
      </c>
      <c r="M45" s="78">
        <f>M44*단가!$F$2</f>
        <v>1048396006.6666666</v>
      </c>
      <c r="N45" s="78">
        <f>N44*단가!$F$2</f>
        <v>1048881600</v>
      </c>
      <c r="O45" s="78">
        <f>O44*단가!$F$2</f>
        <v>1048881600</v>
      </c>
      <c r="P45" s="78">
        <f>P44*단가!$F$2</f>
        <v>1048881600</v>
      </c>
    </row>
    <row r="46" spans="2:20">
      <c r="E46" s="79"/>
      <c r="F46" s="80"/>
    </row>
    <row r="47" spans="2:20" ht="17.25">
      <c r="B47" s="44" t="s">
        <v>63</v>
      </c>
      <c r="E47" s="79"/>
      <c r="F47" s="80"/>
      <c r="O47" s="97" t="s">
        <v>78</v>
      </c>
    </row>
    <row r="48" spans="2:20" ht="17.25">
      <c r="B48" s="44"/>
      <c r="C48" s="81" t="s">
        <v>79</v>
      </c>
      <c r="D48" s="81" t="s">
        <v>94</v>
      </c>
      <c r="E48" s="81" t="s">
        <v>88</v>
      </c>
      <c r="F48" s="81" t="s">
        <v>89</v>
      </c>
      <c r="G48" s="81" t="s">
        <v>90</v>
      </c>
      <c r="H48" s="81" t="s">
        <v>91</v>
      </c>
      <c r="I48" s="81" t="s">
        <v>92</v>
      </c>
      <c r="J48" s="81" t="s">
        <v>3</v>
      </c>
      <c r="K48" s="81" t="s">
        <v>4</v>
      </c>
      <c r="L48" s="81" t="s">
        <v>5</v>
      </c>
      <c r="M48" s="81" t="s">
        <v>16</v>
      </c>
      <c r="N48" s="81" t="s">
        <v>7</v>
      </c>
      <c r="O48" s="81" t="s">
        <v>8</v>
      </c>
    </row>
    <row r="49" spans="2:16">
      <c r="B49" s="81"/>
      <c r="C49" s="81" t="s">
        <v>80</v>
      </c>
      <c r="D49" s="81" t="s">
        <v>90</v>
      </c>
      <c r="E49" s="81" t="s">
        <v>91</v>
      </c>
      <c r="F49" s="81" t="s">
        <v>92</v>
      </c>
      <c r="G49" s="81" t="s">
        <v>74</v>
      </c>
      <c r="H49" s="81" t="s">
        <v>75</v>
      </c>
      <c r="I49" s="81" t="s">
        <v>93</v>
      </c>
      <c r="J49" s="81" t="s">
        <v>16</v>
      </c>
      <c r="K49" s="81" t="s">
        <v>7</v>
      </c>
      <c r="L49" s="81" t="s">
        <v>8</v>
      </c>
      <c r="M49" s="81" t="s">
        <v>9</v>
      </c>
      <c r="N49" s="81" t="s">
        <v>10</v>
      </c>
      <c r="O49" s="81" t="s">
        <v>11</v>
      </c>
    </row>
    <row r="50" spans="2:16">
      <c r="B50" s="152" t="s">
        <v>65</v>
      </c>
      <c r="C50" s="152"/>
      <c r="D50" s="153"/>
      <c r="E50" s="153"/>
      <c r="F50" s="153"/>
      <c r="G50" s="153"/>
      <c r="H50" s="153"/>
      <c r="I50" s="153"/>
      <c r="J50" s="154">
        <f>$K$42/3</f>
        <v>719666.66666666663</v>
      </c>
      <c r="K50" s="82">
        <f>$K$42/3</f>
        <v>719666.66666666663</v>
      </c>
      <c r="L50" s="82">
        <f>$K$42/3</f>
        <v>719666.66666666663</v>
      </c>
      <c r="M50" s="82">
        <f>+$N$42/3</f>
        <v>720000</v>
      </c>
      <c r="N50" s="82">
        <f>+$N$42/3</f>
        <v>720000</v>
      </c>
      <c r="O50" s="82">
        <f>+$N$42/3</f>
        <v>720000</v>
      </c>
    </row>
    <row r="51" spans="2:16">
      <c r="B51" s="152" t="s">
        <v>64</v>
      </c>
      <c r="C51" s="152"/>
      <c r="D51" s="154">
        <f t="shared" ref="D51:J51" si="25">E19</f>
        <v>0</v>
      </c>
      <c r="E51" s="154">
        <f t="shared" si="25"/>
        <v>330394.80000000005</v>
      </c>
      <c r="F51" s="154">
        <f t="shared" si="25"/>
        <v>84942</v>
      </c>
      <c r="G51" s="154">
        <f t="shared" si="25"/>
        <v>423859.20000000001</v>
      </c>
      <c r="H51" s="154">
        <f t="shared" si="25"/>
        <v>526771.19999999995</v>
      </c>
      <c r="I51" s="154">
        <f t="shared" si="25"/>
        <v>420019.19999999995</v>
      </c>
      <c r="J51" s="154">
        <f>K19</f>
        <v>607272.95999999985</v>
      </c>
      <c r="K51" s="82">
        <f>L19</f>
        <v>499123.1999999999</v>
      </c>
      <c r="L51" s="82">
        <f>M19</f>
        <v>758830.67999999993</v>
      </c>
      <c r="M51" s="82">
        <f>N19</f>
        <v>1262478</v>
      </c>
      <c r="N51" s="82">
        <f>O19</f>
        <v>755800</v>
      </c>
      <c r="O51" s="82">
        <f>P19</f>
        <v>745900</v>
      </c>
    </row>
    <row r="52" spans="2:16">
      <c r="B52" s="152" t="s">
        <v>0</v>
      </c>
      <c r="C52" s="152"/>
      <c r="D52" s="83">
        <f t="shared" ref="D52:I52" si="26">D51-D50</f>
        <v>0</v>
      </c>
      <c r="E52" s="83">
        <f t="shared" si="26"/>
        <v>330394.80000000005</v>
      </c>
      <c r="F52" s="83">
        <f t="shared" si="26"/>
        <v>84942</v>
      </c>
      <c r="G52" s="83">
        <f t="shared" si="26"/>
        <v>423859.20000000001</v>
      </c>
      <c r="H52" s="83">
        <f t="shared" si="26"/>
        <v>526771.19999999995</v>
      </c>
      <c r="I52" s="83">
        <f t="shared" si="26"/>
        <v>420019.19999999995</v>
      </c>
      <c r="J52" s="83">
        <f>J51-J50</f>
        <v>-112393.70666666678</v>
      </c>
      <c r="K52" s="83">
        <f t="shared" ref="K52:O52" si="27">K51-K50</f>
        <v>-220543.46666666673</v>
      </c>
      <c r="L52" s="83">
        <f t="shared" si="27"/>
        <v>39164.013333333307</v>
      </c>
      <c r="M52" s="83">
        <f t="shared" si="27"/>
        <v>542478</v>
      </c>
      <c r="N52" s="83">
        <f t="shared" si="27"/>
        <v>35800</v>
      </c>
      <c r="O52" s="83">
        <f t="shared" si="27"/>
        <v>25900</v>
      </c>
      <c r="P52" s="97"/>
    </row>
    <row r="53" spans="2:16">
      <c r="D53" s="97"/>
    </row>
    <row r="54" spans="2:16">
      <c r="F54" s="97" t="s">
        <v>78</v>
      </c>
    </row>
    <row r="55" spans="2:16">
      <c r="B55" s="45"/>
      <c r="C55" s="45" t="s">
        <v>97</v>
      </c>
      <c r="D55" s="45" t="s">
        <v>98</v>
      </c>
      <c r="E55" s="45" t="s">
        <v>58</v>
      </c>
      <c r="F55" s="45" t="s">
        <v>59</v>
      </c>
    </row>
    <row r="56" spans="2:16">
      <c r="B56" s="45" t="s">
        <v>65</v>
      </c>
      <c r="C56" s="46">
        <f t="shared" ref="C56:D56" si="28">I42</f>
        <v>0</v>
      </c>
      <c r="D56" s="46">
        <f t="shared" si="28"/>
        <v>0</v>
      </c>
      <c r="E56" s="46">
        <f>K42</f>
        <v>2159000</v>
      </c>
      <c r="F56" s="46">
        <f>N42</f>
        <v>2160000</v>
      </c>
    </row>
    <row r="57" spans="2:16">
      <c r="B57" s="45" t="s">
        <v>64</v>
      </c>
      <c r="C57" s="46">
        <f>+D51+E51+F51</f>
        <v>415336.80000000005</v>
      </c>
      <c r="D57" s="46">
        <f>+I51+H51+G51</f>
        <v>1370649.5999999999</v>
      </c>
      <c r="E57" s="46">
        <f>+J51+K51+L51</f>
        <v>1865226.8399999996</v>
      </c>
      <c r="F57" s="46">
        <f>+M51+N51+O51</f>
        <v>2764178</v>
      </c>
    </row>
    <row r="58" spans="2:16">
      <c r="B58" s="45" t="s">
        <v>0</v>
      </c>
      <c r="C58" s="47">
        <f t="shared" ref="C58:D58" si="29">C57-C56</f>
        <v>415336.80000000005</v>
      </c>
      <c r="D58" s="47">
        <f t="shared" si="29"/>
        <v>1370649.5999999999</v>
      </c>
      <c r="E58" s="47">
        <f>E57-E56</f>
        <v>-293773.16000000038</v>
      </c>
      <c r="F58" s="47">
        <f>F57-F56</f>
        <v>604178</v>
      </c>
    </row>
    <row r="63" spans="2:16">
      <c r="H63" s="80"/>
    </row>
    <row r="64" spans="2:16">
      <c r="H64" s="85"/>
      <c r="J64" s="84"/>
    </row>
  </sheetData>
  <mergeCells count="24">
    <mergeCell ref="B50:C50"/>
    <mergeCell ref="B51:C51"/>
    <mergeCell ref="B52:C52"/>
    <mergeCell ref="B43:D43"/>
    <mergeCell ref="B44:B45"/>
    <mergeCell ref="C44:D44"/>
    <mergeCell ref="C45:D45"/>
    <mergeCell ref="C16:C17"/>
    <mergeCell ref="C25:C28"/>
    <mergeCell ref="C34:C35"/>
    <mergeCell ref="B23:D23"/>
    <mergeCell ref="B24:D24"/>
    <mergeCell ref="B25:B38"/>
    <mergeCell ref="C36:D36"/>
    <mergeCell ref="C37:D37"/>
    <mergeCell ref="C38:D38"/>
    <mergeCell ref="C29:C33"/>
    <mergeCell ref="B4:D4"/>
    <mergeCell ref="B5:B20"/>
    <mergeCell ref="C5:C10"/>
    <mergeCell ref="C18:D18"/>
    <mergeCell ref="C19:D19"/>
    <mergeCell ref="C20:D20"/>
    <mergeCell ref="C11:C15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7CD69-B05A-476F-A04D-96842678BF76}">
  <dimension ref="A3:AD50"/>
  <sheetViews>
    <sheetView workbookViewId="0">
      <selection activeCell="E40" sqref="E40:P49"/>
    </sheetView>
  </sheetViews>
  <sheetFormatPr defaultRowHeight="16.5"/>
  <cols>
    <col min="5" max="5" width="10.875" bestFit="1" customWidth="1"/>
  </cols>
  <sheetData>
    <row r="3" spans="1:30" hidden="1">
      <c r="A3" s="119" t="s">
        <v>1</v>
      </c>
      <c r="B3" s="119"/>
      <c r="C3" s="119"/>
      <c r="D3" s="11" t="s">
        <v>7</v>
      </c>
      <c r="E3" s="11" t="s">
        <v>8</v>
      </c>
      <c r="F3" s="11" t="s">
        <v>9</v>
      </c>
      <c r="G3" s="11" t="s">
        <v>10</v>
      </c>
      <c r="H3" s="11" t="s">
        <v>11</v>
      </c>
      <c r="I3" s="11" t="s">
        <v>18</v>
      </c>
      <c r="J3" s="11" t="s">
        <v>19</v>
      </c>
      <c r="K3" s="11" t="s">
        <v>2</v>
      </c>
      <c r="L3" s="11" t="s">
        <v>3</v>
      </c>
      <c r="M3" s="11" t="s">
        <v>4</v>
      </c>
      <c r="N3" s="11" t="s">
        <v>5</v>
      </c>
      <c r="O3" s="11" t="s">
        <v>6</v>
      </c>
      <c r="P3" s="11" t="s">
        <v>7</v>
      </c>
      <c r="Q3" s="11" t="s">
        <v>8</v>
      </c>
      <c r="R3" s="11" t="s">
        <v>9</v>
      </c>
      <c r="S3" s="11" t="s">
        <v>10</v>
      </c>
      <c r="T3" s="11" t="s">
        <v>11</v>
      </c>
      <c r="U3" s="11" t="s">
        <v>18</v>
      </c>
      <c r="V3" s="11" t="s">
        <v>19</v>
      </c>
      <c r="W3" s="49" t="s">
        <v>2</v>
      </c>
      <c r="X3" s="49" t="s">
        <v>3</v>
      </c>
      <c r="Y3" s="49" t="s">
        <v>4</v>
      </c>
      <c r="Z3" s="11" t="s">
        <v>5</v>
      </c>
    </row>
    <row r="4" spans="1:30" ht="17.25" hidden="1" customHeight="1">
      <c r="A4" s="128" t="s">
        <v>26</v>
      </c>
      <c r="B4" s="119" t="s">
        <v>12</v>
      </c>
      <c r="C4" s="10" t="s">
        <v>22</v>
      </c>
      <c r="D4" s="12">
        <v>6</v>
      </c>
      <c r="E4" s="12">
        <v>88</v>
      </c>
      <c r="F4" s="12">
        <v>67</v>
      </c>
      <c r="G4" s="12">
        <v>150</v>
      </c>
      <c r="H4" s="12">
        <v>250</v>
      </c>
      <c r="I4" s="12">
        <v>377</v>
      </c>
      <c r="J4" s="12">
        <v>342</v>
      </c>
      <c r="K4" s="12">
        <v>302</v>
      </c>
      <c r="L4" s="12">
        <v>565</v>
      </c>
      <c r="M4" s="12">
        <v>470</v>
      </c>
      <c r="N4" s="12">
        <v>711</v>
      </c>
      <c r="O4" s="61">
        <v>533.9</v>
      </c>
      <c r="P4" s="61">
        <v>550.04999999999995</v>
      </c>
      <c r="Q4" s="58">
        <v>643.68000000000006</v>
      </c>
      <c r="R4" s="52">
        <f t="shared" ref="R4:Z4" si="0">Q4+(R18*Q4)</f>
        <v>662.55009771986977</v>
      </c>
      <c r="S4" s="52">
        <f t="shared" si="0"/>
        <v>682.43706747765418</v>
      </c>
      <c r="T4" s="52">
        <f t="shared" si="0"/>
        <v>699.26140196092456</v>
      </c>
      <c r="U4" s="52">
        <f t="shared" si="0"/>
        <v>720.23924401975228</v>
      </c>
      <c r="V4" s="52">
        <f t="shared" si="0"/>
        <v>741.84642134034482</v>
      </c>
      <c r="W4" s="52">
        <f t="shared" si="0"/>
        <v>764.10181398055511</v>
      </c>
      <c r="X4" s="52">
        <f t="shared" si="0"/>
        <v>794.66588653977726</v>
      </c>
      <c r="Y4" s="52">
        <f t="shared" si="0"/>
        <v>818.50586313597057</v>
      </c>
      <c r="Z4" s="52">
        <f t="shared" si="0"/>
        <v>843.06103903004964</v>
      </c>
      <c r="AA4" s="60">
        <f>Q4*0.1</f>
        <v>64.368000000000009</v>
      </c>
      <c r="AB4" s="60">
        <f>Q4-AA4</f>
        <v>579.31200000000001</v>
      </c>
      <c r="AD4" s="60"/>
    </row>
    <row r="5" spans="1:30" ht="17.25" hidden="1" customHeight="1">
      <c r="A5" s="128"/>
      <c r="B5" s="119"/>
      <c r="C5" s="10">
        <v>1</v>
      </c>
      <c r="D5" s="12">
        <v>22</v>
      </c>
      <c r="E5" s="12">
        <v>138</v>
      </c>
      <c r="F5" s="12">
        <v>316</v>
      </c>
      <c r="G5" s="12">
        <v>832</v>
      </c>
      <c r="H5" s="3">
        <v>1229</v>
      </c>
      <c r="I5" s="3">
        <v>1014</v>
      </c>
      <c r="J5" s="12">
        <v>933</v>
      </c>
      <c r="K5" s="12">
        <v>743</v>
      </c>
      <c r="L5" s="12">
        <v>744</v>
      </c>
      <c r="M5" s="12">
        <v>700</v>
      </c>
      <c r="N5" s="12">
        <v>711</v>
      </c>
      <c r="O5" s="61">
        <v>587.1</v>
      </c>
      <c r="P5" s="61">
        <v>589.95000000000005</v>
      </c>
      <c r="Q5" s="58">
        <v>677.16</v>
      </c>
      <c r="R5" s="52">
        <f t="shared" ref="R5:Z5" si="1">Q5+(R19*Q5)</f>
        <v>687.79045525902666</v>
      </c>
      <c r="S5" s="52">
        <f t="shared" si="1"/>
        <v>700.50769017907032</v>
      </c>
      <c r="T5" s="52">
        <f t="shared" si="1"/>
        <v>721.44962411566439</v>
      </c>
      <c r="U5" s="52">
        <f t="shared" si="1"/>
        <v>743.09311283913428</v>
      </c>
      <c r="V5" s="52">
        <f t="shared" si="1"/>
        <v>765.38590622430831</v>
      </c>
      <c r="W5" s="52">
        <f t="shared" si="1"/>
        <v>788.34748341103762</v>
      </c>
      <c r="X5" s="52">
        <f t="shared" si="1"/>
        <v>819.88138274747917</v>
      </c>
      <c r="Y5" s="52">
        <f t="shared" si="1"/>
        <v>844.47782422990349</v>
      </c>
      <c r="Z5" s="52">
        <f t="shared" si="1"/>
        <v>869.81215895680054</v>
      </c>
      <c r="AA5" s="60">
        <f t="shared" ref="AA5:AA7" si="2">Q5*0.1</f>
        <v>67.715999999999994</v>
      </c>
      <c r="AB5" s="60">
        <f t="shared" ref="AB5:AB7" si="3">Q5-AA5</f>
        <v>609.44399999999996</v>
      </c>
      <c r="AC5" s="60"/>
      <c r="AD5" s="60"/>
    </row>
    <row r="6" spans="1:30" hidden="1">
      <c r="A6" s="128"/>
      <c r="B6" s="119"/>
      <c r="C6" s="10">
        <v>2</v>
      </c>
      <c r="D6" s="12">
        <v>10</v>
      </c>
      <c r="E6" s="12">
        <v>68</v>
      </c>
      <c r="F6" s="12">
        <v>161</v>
      </c>
      <c r="G6" s="12">
        <v>275</v>
      </c>
      <c r="H6" s="12">
        <v>761</v>
      </c>
      <c r="I6" s="12">
        <v>743</v>
      </c>
      <c r="J6" s="3">
        <v>1467</v>
      </c>
      <c r="K6" s="12">
        <v>1179</v>
      </c>
      <c r="L6" s="3">
        <v>1336</v>
      </c>
      <c r="M6" s="3">
        <v>1178</v>
      </c>
      <c r="N6" s="3">
        <v>1026</v>
      </c>
      <c r="O6" s="62">
        <v>1583.65</v>
      </c>
      <c r="P6" s="62">
        <v>1615.95</v>
      </c>
      <c r="Q6" s="59">
        <v>1873.8</v>
      </c>
      <c r="R6" s="52">
        <f t="shared" ref="R6:Z6" si="4">Q6+(R20*Q6)</f>
        <v>1910.8525423728813</v>
      </c>
      <c r="S6" s="52">
        <f t="shared" si="4"/>
        <v>1966.406675530184</v>
      </c>
      <c r="T6" s="52">
        <f t="shared" si="4"/>
        <v>2022.9788441389373</v>
      </c>
      <c r="U6" s="52">
        <f t="shared" si="4"/>
        <v>2083.6682094631055</v>
      </c>
      <c r="V6" s="52">
        <f t="shared" si="4"/>
        <v>2146.1782557469987</v>
      </c>
      <c r="W6" s="52">
        <f t="shared" si="4"/>
        <v>2253.4871685343487</v>
      </c>
      <c r="X6" s="52">
        <f t="shared" si="4"/>
        <v>2411.231270331753</v>
      </c>
      <c r="Y6" s="52">
        <f t="shared" si="4"/>
        <v>2652.3543973649284</v>
      </c>
      <c r="Z6" s="52">
        <f t="shared" si="4"/>
        <v>2970.6369250487196</v>
      </c>
      <c r="AA6" s="60">
        <f t="shared" si="2"/>
        <v>187.38</v>
      </c>
      <c r="AB6" s="60">
        <f t="shared" si="3"/>
        <v>1686.42</v>
      </c>
      <c r="AC6" s="60"/>
      <c r="AD6" s="60"/>
    </row>
    <row r="7" spans="1:30" hidden="1">
      <c r="A7" s="128"/>
      <c r="B7" s="119"/>
      <c r="C7" s="10">
        <v>3</v>
      </c>
      <c r="D7" s="12">
        <v>0</v>
      </c>
      <c r="E7" s="12">
        <v>4</v>
      </c>
      <c r="F7" s="12">
        <v>8</v>
      </c>
      <c r="G7" s="12">
        <v>24</v>
      </c>
      <c r="H7" s="12">
        <v>232</v>
      </c>
      <c r="I7" s="12">
        <v>207</v>
      </c>
      <c r="J7" s="12">
        <v>358</v>
      </c>
      <c r="K7" s="12">
        <v>105</v>
      </c>
      <c r="L7" s="12">
        <v>86</v>
      </c>
      <c r="M7" s="12">
        <v>94</v>
      </c>
      <c r="N7" s="12">
        <v>86</v>
      </c>
      <c r="O7" s="61">
        <v>88.35</v>
      </c>
      <c r="P7" s="61">
        <v>91.2</v>
      </c>
      <c r="Q7" s="58">
        <v>106.92</v>
      </c>
      <c r="R7" s="52">
        <f t="shared" ref="R7:Z7" si="5">Q7+(R21*Q7)</f>
        <v>110.06470588235294</v>
      </c>
      <c r="S7" s="52">
        <f t="shared" si="5"/>
        <v>113.20941176470588</v>
      </c>
      <c r="T7" s="52">
        <f t="shared" si="5"/>
        <v>116.35411764705881</v>
      </c>
      <c r="U7" s="52">
        <f t="shared" si="5"/>
        <v>119.84474117647058</v>
      </c>
      <c r="V7" s="52">
        <f t="shared" si="5"/>
        <v>123.44008341176469</v>
      </c>
      <c r="W7" s="52">
        <f t="shared" si="5"/>
        <v>132.08088925058823</v>
      </c>
      <c r="X7" s="52">
        <f t="shared" si="5"/>
        <v>145.28897817564706</v>
      </c>
      <c r="Y7" s="52">
        <f t="shared" si="5"/>
        <v>154.00631686618587</v>
      </c>
      <c r="Z7" s="52">
        <f t="shared" si="5"/>
        <v>161.70663270949515</v>
      </c>
      <c r="AA7" s="60">
        <f t="shared" si="2"/>
        <v>10.692</v>
      </c>
      <c r="AB7" s="60">
        <f t="shared" si="3"/>
        <v>96.228000000000009</v>
      </c>
      <c r="AC7" s="60"/>
      <c r="AD7" s="60"/>
    </row>
    <row r="8" spans="1:30" hidden="1">
      <c r="A8" s="128"/>
      <c r="B8" s="129" t="s">
        <v>13</v>
      </c>
      <c r="C8" s="13" t="s">
        <v>22</v>
      </c>
      <c r="D8" s="12">
        <v>184</v>
      </c>
      <c r="E8" s="3">
        <v>1248</v>
      </c>
      <c r="F8" s="3">
        <v>1712</v>
      </c>
      <c r="G8" s="3">
        <v>2254</v>
      </c>
      <c r="H8" s="3">
        <v>3248</v>
      </c>
      <c r="I8" s="3">
        <v>4757</v>
      </c>
      <c r="J8" s="3">
        <v>3703</v>
      </c>
      <c r="K8" s="12">
        <v>5085</v>
      </c>
      <c r="L8" s="3">
        <v>4611</v>
      </c>
      <c r="M8" s="3">
        <v>5026</v>
      </c>
      <c r="N8" s="3">
        <v>4541</v>
      </c>
      <c r="O8" s="62">
        <v>4922.8999999999996</v>
      </c>
      <c r="P8" s="62">
        <v>5071.1000000000004</v>
      </c>
      <c r="Q8" s="59">
        <v>6597.6</v>
      </c>
      <c r="R8" s="52">
        <f t="shared" ref="R8:Z8" si="6">Q8+(R22*Q8)</f>
        <v>6789.8309729825178</v>
      </c>
      <c r="S8" s="52">
        <f t="shared" si="6"/>
        <v>6987.717354845543</v>
      </c>
      <c r="T8" s="52">
        <f t="shared" si="6"/>
        <v>7168.5951420868687</v>
      </c>
      <c r="U8" s="52">
        <f t="shared" si="6"/>
        <v>7383.652996349475</v>
      </c>
      <c r="V8" s="52">
        <f t="shared" si="6"/>
        <v>7605.1625862399596</v>
      </c>
      <c r="W8" s="52">
        <f t="shared" si="6"/>
        <v>7833.3174638271585</v>
      </c>
      <c r="X8" s="52">
        <f t="shared" si="6"/>
        <v>8303.316511656787</v>
      </c>
      <c r="Y8" s="52">
        <f t="shared" si="6"/>
        <v>8718.4823372396258</v>
      </c>
      <c r="Z8" s="52">
        <f t="shared" si="6"/>
        <v>8980.0368073568152</v>
      </c>
      <c r="AA8" s="60"/>
      <c r="AC8" s="60"/>
      <c r="AD8" s="60"/>
    </row>
    <row r="9" spans="1:30" hidden="1">
      <c r="A9" s="128"/>
      <c r="B9" s="129"/>
      <c r="C9" s="13">
        <v>1</v>
      </c>
      <c r="D9" s="12">
        <v>258</v>
      </c>
      <c r="E9" s="3">
        <v>1350</v>
      </c>
      <c r="F9" s="3">
        <v>1896</v>
      </c>
      <c r="G9" s="3">
        <v>4155</v>
      </c>
      <c r="H9" s="3">
        <v>5197</v>
      </c>
      <c r="I9" s="3">
        <v>6023</v>
      </c>
      <c r="J9" s="3">
        <v>5139</v>
      </c>
      <c r="K9" s="12">
        <v>7077</v>
      </c>
      <c r="L9" s="3">
        <v>6977</v>
      </c>
      <c r="M9" s="3">
        <v>8068</v>
      </c>
      <c r="N9" s="3">
        <v>7701</v>
      </c>
      <c r="O9" s="62">
        <v>7876.45</v>
      </c>
      <c r="P9" s="62">
        <v>8113</v>
      </c>
      <c r="Q9" s="59">
        <v>10555.2</v>
      </c>
      <c r="R9" s="52">
        <f t="shared" ref="R9:Z9" si="7">Q9+(R23*Q9)</f>
        <v>10862.768741721855</v>
      </c>
      <c r="S9" s="52">
        <f t="shared" si="7"/>
        <v>11179.386090387559</v>
      </c>
      <c r="T9" s="52">
        <f t="shared" si="7"/>
        <v>11468.789822163772</v>
      </c>
      <c r="U9" s="52">
        <f t="shared" si="7"/>
        <v>11812.853516828685</v>
      </c>
      <c r="V9" s="52">
        <f t="shared" si="7"/>
        <v>12167.239122333545</v>
      </c>
      <c r="W9" s="52">
        <f t="shared" si="7"/>
        <v>12532.256296003552</v>
      </c>
      <c r="X9" s="52">
        <f t="shared" si="7"/>
        <v>13284.191673763766</v>
      </c>
      <c r="Y9" s="52">
        <f t="shared" si="7"/>
        <v>13948.401257451955</v>
      </c>
      <c r="Z9" s="52">
        <f t="shared" si="7"/>
        <v>14366.853295175513</v>
      </c>
      <c r="AA9" s="60"/>
      <c r="AC9" s="60"/>
      <c r="AD9" s="60"/>
    </row>
    <row r="10" spans="1:30" hidden="1">
      <c r="A10" s="128"/>
      <c r="B10" s="129"/>
      <c r="C10" s="13">
        <v>2</v>
      </c>
      <c r="D10" s="12">
        <v>110</v>
      </c>
      <c r="E10" s="12">
        <v>460</v>
      </c>
      <c r="F10" s="12">
        <v>691</v>
      </c>
      <c r="G10" s="3">
        <v>1132</v>
      </c>
      <c r="H10" s="3">
        <v>2328</v>
      </c>
      <c r="I10" s="3">
        <v>2898</v>
      </c>
      <c r="J10" s="3">
        <v>3723</v>
      </c>
      <c r="K10" s="12">
        <v>8699</v>
      </c>
      <c r="L10" s="3">
        <v>11723</v>
      </c>
      <c r="M10" s="3">
        <v>11363</v>
      </c>
      <c r="N10" s="3">
        <v>6506</v>
      </c>
      <c r="O10" s="62">
        <v>8354.2999999999993</v>
      </c>
      <c r="P10" s="62">
        <v>8605.1</v>
      </c>
      <c r="Q10" s="59">
        <v>11196</v>
      </c>
      <c r="R10" s="52">
        <f t="shared" ref="R10:Z10" si="8">Q10+(R24*Q10)</f>
        <v>11522.210197710718</v>
      </c>
      <c r="S10" s="52">
        <f t="shared" si="8"/>
        <v>11857.469496249887</v>
      </c>
      <c r="T10" s="52">
        <f t="shared" si="8"/>
        <v>12165.516332208357</v>
      </c>
      <c r="U10" s="52">
        <f t="shared" si="8"/>
        <v>12530.481822174608</v>
      </c>
      <c r="V10" s="52">
        <f t="shared" si="8"/>
        <v>12906.396276839847</v>
      </c>
      <c r="W10" s="52">
        <f t="shared" si="8"/>
        <v>13293.588165145042</v>
      </c>
      <c r="X10" s="52">
        <f t="shared" si="8"/>
        <v>13692.395810099393</v>
      </c>
      <c r="Y10" s="52">
        <f t="shared" si="8"/>
        <v>14103.167684402375</v>
      </c>
      <c r="Z10" s="52">
        <f t="shared" si="8"/>
        <v>14526.262714934446</v>
      </c>
      <c r="AA10" s="60"/>
      <c r="AC10" s="60"/>
      <c r="AD10" s="60"/>
    </row>
    <row r="11" spans="1:30" hidden="1">
      <c r="A11" s="128"/>
      <c r="B11" s="129"/>
      <c r="C11" s="13" t="s">
        <v>23</v>
      </c>
      <c r="D11" s="12"/>
      <c r="E11" s="12"/>
      <c r="F11" s="12"/>
      <c r="G11" s="12"/>
      <c r="H11" s="12"/>
      <c r="I11" s="12"/>
      <c r="J11" s="12"/>
      <c r="K11" s="12">
        <v>27</v>
      </c>
      <c r="L11" s="12">
        <v>400</v>
      </c>
      <c r="M11" s="12">
        <v>335</v>
      </c>
      <c r="N11" s="12">
        <v>446</v>
      </c>
      <c r="O11" s="61">
        <v>466.45</v>
      </c>
      <c r="P11" s="61">
        <v>513</v>
      </c>
      <c r="Q11" s="58">
        <v>712.8</v>
      </c>
      <c r="R11" s="52">
        <f t="shared" ref="R11:Z11" si="9">Q11+(R25*Q11)</f>
        <v>727.05599999999993</v>
      </c>
      <c r="S11" s="52">
        <f t="shared" si="9"/>
        <v>741.5971199999999</v>
      </c>
      <c r="T11" s="52">
        <f t="shared" si="9"/>
        <v>756.42906239999991</v>
      </c>
      <c r="U11" s="52">
        <f t="shared" si="9"/>
        <v>771.55764364799995</v>
      </c>
      <c r="V11" s="52">
        <f t="shared" si="9"/>
        <v>786.98879652095991</v>
      </c>
      <c r="W11" s="52">
        <f t="shared" si="9"/>
        <v>802.72857245137914</v>
      </c>
      <c r="X11" s="52">
        <f t="shared" si="9"/>
        <v>818.78314390040669</v>
      </c>
      <c r="Y11" s="52">
        <f t="shared" si="9"/>
        <v>835.15880677841483</v>
      </c>
      <c r="Z11" s="52">
        <f t="shared" si="9"/>
        <v>851.86198291398307</v>
      </c>
      <c r="AA11" s="60"/>
      <c r="AC11" s="60"/>
      <c r="AD11" s="60"/>
    </row>
    <row r="12" spans="1:30" hidden="1">
      <c r="A12" s="128"/>
      <c r="B12" s="123"/>
      <c r="C12" s="14" t="s">
        <v>24</v>
      </c>
      <c r="D12" s="15"/>
      <c r="E12" s="15"/>
      <c r="F12" s="15"/>
      <c r="G12" s="15"/>
      <c r="H12" s="15"/>
      <c r="I12" s="15"/>
      <c r="J12" s="15"/>
      <c r="K12" s="16">
        <v>116</v>
      </c>
      <c r="L12" s="15">
        <v>274</v>
      </c>
      <c r="M12" s="12">
        <v>260</v>
      </c>
      <c r="N12" s="12">
        <v>317</v>
      </c>
      <c r="O12" s="61">
        <v>331.55</v>
      </c>
      <c r="P12" s="61">
        <v>364.8</v>
      </c>
      <c r="Q12" s="58">
        <v>506.4</v>
      </c>
      <c r="R12" s="52">
        <f t="shared" ref="R12:Z12" si="10">Q12+(R26*Q12)</f>
        <v>516.52800000000002</v>
      </c>
      <c r="S12" s="52">
        <f t="shared" si="10"/>
        <v>526.85856000000001</v>
      </c>
      <c r="T12" s="52">
        <f t="shared" si="10"/>
        <v>537.3957312</v>
      </c>
      <c r="U12" s="52">
        <f t="shared" si="10"/>
        <v>548.14364582400003</v>
      </c>
      <c r="V12" s="52">
        <f t="shared" si="10"/>
        <v>559.10651874048006</v>
      </c>
      <c r="W12" s="52">
        <f t="shared" si="10"/>
        <v>570.28864911528967</v>
      </c>
      <c r="X12" s="52">
        <f t="shared" si="10"/>
        <v>581.69442209759552</v>
      </c>
      <c r="Y12" s="52">
        <f t="shared" si="10"/>
        <v>593.32831053954737</v>
      </c>
      <c r="Z12" s="52">
        <f t="shared" si="10"/>
        <v>605.19487675033827</v>
      </c>
      <c r="AA12" s="60"/>
      <c r="AC12" s="60"/>
      <c r="AD12" s="60"/>
    </row>
    <row r="13" spans="1:30" hidden="1">
      <c r="A13" s="128"/>
      <c r="B13" s="123"/>
      <c r="C13" s="14" t="s">
        <v>25</v>
      </c>
      <c r="D13" s="15"/>
      <c r="E13" s="15"/>
      <c r="F13" s="15"/>
      <c r="G13" s="15"/>
      <c r="H13" s="15"/>
      <c r="I13" s="15"/>
      <c r="J13" s="15"/>
      <c r="K13" s="16">
        <v>26</v>
      </c>
      <c r="L13" s="15">
        <v>106</v>
      </c>
      <c r="M13" s="12">
        <v>86</v>
      </c>
      <c r="N13" s="12">
        <v>120</v>
      </c>
      <c r="O13" s="61">
        <v>125.4</v>
      </c>
      <c r="P13" s="61">
        <v>137.75</v>
      </c>
      <c r="Q13" s="58">
        <v>192</v>
      </c>
      <c r="R13" s="52">
        <f t="shared" ref="R13:Z13" si="11">Q13+(R27*Q13)</f>
        <v>195.84</v>
      </c>
      <c r="S13" s="52">
        <f t="shared" si="11"/>
        <v>199.7568</v>
      </c>
      <c r="T13" s="52">
        <f t="shared" si="11"/>
        <v>203.751936</v>
      </c>
      <c r="U13" s="52">
        <f t="shared" si="11"/>
        <v>207.82697472000001</v>
      </c>
      <c r="V13" s="52">
        <f t="shared" si="11"/>
        <v>211.9835142144</v>
      </c>
      <c r="W13" s="52">
        <f t="shared" si="11"/>
        <v>216.223184498688</v>
      </c>
      <c r="X13" s="52">
        <f t="shared" si="11"/>
        <v>220.54764818866175</v>
      </c>
      <c r="Y13" s="52">
        <f t="shared" si="11"/>
        <v>224.95860115243499</v>
      </c>
      <c r="Z13" s="52">
        <f t="shared" si="11"/>
        <v>229.45777317548368</v>
      </c>
      <c r="AA13" s="60"/>
      <c r="AC13" s="60"/>
      <c r="AD13" s="60"/>
    </row>
    <row r="14" spans="1:30" hidden="1">
      <c r="A14" s="10"/>
      <c r="B14" s="127" t="s">
        <v>14</v>
      </c>
      <c r="C14" s="127"/>
      <c r="D14" s="17">
        <f t="shared" ref="D14:Y14" si="12">SUM(D4:D13)</f>
        <v>590</v>
      </c>
      <c r="E14" s="17">
        <f t="shared" si="12"/>
        <v>3356</v>
      </c>
      <c r="F14" s="17">
        <f t="shared" si="12"/>
        <v>4851</v>
      </c>
      <c r="G14" s="17">
        <f t="shared" si="12"/>
        <v>8822</v>
      </c>
      <c r="H14" s="17">
        <f t="shared" si="12"/>
        <v>13245</v>
      </c>
      <c r="I14" s="17">
        <f t="shared" si="12"/>
        <v>16019</v>
      </c>
      <c r="J14" s="17">
        <f t="shared" si="12"/>
        <v>15665</v>
      </c>
      <c r="K14" s="17">
        <f t="shared" si="12"/>
        <v>23359</v>
      </c>
      <c r="L14" s="17">
        <f t="shared" si="12"/>
        <v>26822</v>
      </c>
      <c r="M14" s="17">
        <f t="shared" si="12"/>
        <v>27580</v>
      </c>
      <c r="N14" s="17">
        <f t="shared" si="12"/>
        <v>22165</v>
      </c>
      <c r="O14" s="17">
        <f t="shared" si="12"/>
        <v>24870.05</v>
      </c>
      <c r="P14" s="17">
        <f t="shared" si="12"/>
        <v>25651.899999999998</v>
      </c>
      <c r="Q14" s="17">
        <f t="shared" si="12"/>
        <v>33061.56</v>
      </c>
      <c r="R14" s="17">
        <f t="shared" si="12"/>
        <v>33985.491713649215</v>
      </c>
      <c r="S14" s="17">
        <f t="shared" si="12"/>
        <v>34955.346266434601</v>
      </c>
      <c r="T14" s="17">
        <f t="shared" si="12"/>
        <v>35860.522013921582</v>
      </c>
      <c r="U14" s="17">
        <f t="shared" si="12"/>
        <v>36921.361907043232</v>
      </c>
      <c r="V14" s="17">
        <f t="shared" si="12"/>
        <v>38013.727481612608</v>
      </c>
      <c r="W14" s="17">
        <f t="shared" si="12"/>
        <v>39186.41968621764</v>
      </c>
      <c r="X14" s="17">
        <f t="shared" si="12"/>
        <v>41071.996727501268</v>
      </c>
      <c r="Y14" s="17">
        <f t="shared" si="12"/>
        <v>42892.841399161342</v>
      </c>
      <c r="Z14" s="17">
        <f>SUM(Z4:Z13)</f>
        <v>44404.884206051654</v>
      </c>
      <c r="AC14" s="60"/>
    </row>
    <row r="15" spans="1:30" hidden="1"/>
    <row r="16" spans="1:30" hidden="1"/>
    <row r="17" spans="1:26" hidden="1">
      <c r="A17" s="119" t="s">
        <v>1</v>
      </c>
      <c r="B17" s="119"/>
      <c r="C17" s="119"/>
      <c r="D17" s="11" t="s">
        <v>7</v>
      </c>
      <c r="E17" s="11" t="s">
        <v>8</v>
      </c>
      <c r="F17" s="11" t="s">
        <v>9</v>
      </c>
      <c r="G17" s="11" t="s">
        <v>10</v>
      </c>
      <c r="H17" s="11" t="s">
        <v>11</v>
      </c>
      <c r="I17" s="11" t="s">
        <v>18</v>
      </c>
      <c r="J17" s="11" t="s">
        <v>19</v>
      </c>
      <c r="K17" s="11" t="s">
        <v>2</v>
      </c>
      <c r="L17" s="11" t="s">
        <v>3</v>
      </c>
      <c r="M17" s="11" t="s">
        <v>4</v>
      </c>
      <c r="N17" s="11" t="s">
        <v>5</v>
      </c>
      <c r="O17" s="11" t="s">
        <v>6</v>
      </c>
      <c r="P17" s="11" t="s">
        <v>7</v>
      </c>
      <c r="Q17" s="11" t="s">
        <v>8</v>
      </c>
      <c r="R17" s="11" t="s">
        <v>9</v>
      </c>
      <c r="S17" s="11" t="s">
        <v>10</v>
      </c>
      <c r="T17" s="11" t="s">
        <v>11</v>
      </c>
      <c r="U17" s="11" t="s">
        <v>18</v>
      </c>
      <c r="V17" s="11" t="s">
        <v>19</v>
      </c>
      <c r="W17" s="11" t="s">
        <v>2</v>
      </c>
      <c r="X17" s="11" t="s">
        <v>3</v>
      </c>
      <c r="Y17" s="11" t="s">
        <v>4</v>
      </c>
      <c r="Z17" s="11" t="s">
        <v>5</v>
      </c>
    </row>
    <row r="18" spans="1:26" ht="17.25" hidden="1" customHeight="1">
      <c r="A18" s="128" t="s">
        <v>26</v>
      </c>
      <c r="B18" s="119" t="s">
        <v>12</v>
      </c>
      <c r="C18" s="10" t="s">
        <v>22</v>
      </c>
      <c r="D18" s="12"/>
      <c r="E18" s="48">
        <f>1-(D4/E4)</f>
        <v>0.93181818181818188</v>
      </c>
      <c r="F18" s="48">
        <f t="shared" ref="F18:Q18" si="13">1-(E4/F4)</f>
        <v>-0.31343283582089554</v>
      </c>
      <c r="G18" s="48">
        <f t="shared" si="13"/>
        <v>0.55333333333333334</v>
      </c>
      <c r="H18" s="48">
        <f t="shared" si="13"/>
        <v>0.4</v>
      </c>
      <c r="I18" s="48">
        <f t="shared" si="13"/>
        <v>0.33687002652519893</v>
      </c>
      <c r="J18" s="48">
        <f t="shared" si="13"/>
        <v>-0.10233918128654973</v>
      </c>
      <c r="K18" s="48">
        <f t="shared" si="13"/>
        <v>-0.13245033112582782</v>
      </c>
      <c r="L18" s="48">
        <f t="shared" si="13"/>
        <v>0.46548672566371685</v>
      </c>
      <c r="M18" s="48">
        <f t="shared" si="13"/>
        <v>-0.2021276595744681</v>
      </c>
      <c r="N18" s="48">
        <f t="shared" si="13"/>
        <v>0.33895921237693394</v>
      </c>
      <c r="O18" s="48">
        <f t="shared" si="13"/>
        <v>-0.33171005806330789</v>
      </c>
      <c r="P18" s="48">
        <f t="shared" si="13"/>
        <v>2.9360967184801301E-2</v>
      </c>
      <c r="Q18" s="48">
        <f t="shared" si="13"/>
        <v>0.14546047725577937</v>
      </c>
      <c r="R18" s="51">
        <v>2.931596091205213E-2</v>
      </c>
      <c r="S18" s="51">
        <v>3.0015797788309651E-2</v>
      </c>
      <c r="T18" s="51">
        <v>2.4653312788906034E-2</v>
      </c>
      <c r="U18" s="51">
        <v>0.03</v>
      </c>
      <c r="V18" s="51">
        <v>0.03</v>
      </c>
      <c r="W18" s="51">
        <v>0.03</v>
      </c>
      <c r="X18" s="51">
        <v>0.04</v>
      </c>
      <c r="Y18" s="51">
        <v>0.03</v>
      </c>
      <c r="Z18" s="51">
        <v>0.03</v>
      </c>
    </row>
    <row r="19" spans="1:26" ht="17.25" hidden="1" customHeight="1">
      <c r="A19" s="128"/>
      <c r="B19" s="119"/>
      <c r="C19" s="10">
        <v>1</v>
      </c>
      <c r="D19" s="12"/>
      <c r="E19" s="48">
        <f t="shared" ref="E19:Q19" si="14">1-(D5/E5)</f>
        <v>0.84057971014492749</v>
      </c>
      <c r="F19" s="48">
        <f t="shared" si="14"/>
        <v>0.56329113924050633</v>
      </c>
      <c r="G19" s="48">
        <f t="shared" si="14"/>
        <v>0.62019230769230771</v>
      </c>
      <c r="H19" s="48">
        <f t="shared" si="14"/>
        <v>0.32302685109845408</v>
      </c>
      <c r="I19" s="48">
        <f t="shared" si="14"/>
        <v>-0.21203155818540442</v>
      </c>
      <c r="J19" s="48">
        <f t="shared" si="14"/>
        <v>-8.6816720257234747E-2</v>
      </c>
      <c r="K19" s="48">
        <f t="shared" si="14"/>
        <v>-0.25572005383580088</v>
      </c>
      <c r="L19" s="48">
        <f t="shared" si="14"/>
        <v>1.3440860215053752E-3</v>
      </c>
      <c r="M19" s="48">
        <f t="shared" si="14"/>
        <v>-6.2857142857142945E-2</v>
      </c>
      <c r="N19" s="48">
        <f t="shared" si="14"/>
        <v>1.5471167369901506E-2</v>
      </c>
      <c r="O19" s="48">
        <f t="shared" si="14"/>
        <v>-0.2110373019928462</v>
      </c>
      <c r="P19" s="48">
        <f t="shared" si="14"/>
        <v>4.8309178743961567E-3</v>
      </c>
      <c r="Q19" s="48">
        <f t="shared" si="14"/>
        <v>0.12878787878787867</v>
      </c>
      <c r="R19" s="51">
        <v>1.5698587127158548E-2</v>
      </c>
      <c r="S19" s="51">
        <v>1.8489984591679498E-2</v>
      </c>
      <c r="T19" s="51">
        <v>2.9895366218236186E-2</v>
      </c>
      <c r="U19" s="51">
        <v>0.03</v>
      </c>
      <c r="V19" s="51">
        <v>0.03</v>
      </c>
      <c r="W19" s="51">
        <v>0.03</v>
      </c>
      <c r="X19" s="51">
        <v>0.04</v>
      </c>
      <c r="Y19" s="51">
        <v>0.03</v>
      </c>
      <c r="Z19" s="51">
        <v>0.03</v>
      </c>
    </row>
    <row r="20" spans="1:26" hidden="1">
      <c r="A20" s="128"/>
      <c r="B20" s="119"/>
      <c r="C20" s="10">
        <v>2</v>
      </c>
      <c r="D20" s="12"/>
      <c r="E20" s="48">
        <f t="shared" ref="E20:Q20" si="15">1-(D6/E6)</f>
        <v>0.8529411764705882</v>
      </c>
      <c r="F20" s="48">
        <f t="shared" si="15"/>
        <v>0.57763975155279501</v>
      </c>
      <c r="G20" s="48">
        <f t="shared" si="15"/>
        <v>0.41454545454545455</v>
      </c>
      <c r="H20" s="48">
        <f t="shared" si="15"/>
        <v>0.63863337713534829</v>
      </c>
      <c r="I20" s="48">
        <f t="shared" si="15"/>
        <v>-2.4226110363391617E-2</v>
      </c>
      <c r="J20" s="48">
        <f t="shared" si="15"/>
        <v>0.49352419904567146</v>
      </c>
      <c r="K20" s="48">
        <f t="shared" si="15"/>
        <v>-0.24427480916030531</v>
      </c>
      <c r="L20" s="48">
        <f t="shared" si="15"/>
        <v>0.11751497005988021</v>
      </c>
      <c r="M20" s="48">
        <f t="shared" si="15"/>
        <v>-0.13412563667232602</v>
      </c>
      <c r="N20" s="48">
        <f t="shared" si="15"/>
        <v>-0.14814814814814814</v>
      </c>
      <c r="O20" s="48">
        <f t="shared" si="15"/>
        <v>0.35212957408518297</v>
      </c>
      <c r="P20" s="48">
        <f t="shared" si="15"/>
        <v>1.9988242210464358E-2</v>
      </c>
      <c r="Q20" s="48">
        <f t="shared" si="15"/>
        <v>0.13760806916426505</v>
      </c>
      <c r="R20" s="51">
        <v>1.9774011299435013E-2</v>
      </c>
      <c r="S20" s="51">
        <v>2.9072956664838223E-2</v>
      </c>
      <c r="T20" s="51">
        <v>2.8769312733084695E-2</v>
      </c>
      <c r="U20" s="51">
        <v>0.03</v>
      </c>
      <c r="V20" s="51">
        <v>0.03</v>
      </c>
      <c r="W20" s="51">
        <v>0.05</v>
      </c>
      <c r="X20" s="51">
        <v>7.0000000000000007E-2</v>
      </c>
      <c r="Y20" s="51">
        <v>0.1</v>
      </c>
      <c r="Z20" s="51">
        <v>0.12</v>
      </c>
    </row>
    <row r="21" spans="1:26" hidden="1">
      <c r="A21" s="128"/>
      <c r="B21" s="119"/>
      <c r="C21" s="10">
        <v>3</v>
      </c>
      <c r="D21" s="12"/>
      <c r="E21" s="48">
        <f t="shared" ref="E21:Q21" si="16">1-(D7/E7)</f>
        <v>1</v>
      </c>
      <c r="F21" s="48">
        <f t="shared" si="16"/>
        <v>0.5</v>
      </c>
      <c r="G21" s="48">
        <f t="shared" si="16"/>
        <v>0.66666666666666674</v>
      </c>
      <c r="H21" s="48">
        <f t="shared" si="16"/>
        <v>0.89655172413793105</v>
      </c>
      <c r="I21" s="48">
        <f t="shared" si="16"/>
        <v>-0.12077294685990347</v>
      </c>
      <c r="J21" s="48">
        <f t="shared" si="16"/>
        <v>0.42178770949720668</v>
      </c>
      <c r="K21" s="48">
        <f t="shared" si="16"/>
        <v>-2.4095238095238094</v>
      </c>
      <c r="L21" s="48">
        <f t="shared" si="16"/>
        <v>-0.22093023255813948</v>
      </c>
      <c r="M21" s="48">
        <f t="shared" si="16"/>
        <v>8.5106382978723416E-2</v>
      </c>
      <c r="N21" s="48">
        <f t="shared" si="16"/>
        <v>-9.3023255813953432E-2</v>
      </c>
      <c r="O21" s="48">
        <f t="shared" si="16"/>
        <v>2.6598754951895787E-2</v>
      </c>
      <c r="P21" s="48">
        <f t="shared" si="16"/>
        <v>3.1250000000000111E-2</v>
      </c>
      <c r="Q21" s="48">
        <f t="shared" si="16"/>
        <v>0.14702581369248036</v>
      </c>
      <c r="R21" s="51">
        <v>2.9411764705882359E-2</v>
      </c>
      <c r="S21" s="51">
        <v>2.8571428571428581E-2</v>
      </c>
      <c r="T21" s="51">
        <v>2.777777777777779E-2</v>
      </c>
      <c r="U21" s="51">
        <v>0.03</v>
      </c>
      <c r="V21" s="51">
        <v>0.03</v>
      </c>
      <c r="W21" s="51">
        <v>7.0000000000000007E-2</v>
      </c>
      <c r="X21" s="51">
        <v>0.1</v>
      </c>
      <c r="Y21" s="51">
        <v>0.06</v>
      </c>
      <c r="Z21" s="51">
        <v>0.05</v>
      </c>
    </row>
    <row r="22" spans="1:26" hidden="1">
      <c r="A22" s="128"/>
      <c r="B22" s="129" t="s">
        <v>13</v>
      </c>
      <c r="C22" s="13" t="s">
        <v>22</v>
      </c>
      <c r="D22" s="12"/>
      <c r="E22" s="48">
        <f t="shared" ref="E22:Q22" si="17">1-(D8/E8)</f>
        <v>0.85256410256410253</v>
      </c>
      <c r="F22" s="48">
        <f t="shared" si="17"/>
        <v>0.2710280373831776</v>
      </c>
      <c r="G22" s="48">
        <f t="shared" si="17"/>
        <v>0.24046140195208521</v>
      </c>
      <c r="H22" s="48">
        <f t="shared" si="17"/>
        <v>0.30603448275862066</v>
      </c>
      <c r="I22" s="48">
        <f t="shared" si="17"/>
        <v>0.31721673323523225</v>
      </c>
      <c r="J22" s="48">
        <f t="shared" si="17"/>
        <v>-0.28463408047529026</v>
      </c>
      <c r="K22" s="48">
        <f t="shared" si="17"/>
        <v>0.27177974434611607</v>
      </c>
      <c r="L22" s="48">
        <f t="shared" si="17"/>
        <v>-0.10279765777488614</v>
      </c>
      <c r="M22" s="48">
        <f t="shared" si="17"/>
        <v>8.2570632709908498E-2</v>
      </c>
      <c r="N22" s="48">
        <f t="shared" si="17"/>
        <v>-0.10680466857520377</v>
      </c>
      <c r="O22" s="48">
        <f t="shared" si="17"/>
        <v>7.7576225395600051E-2</v>
      </c>
      <c r="P22" s="48">
        <f t="shared" si="17"/>
        <v>2.9224428624953336E-2</v>
      </c>
      <c r="Q22" s="48">
        <f t="shared" si="17"/>
        <v>0.23137201406572083</v>
      </c>
      <c r="R22" s="51">
        <v>2.9136500088292383E-2</v>
      </c>
      <c r="S22" s="51">
        <v>2.9144522544145346E-2</v>
      </c>
      <c r="T22" s="51">
        <v>2.5885103540414178E-2</v>
      </c>
      <c r="U22" s="51">
        <v>0.03</v>
      </c>
      <c r="V22" s="51">
        <v>0.03</v>
      </c>
      <c r="W22" s="51">
        <v>0.03</v>
      </c>
      <c r="X22" s="51">
        <v>0.06</v>
      </c>
      <c r="Y22" s="51">
        <v>0.05</v>
      </c>
      <c r="Z22" s="51">
        <v>0.03</v>
      </c>
    </row>
    <row r="23" spans="1:26" hidden="1">
      <c r="A23" s="128"/>
      <c r="B23" s="129"/>
      <c r="C23" s="13">
        <v>1</v>
      </c>
      <c r="D23" s="12"/>
      <c r="E23" s="48">
        <f t="shared" ref="E23:Q23" si="18">1-(D9/E9)</f>
        <v>0.80888888888888888</v>
      </c>
      <c r="F23" s="48">
        <f t="shared" si="18"/>
        <v>0.28797468354430378</v>
      </c>
      <c r="G23" s="48">
        <f t="shared" si="18"/>
        <v>0.54368231046931403</v>
      </c>
      <c r="H23" s="48">
        <f t="shared" si="18"/>
        <v>0.20050028862805469</v>
      </c>
      <c r="I23" s="48">
        <f t="shared" si="18"/>
        <v>0.13714095965465711</v>
      </c>
      <c r="J23" s="48">
        <f t="shared" si="18"/>
        <v>-0.17201790231562564</v>
      </c>
      <c r="K23" s="48">
        <f t="shared" si="18"/>
        <v>0.27384484951250532</v>
      </c>
      <c r="L23" s="48">
        <f t="shared" si="18"/>
        <v>-1.4332807797047487E-2</v>
      </c>
      <c r="M23" s="48">
        <f t="shared" si="18"/>
        <v>0.13522558254833916</v>
      </c>
      <c r="N23" s="48">
        <f t="shared" si="18"/>
        <v>-4.7656148552136068E-2</v>
      </c>
      <c r="O23" s="48">
        <f t="shared" si="18"/>
        <v>2.2275263602257289E-2</v>
      </c>
      <c r="P23" s="48">
        <f t="shared" si="18"/>
        <v>2.9156908665105452E-2</v>
      </c>
      <c r="Q23" s="48">
        <f t="shared" si="18"/>
        <v>0.23137410944368653</v>
      </c>
      <c r="R23" s="51">
        <v>2.9139072847682135E-2</v>
      </c>
      <c r="S23" s="51">
        <v>2.9147021003000484E-2</v>
      </c>
      <c r="T23" s="51">
        <v>2.5887265135699389E-2</v>
      </c>
      <c r="U23" s="51">
        <v>0.03</v>
      </c>
      <c r="V23" s="51">
        <v>0.03</v>
      </c>
      <c r="W23" s="51">
        <v>0.03</v>
      </c>
      <c r="X23" s="51">
        <v>0.06</v>
      </c>
      <c r="Y23" s="51">
        <v>0.05</v>
      </c>
      <c r="Z23" s="51">
        <v>0.03</v>
      </c>
    </row>
    <row r="24" spans="1:26" hidden="1">
      <c r="A24" s="128"/>
      <c r="B24" s="129"/>
      <c r="C24" s="13">
        <v>2</v>
      </c>
      <c r="D24" s="12"/>
      <c r="E24" s="48">
        <f t="shared" ref="E24:Q24" si="19">1-(D10/E10)</f>
        <v>0.76086956521739135</v>
      </c>
      <c r="F24" s="48">
        <f t="shared" si="19"/>
        <v>0.33429811866859627</v>
      </c>
      <c r="G24" s="48">
        <f t="shared" si="19"/>
        <v>0.38957597173144876</v>
      </c>
      <c r="H24" s="48">
        <f t="shared" si="19"/>
        <v>0.5137457044673539</v>
      </c>
      <c r="I24" s="48">
        <f t="shared" si="19"/>
        <v>0.19668737060041408</v>
      </c>
      <c r="J24" s="48">
        <f t="shared" si="19"/>
        <v>0.22159548751007252</v>
      </c>
      <c r="K24" s="48">
        <f t="shared" si="19"/>
        <v>0.5720197723876308</v>
      </c>
      <c r="L24" s="48">
        <f t="shared" si="19"/>
        <v>0.25795444852000338</v>
      </c>
      <c r="M24" s="48">
        <f t="shared" si="19"/>
        <v>-3.1681774179354028E-2</v>
      </c>
      <c r="N24" s="48">
        <f t="shared" si="19"/>
        <v>-0.74654165385797722</v>
      </c>
      <c r="O24" s="48">
        <f t="shared" si="19"/>
        <v>0.22123936176579717</v>
      </c>
      <c r="P24" s="48">
        <f t="shared" si="19"/>
        <v>2.9145506734378546E-2</v>
      </c>
      <c r="Q24" s="48">
        <f t="shared" si="19"/>
        <v>0.23141300464451586</v>
      </c>
      <c r="R24" s="51">
        <v>2.9136316337148749E-2</v>
      </c>
      <c r="S24" s="51">
        <v>2.9096787229743404E-2</v>
      </c>
      <c r="T24" s="51">
        <v>2.5979137964967536E-2</v>
      </c>
      <c r="U24" s="51">
        <v>0.03</v>
      </c>
      <c r="V24" s="51">
        <v>0.03</v>
      </c>
      <c r="W24" s="51">
        <v>0.03</v>
      </c>
      <c r="X24" s="51">
        <v>0.03</v>
      </c>
      <c r="Y24" s="51">
        <v>0.03</v>
      </c>
      <c r="Z24" s="51">
        <v>0.03</v>
      </c>
    </row>
    <row r="25" spans="1:26" hidden="1">
      <c r="A25" s="128"/>
      <c r="B25" s="129"/>
      <c r="C25" s="13" t="s">
        <v>23</v>
      </c>
      <c r="D25" s="12"/>
      <c r="E25" s="48"/>
      <c r="F25" s="48"/>
      <c r="G25" s="48"/>
      <c r="H25" s="48"/>
      <c r="I25" s="48"/>
      <c r="J25" s="48"/>
      <c r="K25" s="48"/>
      <c r="L25" s="48">
        <f t="shared" ref="L25:P25" si="20">1-(K11/L11)</f>
        <v>0.9325</v>
      </c>
      <c r="M25" s="48">
        <f t="shared" si="20"/>
        <v>-0.19402985074626855</v>
      </c>
      <c r="N25" s="48">
        <f t="shared" si="20"/>
        <v>0.2488789237668162</v>
      </c>
      <c r="O25" s="48">
        <f t="shared" si="20"/>
        <v>4.3841783685282465E-2</v>
      </c>
      <c r="P25" s="48">
        <f t="shared" si="20"/>
        <v>9.0740740740740788E-2</v>
      </c>
      <c r="Q25" s="48">
        <v>0.03</v>
      </c>
      <c r="R25" s="51">
        <v>0.02</v>
      </c>
      <c r="S25" s="51">
        <v>0.02</v>
      </c>
      <c r="T25" s="51">
        <v>0.02</v>
      </c>
      <c r="U25" s="51">
        <v>0.02</v>
      </c>
      <c r="V25" s="51">
        <v>0.02</v>
      </c>
      <c r="W25" s="51">
        <v>0.02</v>
      </c>
      <c r="X25" s="51">
        <v>0.02</v>
      </c>
      <c r="Y25" s="51">
        <v>0.02</v>
      </c>
      <c r="Z25" s="51">
        <v>0.02</v>
      </c>
    </row>
    <row r="26" spans="1:26" hidden="1">
      <c r="A26" s="128"/>
      <c r="B26" s="123"/>
      <c r="C26" s="14" t="s">
        <v>24</v>
      </c>
      <c r="D26" s="12"/>
      <c r="E26" s="48"/>
      <c r="F26" s="48"/>
      <c r="G26" s="48"/>
      <c r="H26" s="48"/>
      <c r="I26" s="48"/>
      <c r="J26" s="48"/>
      <c r="K26" s="48"/>
      <c r="L26" s="48">
        <f t="shared" ref="L26:Q26" si="21">1-(K12/L12)</f>
        <v>0.57664233576642343</v>
      </c>
      <c r="M26" s="48">
        <f t="shared" si="21"/>
        <v>-5.3846153846153877E-2</v>
      </c>
      <c r="N26" s="48">
        <f t="shared" si="21"/>
        <v>0.17981072555205047</v>
      </c>
      <c r="O26" s="48">
        <f t="shared" si="21"/>
        <v>4.3884783592218368E-2</v>
      </c>
      <c r="P26" s="48">
        <f t="shared" si="21"/>
        <v>9.114583333333337E-2</v>
      </c>
      <c r="Q26" s="48">
        <f t="shared" si="21"/>
        <v>0.27962085308056872</v>
      </c>
      <c r="R26" s="51">
        <v>0.02</v>
      </c>
      <c r="S26" s="51">
        <v>0.02</v>
      </c>
      <c r="T26" s="51">
        <v>0.02</v>
      </c>
      <c r="U26" s="51">
        <v>0.02</v>
      </c>
      <c r="V26" s="51">
        <v>0.02</v>
      </c>
      <c r="W26" s="51">
        <v>0.02</v>
      </c>
      <c r="X26" s="51">
        <v>0.02</v>
      </c>
      <c r="Y26" s="51">
        <v>0.02</v>
      </c>
      <c r="Z26" s="51">
        <v>0.02</v>
      </c>
    </row>
    <row r="27" spans="1:26" hidden="1">
      <c r="A27" s="128"/>
      <c r="B27" s="123"/>
      <c r="C27" s="14" t="s">
        <v>25</v>
      </c>
      <c r="D27" s="12"/>
      <c r="E27" s="48"/>
      <c r="F27" s="48"/>
      <c r="G27" s="48"/>
      <c r="H27" s="48"/>
      <c r="I27" s="48"/>
      <c r="J27" s="48"/>
      <c r="K27" s="48"/>
      <c r="L27" s="48">
        <f t="shared" ref="L27:Q27" si="22">1-(K13/L13)</f>
        <v>0.75471698113207553</v>
      </c>
      <c r="M27" s="48">
        <f t="shared" si="22"/>
        <v>-0.23255813953488369</v>
      </c>
      <c r="N27" s="48">
        <f t="shared" si="22"/>
        <v>0.28333333333333333</v>
      </c>
      <c r="O27" s="48">
        <f t="shared" si="22"/>
        <v>4.3062200956937802E-2</v>
      </c>
      <c r="P27" s="48">
        <f t="shared" si="22"/>
        <v>8.9655172413793061E-2</v>
      </c>
      <c r="Q27" s="48">
        <f t="shared" si="22"/>
        <v>0.28255208333333337</v>
      </c>
      <c r="R27" s="51">
        <v>0.02</v>
      </c>
      <c r="S27" s="51">
        <v>0.02</v>
      </c>
      <c r="T27" s="51">
        <v>0.02</v>
      </c>
      <c r="U27" s="51">
        <v>0.02</v>
      </c>
      <c r="V27" s="51">
        <v>0.02</v>
      </c>
      <c r="W27" s="51">
        <v>0.02</v>
      </c>
      <c r="X27" s="51">
        <v>0.02</v>
      </c>
      <c r="Y27" s="51">
        <v>0.02</v>
      </c>
      <c r="Z27" s="51">
        <v>0.02</v>
      </c>
    </row>
    <row r="28" spans="1:26" hidden="1">
      <c r="A28" s="10"/>
      <c r="B28" s="127" t="s">
        <v>14</v>
      </c>
      <c r="C28" s="127"/>
      <c r="D28" s="11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idden="1"/>
    <row r="30" spans="1:26" hidden="1">
      <c r="V30" s="1">
        <v>1</v>
      </c>
      <c r="W30" s="20">
        <v>-3.5452611675725887E-3</v>
      </c>
      <c r="X30" s="20">
        <v>-7.8608861362554627E-3</v>
      </c>
      <c r="Y30" s="20">
        <v>1.9387993459472064E-2</v>
      </c>
      <c r="Z30" s="20">
        <v>3.1338386695327514E-2</v>
      </c>
    </row>
    <row r="31" spans="1:26" hidden="1">
      <c r="V31" s="1">
        <v>2</v>
      </c>
      <c r="W31" s="20">
        <v>-2.371876323591704E-2</v>
      </c>
      <c r="X31" s="20">
        <v>-3.7255074246551168E-2</v>
      </c>
      <c r="Y31" s="20">
        <v>-7.3173031588873227E-2</v>
      </c>
      <c r="Z31" s="20">
        <v>-8.5576824649401084E-2</v>
      </c>
    </row>
    <row r="32" spans="1:26" hidden="1">
      <c r="V32" s="1">
        <v>3</v>
      </c>
      <c r="W32" s="20">
        <v>4.2343541944074525E-2</v>
      </c>
      <c r="X32" s="20">
        <v>-7.3470554602629967E-2</v>
      </c>
      <c r="Y32" s="20">
        <v>2.8333333333333321E-2</v>
      </c>
      <c r="Z32" s="20">
        <v>-2.1856372409877922E-2</v>
      </c>
    </row>
    <row r="33" spans="1:26" hidden="1">
      <c r="V33" s="2">
        <v>1</v>
      </c>
      <c r="W33" s="20">
        <v>-1.6157699143641846E-3</v>
      </c>
      <c r="X33" s="20">
        <v>-3.4344447229882169E-2</v>
      </c>
      <c r="Y33" s="20">
        <v>-2.1598087758238016E-2</v>
      </c>
      <c r="Z33" s="20">
        <v>2.21220469154354E-2</v>
      </c>
    </row>
    <row r="34" spans="1:26" hidden="1">
      <c r="V34" s="2">
        <v>2</v>
      </c>
      <c r="W34" s="20">
        <v>8.5832675611681175E-3</v>
      </c>
      <c r="X34" s="20">
        <v>4.897729405141682E-2</v>
      </c>
      <c r="Y34" s="20">
        <v>7.7273996834559266E-3</v>
      </c>
      <c r="Z34" s="20">
        <v>5.4073095552619965E-2</v>
      </c>
    </row>
    <row r="35" spans="1:26" hidden="1">
      <c r="V35" s="2">
        <v>3</v>
      </c>
      <c r="W35" s="20">
        <v>8.259587020648973E-2</v>
      </c>
      <c r="X35" s="20">
        <v>-0.12797542871768619</v>
      </c>
      <c r="Y35" s="20">
        <v>8.1238893120081368E-3</v>
      </c>
      <c r="Z35" s="20">
        <v>-1.8882565959648323E-2</v>
      </c>
    </row>
    <row r="36" spans="1:26" hidden="1"/>
    <row r="38" spans="1:26" ht="17.25">
      <c r="A38" s="44" t="s">
        <v>60</v>
      </c>
      <c r="G38" t="s">
        <v>70</v>
      </c>
    </row>
    <row r="39" spans="1:26">
      <c r="A39" s="124" t="s">
        <v>1</v>
      </c>
      <c r="B39" s="125"/>
      <c r="C39" s="126"/>
      <c r="D39" s="6" t="s">
        <v>5</v>
      </c>
      <c r="E39" s="6" t="s">
        <v>6</v>
      </c>
      <c r="F39" s="6" t="s">
        <v>7</v>
      </c>
      <c r="G39" s="6" t="s">
        <v>8</v>
      </c>
      <c r="H39" s="6" t="s">
        <v>9</v>
      </c>
      <c r="I39" s="6" t="s">
        <v>10</v>
      </c>
      <c r="J39" s="6" t="s">
        <v>11</v>
      </c>
      <c r="K39" s="6" t="s">
        <v>18</v>
      </c>
      <c r="L39" s="6" t="s">
        <v>19</v>
      </c>
      <c r="M39" s="6" t="s">
        <v>2</v>
      </c>
      <c r="N39" s="6" t="s">
        <v>3</v>
      </c>
      <c r="O39" s="6" t="s">
        <v>4</v>
      </c>
      <c r="P39" s="6" t="s">
        <v>5</v>
      </c>
    </row>
    <row r="40" spans="1:26">
      <c r="A40" s="132"/>
      <c r="B40" s="119" t="s">
        <v>12</v>
      </c>
      <c r="C40" s="10" t="s">
        <v>22</v>
      </c>
      <c r="D40" s="86">
        <v>711</v>
      </c>
      <c r="E40" s="87">
        <v>533.9</v>
      </c>
      <c r="F40" s="87">
        <v>550.04999999999995</v>
      </c>
      <c r="G40" s="88">
        <v>643.68000000000006</v>
      </c>
      <c r="H40" s="89">
        <v>662.55009771986977</v>
      </c>
      <c r="I40" s="89">
        <v>682.43706747765418</v>
      </c>
      <c r="J40" s="89">
        <v>699.26140196092456</v>
      </c>
      <c r="K40" s="89">
        <v>720.23924401975228</v>
      </c>
      <c r="L40" s="89">
        <v>741.84642134034482</v>
      </c>
      <c r="M40" s="89">
        <v>764.10181398055511</v>
      </c>
      <c r="N40" s="89">
        <v>794.66588653977726</v>
      </c>
      <c r="O40" s="89">
        <v>818.50586313597057</v>
      </c>
      <c r="P40" s="89">
        <v>843.06103903004964</v>
      </c>
    </row>
    <row r="41" spans="1:26">
      <c r="A41" s="133"/>
      <c r="B41" s="119"/>
      <c r="C41" s="10">
        <v>1</v>
      </c>
      <c r="D41" s="86">
        <v>711</v>
      </c>
      <c r="E41" s="87">
        <v>587.1</v>
      </c>
      <c r="F41" s="87">
        <v>589.95000000000005</v>
      </c>
      <c r="G41" s="88">
        <v>677.16</v>
      </c>
      <c r="H41" s="89">
        <v>687.79045525902666</v>
      </c>
      <c r="I41" s="89">
        <v>700.50769017907032</v>
      </c>
      <c r="J41" s="89">
        <v>721.44962411566439</v>
      </c>
      <c r="K41" s="89">
        <v>743.09311283913428</v>
      </c>
      <c r="L41" s="89">
        <v>765.38590622430831</v>
      </c>
      <c r="M41" s="89">
        <v>788.34748341103762</v>
      </c>
      <c r="N41" s="89">
        <v>819.88138274747917</v>
      </c>
      <c r="O41" s="89">
        <v>844.47782422990349</v>
      </c>
      <c r="P41" s="89">
        <v>869.81215895680054</v>
      </c>
    </row>
    <row r="42" spans="1:26">
      <c r="A42" s="133"/>
      <c r="B42" s="119"/>
      <c r="C42" s="10">
        <v>2</v>
      </c>
      <c r="D42" s="86">
        <v>1026</v>
      </c>
      <c r="E42" s="87">
        <v>1583.65</v>
      </c>
      <c r="F42" s="87">
        <v>1615.95</v>
      </c>
      <c r="G42" s="88">
        <v>1873.8</v>
      </c>
      <c r="H42" s="89">
        <v>1910.8525423728813</v>
      </c>
      <c r="I42" s="89">
        <v>1966.406675530184</v>
      </c>
      <c r="J42" s="89">
        <v>2022.9788441389373</v>
      </c>
      <c r="K42" s="89">
        <v>2083.6682094631055</v>
      </c>
      <c r="L42" s="89">
        <v>2146.1782557469987</v>
      </c>
      <c r="M42" s="89">
        <v>2253.4871685343487</v>
      </c>
      <c r="N42" s="89">
        <v>2411.231270331753</v>
      </c>
      <c r="O42" s="89">
        <v>2652.3543973649284</v>
      </c>
      <c r="P42" s="89">
        <v>2970.6369250487196</v>
      </c>
    </row>
    <row r="43" spans="1:26">
      <c r="A43" s="133"/>
      <c r="B43" s="119"/>
      <c r="C43" s="10">
        <v>3</v>
      </c>
      <c r="D43" s="86">
        <v>86</v>
      </c>
      <c r="E43" s="87">
        <v>88.35</v>
      </c>
      <c r="F43" s="87">
        <v>91.2</v>
      </c>
      <c r="G43" s="88">
        <v>106.92</v>
      </c>
      <c r="H43" s="89">
        <v>110.06470588235294</v>
      </c>
      <c r="I43" s="89">
        <v>113.20941176470588</v>
      </c>
      <c r="J43" s="89">
        <v>116.35411764705881</v>
      </c>
      <c r="K43" s="89">
        <v>119.84474117647058</v>
      </c>
      <c r="L43" s="89">
        <v>123.44008341176469</v>
      </c>
      <c r="M43" s="89">
        <v>132.08088925058823</v>
      </c>
      <c r="N43" s="89">
        <v>145.28897817564706</v>
      </c>
      <c r="O43" s="89">
        <v>154.00631686618587</v>
      </c>
      <c r="P43" s="89">
        <v>161.70663270949515</v>
      </c>
    </row>
    <row r="44" spans="1:26">
      <c r="A44" s="133"/>
      <c r="B44" s="129" t="s">
        <v>13</v>
      </c>
      <c r="C44" s="13" t="s">
        <v>22</v>
      </c>
      <c r="D44" s="86">
        <v>4541</v>
      </c>
      <c r="E44" s="87">
        <v>4922.8999999999996</v>
      </c>
      <c r="F44" s="87">
        <v>5071.1000000000004</v>
      </c>
      <c r="G44" s="88">
        <v>6597.6</v>
      </c>
      <c r="H44" s="89">
        <v>6789.8309729825178</v>
      </c>
      <c r="I44" s="89">
        <v>6987.717354845543</v>
      </c>
      <c r="J44" s="89">
        <v>7168.5951420868687</v>
      </c>
      <c r="K44" s="89">
        <v>7383.652996349475</v>
      </c>
      <c r="L44" s="89">
        <v>7605.1625862399596</v>
      </c>
      <c r="M44" s="89">
        <v>7833.3174638271585</v>
      </c>
      <c r="N44" s="89">
        <v>8303.316511656787</v>
      </c>
      <c r="O44" s="89">
        <v>8718.4823372396258</v>
      </c>
      <c r="P44" s="89">
        <v>8980.0368073568152</v>
      </c>
    </row>
    <row r="45" spans="1:26">
      <c r="A45" s="133"/>
      <c r="B45" s="129"/>
      <c r="C45" s="13">
        <v>1</v>
      </c>
      <c r="D45" s="86">
        <v>7701</v>
      </c>
      <c r="E45" s="87">
        <v>7876.45</v>
      </c>
      <c r="F45" s="87">
        <v>8113</v>
      </c>
      <c r="G45" s="88">
        <v>10555.2</v>
      </c>
      <c r="H45" s="89">
        <v>10862.768741721855</v>
      </c>
      <c r="I45" s="89">
        <v>11179.386090387559</v>
      </c>
      <c r="J45" s="89">
        <v>11468.789822163772</v>
      </c>
      <c r="K45" s="89">
        <v>11812.853516828685</v>
      </c>
      <c r="L45" s="89">
        <v>12167.239122333545</v>
      </c>
      <c r="M45" s="89">
        <v>12532.256296003552</v>
      </c>
      <c r="N45" s="89">
        <v>13284.191673763766</v>
      </c>
      <c r="O45" s="89">
        <v>13948.401257451955</v>
      </c>
      <c r="P45" s="89">
        <v>14366.853295175513</v>
      </c>
    </row>
    <row r="46" spans="1:26">
      <c r="A46" s="133"/>
      <c r="B46" s="129"/>
      <c r="C46" s="13">
        <v>2</v>
      </c>
      <c r="D46" s="86">
        <v>6506</v>
      </c>
      <c r="E46" s="87">
        <v>8354.2999999999993</v>
      </c>
      <c r="F46" s="87">
        <v>8605.1</v>
      </c>
      <c r="G46" s="88">
        <v>11196</v>
      </c>
      <c r="H46" s="89">
        <v>11522.210197710718</v>
      </c>
      <c r="I46" s="89">
        <v>11857.469496249887</v>
      </c>
      <c r="J46" s="89">
        <v>12165.516332208357</v>
      </c>
      <c r="K46" s="89">
        <v>12530.481822174608</v>
      </c>
      <c r="L46" s="89">
        <v>12906.396276839847</v>
      </c>
      <c r="M46" s="89">
        <v>13293.588165145042</v>
      </c>
      <c r="N46" s="89">
        <v>13692.395810099393</v>
      </c>
      <c r="O46" s="89">
        <v>14103.167684402375</v>
      </c>
      <c r="P46" s="89">
        <v>14526.262714934446</v>
      </c>
    </row>
    <row r="47" spans="1:26">
      <c r="A47" s="133"/>
      <c r="B47" s="129"/>
      <c r="C47" s="13" t="s">
        <v>23</v>
      </c>
      <c r="D47" s="86">
        <v>446</v>
      </c>
      <c r="E47" s="87">
        <v>466.45</v>
      </c>
      <c r="F47" s="87">
        <v>513</v>
      </c>
      <c r="G47" s="88">
        <v>712.8</v>
      </c>
      <c r="H47" s="89">
        <v>727.05599999999993</v>
      </c>
      <c r="I47" s="89">
        <v>741.5971199999999</v>
      </c>
      <c r="J47" s="89">
        <v>756.42906239999991</v>
      </c>
      <c r="K47" s="89">
        <v>771.55764364799995</v>
      </c>
      <c r="L47" s="89">
        <v>786.98879652095991</v>
      </c>
      <c r="M47" s="89">
        <v>802.72857245137914</v>
      </c>
      <c r="N47" s="89">
        <v>818.78314390040669</v>
      </c>
      <c r="O47" s="89">
        <v>835.15880677841483</v>
      </c>
      <c r="P47" s="89">
        <v>851.86198291398307</v>
      </c>
    </row>
    <row r="48" spans="1:26">
      <c r="A48" s="133"/>
      <c r="B48" s="123"/>
      <c r="C48" s="14" t="s">
        <v>24</v>
      </c>
      <c r="D48" s="86">
        <v>317</v>
      </c>
      <c r="E48" s="87">
        <v>331.55</v>
      </c>
      <c r="F48" s="87">
        <v>364.8</v>
      </c>
      <c r="G48" s="88">
        <v>506.4</v>
      </c>
      <c r="H48" s="89">
        <v>516.52800000000002</v>
      </c>
      <c r="I48" s="89">
        <v>526.85856000000001</v>
      </c>
      <c r="J48" s="89">
        <v>537.3957312</v>
      </c>
      <c r="K48" s="89">
        <v>548.14364582400003</v>
      </c>
      <c r="L48" s="89">
        <v>559.10651874048006</v>
      </c>
      <c r="M48" s="89">
        <v>570.28864911528967</v>
      </c>
      <c r="N48" s="89">
        <v>581.69442209759552</v>
      </c>
      <c r="O48" s="89">
        <v>593.32831053954737</v>
      </c>
      <c r="P48" s="89">
        <v>605.19487675033827</v>
      </c>
    </row>
    <row r="49" spans="1:16">
      <c r="A49" s="134"/>
      <c r="B49" s="123"/>
      <c r="C49" s="14" t="s">
        <v>25</v>
      </c>
      <c r="D49" s="86">
        <v>120</v>
      </c>
      <c r="E49" s="87">
        <v>125.4</v>
      </c>
      <c r="F49" s="87">
        <v>137.75</v>
      </c>
      <c r="G49" s="88">
        <v>192</v>
      </c>
      <c r="H49" s="89">
        <v>195.84</v>
      </c>
      <c r="I49" s="89">
        <v>199.7568</v>
      </c>
      <c r="J49" s="89">
        <v>203.751936</v>
      </c>
      <c r="K49" s="89">
        <v>207.82697472000001</v>
      </c>
      <c r="L49" s="89">
        <v>211.9835142144</v>
      </c>
      <c r="M49" s="89">
        <v>216.223184498688</v>
      </c>
      <c r="N49" s="89">
        <v>220.54764818866175</v>
      </c>
      <c r="O49" s="89">
        <v>224.95860115243499</v>
      </c>
      <c r="P49" s="89">
        <v>229.45777317548368</v>
      </c>
    </row>
    <row r="50" spans="1:16">
      <c r="A50" s="1"/>
      <c r="B50" s="130" t="s">
        <v>14</v>
      </c>
      <c r="C50" s="131"/>
      <c r="D50" s="63">
        <f t="shared" ref="D50:P50" si="23">SUM(D40:D49)</f>
        <v>22165</v>
      </c>
      <c r="E50" s="63">
        <f t="shared" si="23"/>
        <v>24870.05</v>
      </c>
      <c r="F50" s="63">
        <f t="shared" si="23"/>
        <v>25651.899999999998</v>
      </c>
      <c r="G50" s="63">
        <f t="shared" si="23"/>
        <v>33061.56</v>
      </c>
      <c r="H50" s="63">
        <f t="shared" si="23"/>
        <v>33985.491713649215</v>
      </c>
      <c r="I50" s="63">
        <f t="shared" si="23"/>
        <v>34955.346266434601</v>
      </c>
      <c r="J50" s="63">
        <f t="shared" si="23"/>
        <v>35860.522013921582</v>
      </c>
      <c r="K50" s="63">
        <f t="shared" si="23"/>
        <v>36921.361907043232</v>
      </c>
      <c r="L50" s="63">
        <f t="shared" si="23"/>
        <v>38013.727481612608</v>
      </c>
      <c r="M50" s="63">
        <f t="shared" si="23"/>
        <v>39186.41968621764</v>
      </c>
      <c r="N50" s="63">
        <f t="shared" si="23"/>
        <v>41071.996727501268</v>
      </c>
      <c r="O50" s="63">
        <f t="shared" si="23"/>
        <v>42892.841399161342</v>
      </c>
      <c r="P50" s="63">
        <f t="shared" si="23"/>
        <v>44404.884206051654</v>
      </c>
    </row>
  </sheetData>
  <mergeCells count="18">
    <mergeCell ref="B50:C50"/>
    <mergeCell ref="B48:B49"/>
    <mergeCell ref="B44:B47"/>
    <mergeCell ref="A40:A49"/>
    <mergeCell ref="B40:B43"/>
    <mergeCell ref="A39:C39"/>
    <mergeCell ref="B28:C28"/>
    <mergeCell ref="A3:C3"/>
    <mergeCell ref="A4:A13"/>
    <mergeCell ref="B4:B7"/>
    <mergeCell ref="B8:B11"/>
    <mergeCell ref="B12:B13"/>
    <mergeCell ref="B14:C14"/>
    <mergeCell ref="A17:C17"/>
    <mergeCell ref="A18:A27"/>
    <mergeCell ref="B18:B21"/>
    <mergeCell ref="B22:B25"/>
    <mergeCell ref="B26:B27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BFB06-6FCC-4B2B-9BFB-6E272477ED0F}">
  <dimension ref="A1:AI51"/>
  <sheetViews>
    <sheetView topLeftCell="N10" workbookViewId="0">
      <selection activeCell="X29" sqref="X29:Y31"/>
    </sheetView>
  </sheetViews>
  <sheetFormatPr defaultRowHeight="16.5"/>
  <cols>
    <col min="1" max="1" width="4.75" bestFit="1" customWidth="1"/>
    <col min="2" max="2" width="6.75" bestFit="1" customWidth="1"/>
    <col min="3" max="3" width="32.5" bestFit="1" customWidth="1"/>
    <col min="4" max="4" width="11.875" bestFit="1" customWidth="1"/>
    <col min="5" max="5" width="8" bestFit="1" customWidth="1"/>
    <col min="6" max="6" width="7.75" bestFit="1" customWidth="1"/>
    <col min="7" max="7" width="11.125" bestFit="1" customWidth="1"/>
    <col min="8" max="8" width="10.125" bestFit="1" customWidth="1"/>
    <col min="18" max="18" width="11.875" bestFit="1" customWidth="1"/>
  </cols>
  <sheetData>
    <row r="1" spans="1:8" ht="17.25" thickBot="1">
      <c r="A1" s="30" t="s">
        <v>31</v>
      </c>
      <c r="B1" s="30" t="s">
        <v>32</v>
      </c>
      <c r="C1" s="30"/>
      <c r="D1" s="30" t="s">
        <v>33</v>
      </c>
      <c r="E1" s="30" t="s">
        <v>34</v>
      </c>
      <c r="F1" s="30" t="s">
        <v>35</v>
      </c>
      <c r="G1" s="30" t="s">
        <v>33</v>
      </c>
      <c r="H1" s="30" t="s">
        <v>34</v>
      </c>
    </row>
    <row r="2" spans="1:8" ht="18" thickTop="1" thickBot="1">
      <c r="A2" s="31" t="s">
        <v>36</v>
      </c>
      <c r="B2" s="24">
        <v>676366</v>
      </c>
      <c r="C2" s="24" t="s">
        <v>37</v>
      </c>
      <c r="D2" s="25">
        <v>63.18</v>
      </c>
      <c r="E2" s="32">
        <f t="shared" ref="E2:E7" si="0">D2/4</f>
        <v>15.795</v>
      </c>
      <c r="F2" s="33">
        <v>1456.78</v>
      </c>
      <c r="G2" s="34">
        <v>92039.360000000001</v>
      </c>
      <c r="H2" s="35">
        <v>23009.84</v>
      </c>
    </row>
    <row r="3" spans="1:8" ht="17.25" thickBot="1">
      <c r="A3" s="31" t="s">
        <v>36</v>
      </c>
      <c r="B3" s="24">
        <v>676367</v>
      </c>
      <c r="C3" s="24" t="s">
        <v>38</v>
      </c>
      <c r="D3" s="25">
        <v>63.18</v>
      </c>
      <c r="E3" s="32">
        <f t="shared" si="0"/>
        <v>15.795</v>
      </c>
      <c r="F3" s="33">
        <v>1456.78</v>
      </c>
      <c r="G3" s="34">
        <v>92039.360000000001</v>
      </c>
      <c r="H3" s="35">
        <v>23009.84</v>
      </c>
    </row>
    <row r="4" spans="1:8" ht="17.25" thickBot="1">
      <c r="A4" s="31" t="s">
        <v>36</v>
      </c>
      <c r="B4" s="24">
        <v>676369</v>
      </c>
      <c r="C4" s="24" t="s">
        <v>39</v>
      </c>
      <c r="D4" s="25">
        <v>63.18</v>
      </c>
      <c r="E4" s="32">
        <f t="shared" si="0"/>
        <v>15.795</v>
      </c>
      <c r="F4" s="33">
        <v>1456.78</v>
      </c>
      <c r="G4" s="34">
        <v>92039.360000000001</v>
      </c>
      <c r="H4" s="35">
        <v>23009.84</v>
      </c>
    </row>
    <row r="5" spans="1:8" ht="17.25" thickBot="1">
      <c r="A5" s="31" t="s">
        <v>36</v>
      </c>
      <c r="B5" s="24">
        <v>677211</v>
      </c>
      <c r="C5" s="24" t="s">
        <v>40</v>
      </c>
      <c r="D5" s="25">
        <v>85.32</v>
      </c>
      <c r="E5" s="32">
        <f t="shared" si="0"/>
        <v>21.33</v>
      </c>
      <c r="F5" s="33">
        <v>1456.78</v>
      </c>
      <c r="G5" s="34">
        <v>124292.47</v>
      </c>
      <c r="H5" s="35">
        <v>31073.119999999999</v>
      </c>
    </row>
    <row r="6" spans="1:8" ht="17.25" thickBot="1">
      <c r="A6" s="31" t="s">
        <v>36</v>
      </c>
      <c r="B6" s="24">
        <v>677200</v>
      </c>
      <c r="C6" s="24" t="s">
        <v>41</v>
      </c>
      <c r="D6" s="25">
        <v>85.32</v>
      </c>
      <c r="E6" s="32">
        <f t="shared" si="0"/>
        <v>21.33</v>
      </c>
      <c r="F6" s="33">
        <v>1456.78</v>
      </c>
      <c r="G6" s="34">
        <v>124292.47</v>
      </c>
      <c r="H6" s="35">
        <v>31073.119999999999</v>
      </c>
    </row>
    <row r="7" spans="1:8" ht="17.25" thickBot="1">
      <c r="A7" s="36" t="s">
        <v>36</v>
      </c>
      <c r="B7" s="26">
        <v>677281</v>
      </c>
      <c r="C7" s="26" t="s">
        <v>42</v>
      </c>
      <c r="D7" s="27">
        <v>85.32</v>
      </c>
      <c r="E7" s="32">
        <f t="shared" si="0"/>
        <v>21.33</v>
      </c>
      <c r="F7" s="38">
        <v>1456.78</v>
      </c>
      <c r="G7" s="39">
        <v>124292.47</v>
      </c>
      <c r="H7" s="40">
        <v>31073.119999999999</v>
      </c>
    </row>
    <row r="8" spans="1:8" ht="18" thickTop="1" thickBot="1">
      <c r="A8" s="31" t="s">
        <v>43</v>
      </c>
      <c r="B8" s="24">
        <v>673676</v>
      </c>
      <c r="C8" s="24" t="s">
        <v>44</v>
      </c>
      <c r="D8" s="25">
        <v>85.8</v>
      </c>
      <c r="E8" s="32">
        <f>D8/6</f>
        <v>14.299999999999999</v>
      </c>
      <c r="F8" s="33">
        <v>1456.78</v>
      </c>
      <c r="G8" s="34">
        <v>124991.72</v>
      </c>
      <c r="H8" s="35">
        <v>31247.93</v>
      </c>
    </row>
    <row r="9" spans="1:8" ht="17.25" thickBot="1">
      <c r="A9" s="31" t="s">
        <v>43</v>
      </c>
      <c r="B9" s="24">
        <v>673674</v>
      </c>
      <c r="C9" s="24" t="s">
        <v>45</v>
      </c>
      <c r="D9" s="25">
        <v>85.8</v>
      </c>
      <c r="E9" s="32">
        <f>D9/6</f>
        <v>14.299999999999999</v>
      </c>
      <c r="F9" s="33">
        <v>1456.78</v>
      </c>
      <c r="G9" s="34">
        <v>124991.72</v>
      </c>
      <c r="H9" s="35">
        <v>31247.93</v>
      </c>
    </row>
    <row r="10" spans="1:8" ht="17.25" thickBot="1">
      <c r="A10" s="31" t="s">
        <v>43</v>
      </c>
      <c r="B10" s="24">
        <v>673672</v>
      </c>
      <c r="C10" s="24" t="s">
        <v>46</v>
      </c>
      <c r="D10" s="25">
        <v>85.8</v>
      </c>
      <c r="E10" s="32">
        <f>D10/6</f>
        <v>14.299999999999999</v>
      </c>
      <c r="F10" s="33">
        <v>1456.78</v>
      </c>
      <c r="G10" s="34">
        <v>124991.72</v>
      </c>
      <c r="H10" s="35">
        <v>31247.93</v>
      </c>
    </row>
    <row r="11" spans="1:8" ht="17.25" thickBot="1">
      <c r="A11" s="31" t="s">
        <v>43</v>
      </c>
      <c r="B11" s="24">
        <v>673641</v>
      </c>
      <c r="C11" s="24" t="s">
        <v>47</v>
      </c>
      <c r="D11" s="25">
        <v>85.8</v>
      </c>
      <c r="E11" s="32">
        <f>D11/6</f>
        <v>14.299999999999999</v>
      </c>
      <c r="F11" s="33">
        <v>1456.78</v>
      </c>
      <c r="G11" s="34">
        <v>124991.72</v>
      </c>
      <c r="H11" s="35">
        <v>31247.93</v>
      </c>
    </row>
    <row r="12" spans="1:8" ht="17.25" thickBot="1">
      <c r="A12" s="31" t="s">
        <v>43</v>
      </c>
      <c r="B12" s="24">
        <v>677044</v>
      </c>
      <c r="C12" s="24" t="s">
        <v>48</v>
      </c>
      <c r="D12" s="25">
        <v>77.2</v>
      </c>
      <c r="E12" s="32">
        <f>D12/4</f>
        <v>19.3</v>
      </c>
      <c r="F12" s="33">
        <v>1456.78</v>
      </c>
      <c r="G12" s="34">
        <v>112463.42</v>
      </c>
      <c r="H12" s="35">
        <v>28115.85</v>
      </c>
    </row>
    <row r="13" spans="1:8" ht="17.25" thickBot="1">
      <c r="A13" s="31" t="s">
        <v>43</v>
      </c>
      <c r="B13" s="24">
        <v>677045</v>
      </c>
      <c r="C13" s="24" t="s">
        <v>49</v>
      </c>
      <c r="D13" s="25">
        <v>77.2</v>
      </c>
      <c r="E13" s="32">
        <f>D13/4</f>
        <v>19.3</v>
      </c>
      <c r="F13" s="33">
        <v>1456.78</v>
      </c>
      <c r="G13" s="34">
        <v>112463.42</v>
      </c>
      <c r="H13" s="35">
        <v>28115.85</v>
      </c>
    </row>
    <row r="14" spans="1:8" ht="17.25" thickBot="1">
      <c r="A14" s="36" t="s">
        <v>43</v>
      </c>
      <c r="B14" s="26">
        <v>677047</v>
      </c>
      <c r="C14" s="26" t="s">
        <v>50</v>
      </c>
      <c r="D14" s="27">
        <v>77.2</v>
      </c>
      <c r="E14" s="32">
        <f>D14/4</f>
        <v>19.3</v>
      </c>
      <c r="F14" s="38">
        <v>1456.78</v>
      </c>
      <c r="G14" s="39">
        <v>112463.42</v>
      </c>
      <c r="H14" s="40">
        <v>28115.85</v>
      </c>
    </row>
    <row r="15" spans="1:8" ht="18" thickTop="1" thickBot="1">
      <c r="A15" s="36"/>
      <c r="B15" s="26">
        <v>698408</v>
      </c>
      <c r="C15" s="29" t="s">
        <v>53</v>
      </c>
      <c r="D15" s="37">
        <v>84.8</v>
      </c>
      <c r="E15" s="98">
        <v>21.2</v>
      </c>
      <c r="F15" s="38">
        <v>1456.78</v>
      </c>
      <c r="G15" s="39">
        <v>123534.94</v>
      </c>
      <c r="H15" s="40">
        <v>30883.74</v>
      </c>
    </row>
    <row r="16" spans="1:8" ht="18" thickTop="1" thickBot="1">
      <c r="A16" s="31"/>
      <c r="B16" s="24">
        <v>653156</v>
      </c>
      <c r="C16" s="28" t="s">
        <v>51</v>
      </c>
      <c r="D16" s="32">
        <v>197.57</v>
      </c>
      <c r="E16" s="37">
        <f>D16/24</f>
        <v>8.2320833333333336</v>
      </c>
      <c r="F16" s="33">
        <v>1456.78</v>
      </c>
      <c r="G16" s="34">
        <v>287816.02</v>
      </c>
      <c r="H16" s="40">
        <v>11992.33</v>
      </c>
    </row>
    <row r="17" spans="1:35" ht="17.25" thickBot="1">
      <c r="A17" s="31"/>
      <c r="B17" s="24">
        <v>653299</v>
      </c>
      <c r="C17" s="28" t="s">
        <v>52</v>
      </c>
      <c r="D17" s="32">
        <v>197.57</v>
      </c>
      <c r="E17" s="37">
        <f>D17/24</f>
        <v>8.2320833333333336</v>
      </c>
      <c r="F17" s="33">
        <v>1456.78</v>
      </c>
      <c r="G17" s="34">
        <v>287816.02</v>
      </c>
      <c r="H17" s="35">
        <v>11992.33</v>
      </c>
    </row>
    <row r="18" spans="1:35">
      <c r="C18" s="10" t="s">
        <v>86</v>
      </c>
      <c r="E18">
        <v>19.3</v>
      </c>
    </row>
    <row r="21" spans="1:35" ht="16.5" customHeight="1">
      <c r="A21" t="s">
        <v>54</v>
      </c>
    </row>
    <row r="22" spans="1:35">
      <c r="A22" s="137" t="s">
        <v>15</v>
      </c>
      <c r="B22" s="137"/>
      <c r="C22" s="137"/>
      <c r="D22" s="102" t="s">
        <v>94</v>
      </c>
      <c r="E22" s="102" t="s">
        <v>88</v>
      </c>
      <c r="F22" s="102" t="s">
        <v>89</v>
      </c>
      <c r="G22" s="102" t="s">
        <v>90</v>
      </c>
      <c r="H22" s="102" t="s">
        <v>91</v>
      </c>
      <c r="I22" s="102" t="s">
        <v>92</v>
      </c>
      <c r="J22" s="67" t="s">
        <v>74</v>
      </c>
      <c r="K22" s="67" t="s">
        <v>75</v>
      </c>
      <c r="L22" s="67" t="s">
        <v>5</v>
      </c>
      <c r="M22" s="67" t="s">
        <v>16</v>
      </c>
      <c r="N22" s="67" t="s">
        <v>7</v>
      </c>
      <c r="O22" s="67" t="s">
        <v>8</v>
      </c>
      <c r="P22" s="67" t="s">
        <v>9</v>
      </c>
      <c r="Q22" s="67" t="s">
        <v>10</v>
      </c>
      <c r="R22" s="67" t="s">
        <v>11</v>
      </c>
      <c r="S22" s="90"/>
      <c r="U22" s="137" t="s">
        <v>15</v>
      </c>
      <c r="V22" s="137"/>
      <c r="W22" s="137"/>
      <c r="X22" s="102" t="s">
        <v>90</v>
      </c>
      <c r="Y22" s="102" t="s">
        <v>91</v>
      </c>
      <c r="Z22" s="7" t="s">
        <v>92</v>
      </c>
      <c r="AA22" s="7" t="s">
        <v>74</v>
      </c>
      <c r="AB22" s="7" t="s">
        <v>75</v>
      </c>
      <c r="AC22" s="7" t="s">
        <v>93</v>
      </c>
      <c r="AD22" s="64" t="s">
        <v>16</v>
      </c>
      <c r="AE22" s="64" t="s">
        <v>7</v>
      </c>
      <c r="AF22" s="64" t="s">
        <v>8</v>
      </c>
      <c r="AG22" s="64" t="s">
        <v>9</v>
      </c>
      <c r="AH22" s="64" t="s">
        <v>10</v>
      </c>
      <c r="AI22" s="64" t="s">
        <v>11</v>
      </c>
    </row>
    <row r="23" spans="1:35">
      <c r="A23" s="141"/>
      <c r="B23" s="116" t="s">
        <v>12</v>
      </c>
      <c r="C23" s="1">
        <v>1</v>
      </c>
      <c r="D23" s="69">
        <f>아이베!E5*단가!$E2</f>
        <v>0</v>
      </c>
      <c r="E23" s="69">
        <f>아이베!F5*단가!$E2</f>
        <v>0</v>
      </c>
      <c r="F23" s="69">
        <f>아이베!G5*단가!$E2</f>
        <v>45489.599999999999</v>
      </c>
      <c r="G23" s="69">
        <f>아이베!H5*단가!$E2</f>
        <v>0</v>
      </c>
      <c r="H23" s="69">
        <f>아이베!I5*단가!$E2</f>
        <v>0</v>
      </c>
      <c r="I23" s="69">
        <f>아이베!J5*단가!$E2</f>
        <v>0</v>
      </c>
      <c r="J23" s="69">
        <f>아이베!K5*단가!$E2</f>
        <v>0</v>
      </c>
      <c r="K23" s="69">
        <f>아이베!L5*단가!$E2</f>
        <v>45489.599999999999</v>
      </c>
      <c r="L23" s="69">
        <f>아이베!M5*단가!$E2</f>
        <v>263839.68</v>
      </c>
      <c r="M23" s="69">
        <f>아이베!N5*단가!$E2</f>
        <v>36391.68</v>
      </c>
      <c r="N23" s="69">
        <f>아이베!O5*단가!$E2</f>
        <v>78975</v>
      </c>
      <c r="O23" s="69">
        <f>아이베!P5*단가!$E2</f>
        <v>142155</v>
      </c>
      <c r="P23" s="69" t="e">
        <f>아이베!#REF!*단가!$E2</f>
        <v>#REF!</v>
      </c>
      <c r="Q23" s="69" t="e">
        <f>아이베!#REF!*단가!$E2</f>
        <v>#REF!</v>
      </c>
      <c r="R23" s="69" t="e">
        <f>아이베!#REF!*단가!$E2</f>
        <v>#REF!</v>
      </c>
      <c r="S23" s="91"/>
      <c r="U23" s="138"/>
      <c r="V23" s="116" t="s">
        <v>12</v>
      </c>
      <c r="W23" s="1">
        <v>1</v>
      </c>
      <c r="X23" s="8">
        <f>아이베!E18*$E$2</f>
        <v>0</v>
      </c>
      <c r="Y23" s="8">
        <f>아이베!F18*$E$2</f>
        <v>0</v>
      </c>
      <c r="Z23" s="8">
        <f>아이베!G18*$E$2</f>
        <v>45489.599999999999</v>
      </c>
      <c r="AA23" s="8">
        <f>아이베!H18*$E$2</f>
        <v>0</v>
      </c>
      <c r="AB23" s="8">
        <f>아이베!I18*$E$2</f>
        <v>0</v>
      </c>
      <c r="AC23" s="8">
        <f>아이베!J18*$E$2</f>
        <v>0</v>
      </c>
      <c r="AD23" s="8">
        <f>아이베!K18*$E$2</f>
        <v>0</v>
      </c>
      <c r="AE23" s="8">
        <f>아이베!L18*$E$2</f>
        <v>45489.599999999999</v>
      </c>
      <c r="AF23" s="8">
        <f>아이베!M18*$E$2</f>
        <v>263839.68</v>
      </c>
      <c r="AG23" s="8">
        <f>아이베!N18*$E$2</f>
        <v>36391.68</v>
      </c>
      <c r="AH23" s="8">
        <f>아이베!O18*$E$2</f>
        <v>78975</v>
      </c>
      <c r="AI23" s="8">
        <f>아이베!P18*$E$2</f>
        <v>142155</v>
      </c>
    </row>
    <row r="24" spans="1:35">
      <c r="A24" s="141"/>
      <c r="B24" s="116"/>
      <c r="C24" s="1">
        <v>2</v>
      </c>
      <c r="D24" s="69">
        <f>아이베!E6*단가!$E3</f>
        <v>145566.72</v>
      </c>
      <c r="E24" s="69">
        <f>아이베!F6*단가!$E3</f>
        <v>90979.199999999997</v>
      </c>
      <c r="F24" s="69">
        <f>아이베!G6*단가!$E3</f>
        <v>154664.63999999998</v>
      </c>
      <c r="G24" s="69">
        <f>아이베!H6*단가!$E3</f>
        <v>0</v>
      </c>
      <c r="H24" s="69">
        <f>아이베!I6*단가!$E3</f>
        <v>0</v>
      </c>
      <c r="I24" s="69">
        <f>아이베!J6*단가!$E3</f>
        <v>0</v>
      </c>
      <c r="J24" s="69">
        <f>아이베!K6*단가!$E3</f>
        <v>0</v>
      </c>
      <c r="K24" s="69">
        <f>아이베!L6*단가!$E3</f>
        <v>154664.63999999998</v>
      </c>
      <c r="L24" s="69">
        <f>아이베!M6*단가!$E3</f>
        <v>136468.79999999999</v>
      </c>
      <c r="M24" s="69">
        <f>아이베!N6*단가!$E3</f>
        <v>236545.92000000001</v>
      </c>
      <c r="N24" s="69">
        <f>아이베!O6*단가!$E3</f>
        <v>126360</v>
      </c>
      <c r="O24" s="69">
        <f>아이베!P6*단가!$E3</f>
        <v>110565</v>
      </c>
      <c r="P24" s="69" t="e">
        <f>아이베!#REF!*단가!$E3</f>
        <v>#REF!</v>
      </c>
      <c r="Q24" s="69" t="e">
        <f>아이베!#REF!*단가!$E3</f>
        <v>#REF!</v>
      </c>
      <c r="R24" s="69" t="e">
        <f>아이베!#REF!*단가!$E3</f>
        <v>#REF!</v>
      </c>
      <c r="S24" s="91"/>
      <c r="U24" s="139"/>
      <c r="V24" s="116"/>
      <c r="W24" s="1">
        <v>2</v>
      </c>
      <c r="X24" s="8">
        <f>아이베!E19*$E$3</f>
        <v>145566.72</v>
      </c>
      <c r="Y24" s="8">
        <f>아이베!F19*$E$3</f>
        <v>90979.199999999997</v>
      </c>
      <c r="Z24" s="8">
        <f>아이베!G19*$E$3</f>
        <v>154664.63999999998</v>
      </c>
      <c r="AA24" s="8">
        <f>아이베!H19*$E$3</f>
        <v>0</v>
      </c>
      <c r="AB24" s="8">
        <f>아이베!I19*$E$3</f>
        <v>0</v>
      </c>
      <c r="AC24" s="8">
        <f>아이베!J19*$E$3</f>
        <v>0</v>
      </c>
      <c r="AD24" s="8">
        <f>아이베!K19*$E$3</f>
        <v>0</v>
      </c>
      <c r="AE24" s="8">
        <f>아이베!L19*$E$3</f>
        <v>154664.63999999998</v>
      </c>
      <c r="AF24" s="8">
        <f>아이베!M19*$E$3</f>
        <v>136468.79999999999</v>
      </c>
      <c r="AG24" s="8">
        <f>아이베!N19*$E$3</f>
        <v>236545.92000000001</v>
      </c>
      <c r="AH24" s="8">
        <f>아이베!O19*$E$3</f>
        <v>126360</v>
      </c>
      <c r="AI24" s="8">
        <f>아이베!P19*$E$3</f>
        <v>110565</v>
      </c>
    </row>
    <row r="25" spans="1:35">
      <c r="A25" s="141"/>
      <c r="B25" s="116"/>
      <c r="C25" s="1">
        <v>3</v>
      </c>
      <c r="D25" s="69">
        <f>아이베!E7*단가!$E4</f>
        <v>254741.76000000001</v>
      </c>
      <c r="E25" s="69">
        <f>아이베!F7*단가!$E4</f>
        <v>109175.03999999999</v>
      </c>
      <c r="F25" s="69">
        <f>아이베!G7*단가!$E4</f>
        <v>0</v>
      </c>
      <c r="G25" s="69">
        <f>아이베!H7*단가!$E4</f>
        <v>0</v>
      </c>
      <c r="H25" s="69">
        <f>아이베!I7*단가!$E4</f>
        <v>0</v>
      </c>
      <c r="I25" s="69">
        <f>아이베!J7*단가!$E4</f>
        <v>0</v>
      </c>
      <c r="J25" s="69">
        <f>아이베!K7*단가!$E4</f>
        <v>0</v>
      </c>
      <c r="K25" s="69">
        <f>아이베!L7*단가!$E4</f>
        <v>0</v>
      </c>
      <c r="L25" s="69">
        <f>아이베!M7*단가!$E4</f>
        <v>0</v>
      </c>
      <c r="M25" s="69">
        <f>아이베!N7*단가!$E4</f>
        <v>127370.88</v>
      </c>
      <c r="N25" s="69">
        <f>아이베!O7*단가!$E4</f>
        <v>47385</v>
      </c>
      <c r="O25" s="69">
        <f>아이베!P7*단가!$E4</f>
        <v>47385</v>
      </c>
      <c r="P25" s="69" t="e">
        <f>아이베!#REF!*단가!$E4</f>
        <v>#REF!</v>
      </c>
      <c r="Q25" s="69" t="e">
        <f>아이베!#REF!*단가!$E4</f>
        <v>#REF!</v>
      </c>
      <c r="R25" s="69" t="e">
        <f>아이베!#REF!*단가!$E4</f>
        <v>#REF!</v>
      </c>
      <c r="S25" s="91"/>
      <c r="U25" s="139"/>
      <c r="V25" s="116"/>
      <c r="W25" s="1">
        <v>3</v>
      </c>
      <c r="X25" s="8">
        <f>아이베!E20*$E$4</f>
        <v>254741.76000000001</v>
      </c>
      <c r="Y25" s="8">
        <f>아이베!F20*$E$4</f>
        <v>109175.03999999999</v>
      </c>
      <c r="Z25" s="8">
        <f>아이베!G20*$E$4</f>
        <v>0</v>
      </c>
      <c r="AA25" s="8">
        <f>아이베!H20*$E$4</f>
        <v>0</v>
      </c>
      <c r="AB25" s="8">
        <f>아이베!I20*$E$4</f>
        <v>0</v>
      </c>
      <c r="AC25" s="8">
        <f>아이베!J20*$E$4</f>
        <v>0</v>
      </c>
      <c r="AD25" s="8">
        <f>아이베!K20*$E$4</f>
        <v>0</v>
      </c>
      <c r="AE25" s="8">
        <f>아이베!L20*$E$4</f>
        <v>0</v>
      </c>
      <c r="AF25" s="8">
        <f>아이베!M20*$E$4</f>
        <v>0</v>
      </c>
      <c r="AG25" s="8">
        <f>아이베!N20*$E$4</f>
        <v>127370.88</v>
      </c>
      <c r="AH25" s="8">
        <f>아이베!O20*$E$4</f>
        <v>47385</v>
      </c>
      <c r="AI25" s="8">
        <f>아이베!P20*$E$4</f>
        <v>47385</v>
      </c>
    </row>
    <row r="26" spans="1:35">
      <c r="A26" s="141"/>
      <c r="B26" s="117" t="s">
        <v>13</v>
      </c>
      <c r="C26" s="2">
        <v>1</v>
      </c>
      <c r="D26" s="69">
        <f>아이베!E8*단가!$E5</f>
        <v>327628.79999999999</v>
      </c>
      <c r="E26" s="69">
        <f>아이베!F8*단가!$E5</f>
        <v>245721.59999999998</v>
      </c>
      <c r="F26" s="69">
        <f>아이베!G8*단가!$E5</f>
        <v>229340.15999999997</v>
      </c>
      <c r="G26" s="69">
        <f>아이베!H8*단가!$E5</f>
        <v>622494.71999999997</v>
      </c>
      <c r="H26" s="69">
        <f>아이베!I8*단가!$E5</f>
        <v>212958.71999999997</v>
      </c>
      <c r="I26" s="69">
        <f>아이베!J8*단가!$E5</f>
        <v>196577.27999999997</v>
      </c>
      <c r="J26" s="69">
        <f>아이베!K8*단가!$E5</f>
        <v>466871.03999999998</v>
      </c>
      <c r="K26" s="69">
        <f>아이베!L8*단가!$E5</f>
        <v>0</v>
      </c>
      <c r="L26" s="69">
        <f>아이베!M8*단가!$E5</f>
        <v>344010.23999999999</v>
      </c>
      <c r="M26" s="69">
        <f>아이베!N8*단가!$E5</f>
        <v>491443.19999999995</v>
      </c>
      <c r="N26" s="69">
        <f>아이베!O8*단가!$E5</f>
        <v>298620</v>
      </c>
      <c r="O26" s="69">
        <f>아이베!P8*단가!$E5</f>
        <v>298620</v>
      </c>
      <c r="P26" s="69" t="e">
        <f>아이베!#REF!*단가!$E5</f>
        <v>#REF!</v>
      </c>
      <c r="Q26" s="69" t="e">
        <f>아이베!#REF!*단가!$E5</f>
        <v>#REF!</v>
      </c>
      <c r="R26" s="69" t="e">
        <f>아이베!#REF!*단가!$E5</f>
        <v>#REF!</v>
      </c>
      <c r="S26" s="91"/>
      <c r="U26" s="139"/>
      <c r="V26" s="117" t="s">
        <v>13</v>
      </c>
      <c r="W26" s="2">
        <v>1</v>
      </c>
      <c r="X26" s="8">
        <f>아이베!E21*$E$5</f>
        <v>327628.79999999999</v>
      </c>
      <c r="Y26" s="8">
        <f>아이베!F21*$E$5</f>
        <v>245721.59999999998</v>
      </c>
      <c r="Z26" s="8">
        <f>아이베!G21*$E$5</f>
        <v>229340.15999999997</v>
      </c>
      <c r="AA26" s="8">
        <f>아이베!H21*$E$5</f>
        <v>622494.71999999997</v>
      </c>
      <c r="AB26" s="8">
        <f>아이베!I21*$E$5</f>
        <v>212958.71999999997</v>
      </c>
      <c r="AC26" s="8">
        <f>아이베!J21*$E$5</f>
        <v>196577.27999999997</v>
      </c>
      <c r="AD26" s="8">
        <f>아이베!K21*$E$5</f>
        <v>466871.03999999998</v>
      </c>
      <c r="AE26" s="8">
        <f>아이베!L21*$E$5</f>
        <v>0</v>
      </c>
      <c r="AF26" s="8">
        <f>아이베!M21*$E$5</f>
        <v>344010.23999999999</v>
      </c>
      <c r="AG26" s="8">
        <f>아이베!N21*$E$5</f>
        <v>491443.19999999995</v>
      </c>
      <c r="AH26" s="8">
        <f>아이베!O21*$E$5</f>
        <v>298620</v>
      </c>
      <c r="AI26" s="8">
        <f>아이베!P21*$E$5</f>
        <v>298620</v>
      </c>
    </row>
    <row r="27" spans="1:35">
      <c r="A27" s="141"/>
      <c r="B27" s="117"/>
      <c r="C27" s="2">
        <v>2</v>
      </c>
      <c r="D27" s="69">
        <f>아이베!E9*단가!$E6</f>
        <v>0</v>
      </c>
      <c r="E27" s="69">
        <f>아이베!F9*단가!$E6</f>
        <v>0</v>
      </c>
      <c r="F27" s="69">
        <f>아이베!G9*단가!$E6</f>
        <v>358344</v>
      </c>
      <c r="G27" s="69">
        <f>아이베!H9*단가!$E6</f>
        <v>360391.67999999999</v>
      </c>
      <c r="H27" s="69">
        <f>아이베!I9*단가!$E6</f>
        <v>65525.759999999995</v>
      </c>
      <c r="I27" s="69">
        <f>아이베!J9*단가!$E6</f>
        <v>0</v>
      </c>
      <c r="J27" s="69">
        <f>아이베!K9*단가!$E6</f>
        <v>393154.55999999994</v>
      </c>
      <c r="K27" s="69">
        <f>아이베!L9*단가!$E6</f>
        <v>196577.27999999997</v>
      </c>
      <c r="L27" s="69">
        <f>아이베!M9*단가!$E6</f>
        <v>245721.59999999998</v>
      </c>
      <c r="M27" s="69">
        <f>아이베!N9*단가!$E6</f>
        <v>352200.95999999996</v>
      </c>
      <c r="N27" s="69">
        <f>아이베!O9*단가!$E6</f>
        <v>255959.99999999997</v>
      </c>
      <c r="O27" s="69">
        <f>아이베!P9*단가!$E6</f>
        <v>255959.99999999997</v>
      </c>
      <c r="P27" s="69" t="e">
        <f>아이베!#REF!*단가!$E6</f>
        <v>#REF!</v>
      </c>
      <c r="Q27" s="69" t="e">
        <f>아이베!#REF!*단가!$E6</f>
        <v>#REF!</v>
      </c>
      <c r="R27" s="69" t="e">
        <f>아이베!#REF!*단가!$E6</f>
        <v>#REF!</v>
      </c>
      <c r="S27" s="91"/>
      <c r="U27" s="139"/>
      <c r="V27" s="117"/>
      <c r="W27" s="2">
        <v>2</v>
      </c>
      <c r="X27" s="8">
        <f>아이베!E22*$E$6</f>
        <v>0</v>
      </c>
      <c r="Y27" s="8">
        <f>아이베!F22*$E$6</f>
        <v>0</v>
      </c>
      <c r="Z27" s="8">
        <f>아이베!G22*$E$6</f>
        <v>358344</v>
      </c>
      <c r="AA27" s="8">
        <f>아이베!H22*$E$6</f>
        <v>360391.67999999999</v>
      </c>
      <c r="AB27" s="8">
        <f>아이베!I22*$E$6</f>
        <v>65525.759999999995</v>
      </c>
      <c r="AC27" s="8">
        <f>아이베!J22*$E$6</f>
        <v>0</v>
      </c>
      <c r="AD27" s="8">
        <f>아이베!K22*$E$6</f>
        <v>393154.55999999994</v>
      </c>
      <c r="AE27" s="8">
        <f>아이베!L22*$E$6</f>
        <v>196577.27999999997</v>
      </c>
      <c r="AF27" s="8">
        <f>아이베!M22*$E$6</f>
        <v>245721.59999999998</v>
      </c>
      <c r="AG27" s="8">
        <f>아이베!N22*$E$6</f>
        <v>352200.95999999996</v>
      </c>
      <c r="AH27" s="8">
        <f>아이베!O22*$E$6</f>
        <v>255959.99999999997</v>
      </c>
      <c r="AI27" s="8">
        <f>아이베!P22*$E$6</f>
        <v>255959.99999999997</v>
      </c>
    </row>
    <row r="28" spans="1:35">
      <c r="A28" s="141"/>
      <c r="B28" s="117"/>
      <c r="C28" s="2">
        <v>3</v>
      </c>
      <c r="D28" s="69">
        <f>아이베!E10*단가!$E7</f>
        <v>172005.12</v>
      </c>
      <c r="E28" s="69">
        <f>아이베!F10*단가!$E7</f>
        <v>147432.95999999999</v>
      </c>
      <c r="F28" s="69">
        <f>아이베!G10*단가!$E7</f>
        <v>0</v>
      </c>
      <c r="G28" s="69">
        <f>아이베!H10*단가!$E7</f>
        <v>0</v>
      </c>
      <c r="H28" s="69">
        <f>아이베!I10*단가!$E7</f>
        <v>114670.07999999999</v>
      </c>
      <c r="I28" s="69">
        <f>아이베!J10*단가!$E7</f>
        <v>0</v>
      </c>
      <c r="J28" s="69">
        <f>아이베!K10*단가!$E7</f>
        <v>122860.79999999999</v>
      </c>
      <c r="K28" s="69">
        <f>아이베!L10*단가!$E7</f>
        <v>0</v>
      </c>
      <c r="L28" s="69">
        <f>아이베!M10*단가!$E7</f>
        <v>0</v>
      </c>
      <c r="M28" s="69">
        <f>아이베!N10*단가!$E7</f>
        <v>139242.23999999999</v>
      </c>
      <c r="N28" s="69">
        <f>아이베!O10*단가!$E7</f>
        <v>63989.999999999993</v>
      </c>
      <c r="O28" s="69">
        <f>아이베!P10*단가!$E7</f>
        <v>85320</v>
      </c>
      <c r="P28" s="69" t="e">
        <f>아이베!#REF!*단가!$E7</f>
        <v>#REF!</v>
      </c>
      <c r="Q28" s="69" t="e">
        <f>아이베!#REF!*단가!$E7</f>
        <v>#REF!</v>
      </c>
      <c r="R28" s="69" t="e">
        <f>아이베!#REF!*단가!$E7</f>
        <v>#REF!</v>
      </c>
      <c r="S28" s="91"/>
      <c r="U28" s="139"/>
      <c r="V28" s="117"/>
      <c r="W28" s="2">
        <v>3</v>
      </c>
      <c r="X28" s="8">
        <f>아이베!E23*$E$7</f>
        <v>172005.12</v>
      </c>
      <c r="Y28" s="8">
        <f>아이베!F23*$E$7</f>
        <v>147432.95999999999</v>
      </c>
      <c r="Z28" s="8">
        <f>아이베!G23*$E$7</f>
        <v>0</v>
      </c>
      <c r="AA28" s="8">
        <f>아이베!H23*$E$7</f>
        <v>0</v>
      </c>
      <c r="AB28" s="8">
        <f>아이베!I23*$E$7</f>
        <v>114670.07999999999</v>
      </c>
      <c r="AC28" s="8">
        <f>아이베!J23*$E$7</f>
        <v>0</v>
      </c>
      <c r="AD28" s="8">
        <f>아이베!K23*$E$7</f>
        <v>122860.79999999999</v>
      </c>
      <c r="AE28" s="8">
        <f>아이베!L23*$E$7</f>
        <v>0</v>
      </c>
      <c r="AF28" s="8">
        <f>아이베!M23*$E$7</f>
        <v>0</v>
      </c>
      <c r="AG28" s="8">
        <f>아이베!N23*$E$7</f>
        <v>139242.23999999999</v>
      </c>
      <c r="AH28" s="8">
        <f>아이베!O23*$E$7</f>
        <v>63989.999999999993</v>
      </c>
      <c r="AI28" s="8">
        <f>아이베!P23*$E$7</f>
        <v>85320</v>
      </c>
    </row>
    <row r="29" spans="1:35" ht="16.5" customHeight="1">
      <c r="A29" s="141"/>
      <c r="B29" s="135" t="s">
        <v>14</v>
      </c>
      <c r="C29" s="135"/>
      <c r="D29" s="9">
        <f t="shared" ref="D29:I29" si="1">SUM(D23:D28)</f>
        <v>899942.40000000002</v>
      </c>
      <c r="E29" s="9">
        <f t="shared" si="1"/>
        <v>593308.79999999993</v>
      </c>
      <c r="F29" s="9">
        <f t="shared" si="1"/>
        <v>787838.39999999991</v>
      </c>
      <c r="G29" s="9">
        <f t="shared" si="1"/>
        <v>982886.39999999991</v>
      </c>
      <c r="H29" s="9">
        <f t="shared" si="1"/>
        <v>393154.55999999994</v>
      </c>
      <c r="I29" s="9">
        <f t="shared" si="1"/>
        <v>196577.27999999997</v>
      </c>
      <c r="J29" s="9">
        <f>SUM(J23:J28)</f>
        <v>982886.39999999991</v>
      </c>
      <c r="K29" s="9">
        <f t="shared" ref="K29:R29" si="2">SUM(K23:K28)</f>
        <v>396731.51999999996</v>
      </c>
      <c r="L29" s="9">
        <f t="shared" si="2"/>
        <v>990040.32</v>
      </c>
      <c r="M29" s="9">
        <f t="shared" si="2"/>
        <v>1383194.88</v>
      </c>
      <c r="N29" s="9">
        <f t="shared" si="2"/>
        <v>871290</v>
      </c>
      <c r="O29" s="9">
        <f t="shared" si="2"/>
        <v>940005</v>
      </c>
      <c r="P29" s="9" t="e">
        <f t="shared" si="2"/>
        <v>#REF!</v>
      </c>
      <c r="Q29" s="9" t="e">
        <f t="shared" si="2"/>
        <v>#REF!</v>
      </c>
      <c r="R29" s="9" t="e">
        <f t="shared" si="2"/>
        <v>#REF!</v>
      </c>
      <c r="S29" s="92"/>
      <c r="U29" s="139"/>
      <c r="V29" s="135" t="s">
        <v>14</v>
      </c>
      <c r="W29" s="135"/>
      <c r="X29" s="9">
        <f t="shared" ref="X29:Y29" si="3">SUM(X23:X28)</f>
        <v>899942.40000000002</v>
      </c>
      <c r="Y29" s="9">
        <f t="shared" si="3"/>
        <v>593308.79999999993</v>
      </c>
      <c r="Z29" s="9">
        <f>SUM(Z23:Z28)</f>
        <v>787838.39999999991</v>
      </c>
      <c r="AA29" s="9">
        <f t="shared" ref="AA29:AI29" si="4">SUM(AA23:AA28)</f>
        <v>982886.39999999991</v>
      </c>
      <c r="AB29" s="9">
        <f t="shared" si="4"/>
        <v>393154.55999999994</v>
      </c>
      <c r="AC29" s="9">
        <f t="shared" si="4"/>
        <v>196577.27999999997</v>
      </c>
      <c r="AD29" s="9">
        <f t="shared" si="4"/>
        <v>982886.39999999991</v>
      </c>
      <c r="AE29" s="9">
        <f t="shared" si="4"/>
        <v>396731.51999999996</v>
      </c>
      <c r="AF29" s="9">
        <f t="shared" si="4"/>
        <v>990040.32</v>
      </c>
      <c r="AG29" s="9">
        <f t="shared" si="4"/>
        <v>1383194.88</v>
      </c>
      <c r="AH29" s="9">
        <f t="shared" si="4"/>
        <v>871290</v>
      </c>
      <c r="AI29" s="9">
        <f t="shared" si="4"/>
        <v>940005</v>
      </c>
    </row>
    <row r="30" spans="1:35" ht="16.5" customHeight="1">
      <c r="A30" s="141"/>
      <c r="B30" s="136" t="s">
        <v>57</v>
      </c>
      <c r="C30" s="135"/>
      <c r="D30" s="9">
        <f t="shared" ref="D30:I30" si="5">D29</f>
        <v>899942.40000000002</v>
      </c>
      <c r="E30" s="9">
        <f t="shared" si="5"/>
        <v>593308.79999999993</v>
      </c>
      <c r="F30" s="9">
        <f t="shared" si="5"/>
        <v>787838.39999999991</v>
      </c>
      <c r="G30" s="9">
        <f t="shared" si="5"/>
        <v>982886.39999999991</v>
      </c>
      <c r="H30" s="9">
        <f t="shared" si="5"/>
        <v>393154.55999999994</v>
      </c>
      <c r="I30" s="9">
        <f t="shared" si="5"/>
        <v>196577.27999999997</v>
      </c>
      <c r="J30" s="9">
        <f>J29</f>
        <v>982886.39999999991</v>
      </c>
      <c r="K30" s="9">
        <f t="shared" ref="K30:R30" si="6">K29</f>
        <v>396731.51999999996</v>
      </c>
      <c r="L30" s="9">
        <f t="shared" si="6"/>
        <v>990040.32</v>
      </c>
      <c r="M30" s="9">
        <f t="shared" si="6"/>
        <v>1383194.88</v>
      </c>
      <c r="N30" s="9">
        <f t="shared" si="6"/>
        <v>871290</v>
      </c>
      <c r="O30" s="9">
        <f t="shared" si="6"/>
        <v>940005</v>
      </c>
      <c r="P30" s="9" t="e">
        <f t="shared" si="6"/>
        <v>#REF!</v>
      </c>
      <c r="Q30" s="9" t="e">
        <f t="shared" si="6"/>
        <v>#REF!</v>
      </c>
      <c r="R30" s="9" t="e">
        <f t="shared" si="6"/>
        <v>#REF!</v>
      </c>
      <c r="S30" s="92"/>
      <c r="U30" s="139"/>
      <c r="V30" s="136" t="s">
        <v>57</v>
      </c>
      <c r="W30" s="135"/>
      <c r="X30" s="9">
        <f t="shared" ref="X30:Y30" si="7">X29</f>
        <v>899942.40000000002</v>
      </c>
      <c r="Y30" s="9">
        <f t="shared" si="7"/>
        <v>593308.79999999993</v>
      </c>
      <c r="Z30" s="9">
        <f>Z29</f>
        <v>787838.39999999991</v>
      </c>
      <c r="AA30" s="9">
        <f t="shared" ref="AA30:AI30" si="8">AA29</f>
        <v>982886.39999999991</v>
      </c>
      <c r="AB30" s="9">
        <f t="shared" si="8"/>
        <v>393154.55999999994</v>
      </c>
      <c r="AC30" s="9">
        <f t="shared" si="8"/>
        <v>196577.27999999997</v>
      </c>
      <c r="AD30" s="9">
        <f t="shared" si="8"/>
        <v>982886.39999999991</v>
      </c>
      <c r="AE30" s="9">
        <f t="shared" si="8"/>
        <v>396731.51999999996</v>
      </c>
      <c r="AF30" s="9">
        <f t="shared" si="8"/>
        <v>990040.32</v>
      </c>
      <c r="AG30" s="9">
        <f t="shared" si="8"/>
        <v>1383194.88</v>
      </c>
      <c r="AH30" s="9">
        <f t="shared" si="8"/>
        <v>871290</v>
      </c>
      <c r="AI30" s="9">
        <f t="shared" si="8"/>
        <v>940005</v>
      </c>
    </row>
    <row r="31" spans="1:35">
      <c r="A31" s="141"/>
      <c r="B31" s="136" t="s">
        <v>56</v>
      </c>
      <c r="C31" s="135"/>
      <c r="D31" s="9">
        <f t="shared" ref="D31:I31" si="9">D30*$F$2</f>
        <v>1311018089.4720001</v>
      </c>
      <c r="E31" s="9">
        <f t="shared" si="9"/>
        <v>864320393.66399992</v>
      </c>
      <c r="F31" s="9">
        <f t="shared" si="9"/>
        <v>1147707224.3519998</v>
      </c>
      <c r="G31" s="9">
        <f t="shared" si="9"/>
        <v>1431849249.7919998</v>
      </c>
      <c r="H31" s="9">
        <f t="shared" si="9"/>
        <v>572739699.9167999</v>
      </c>
      <c r="I31" s="9">
        <f t="shared" si="9"/>
        <v>286369849.95839995</v>
      </c>
      <c r="J31" s="9">
        <f>J30*$F$2</f>
        <v>1431849249.7919998</v>
      </c>
      <c r="K31" s="9">
        <f t="shared" ref="K31:R31" si="10">K30*$F$2</f>
        <v>577950543.7055999</v>
      </c>
      <c r="L31" s="9">
        <f t="shared" si="10"/>
        <v>1442270937.3695998</v>
      </c>
      <c r="M31" s="9">
        <f t="shared" si="10"/>
        <v>2015010637.2863998</v>
      </c>
      <c r="N31" s="9">
        <f t="shared" si="10"/>
        <v>1269277846.2</v>
      </c>
      <c r="O31" s="9">
        <f t="shared" si="10"/>
        <v>1369380483.8999999</v>
      </c>
      <c r="P31" s="9" t="e">
        <f t="shared" si="10"/>
        <v>#REF!</v>
      </c>
      <c r="Q31" s="9" t="e">
        <f t="shared" si="10"/>
        <v>#REF!</v>
      </c>
      <c r="R31" s="9" t="e">
        <f t="shared" si="10"/>
        <v>#REF!</v>
      </c>
      <c r="S31" s="92"/>
      <c r="U31" s="140"/>
      <c r="V31" s="135" t="s">
        <v>17</v>
      </c>
      <c r="W31" s="135"/>
      <c r="X31" s="9">
        <f t="shared" ref="X31:Y31" si="11">X30*$F$2</f>
        <v>1311018089.4720001</v>
      </c>
      <c r="Y31" s="9">
        <f t="shared" si="11"/>
        <v>864320393.66399992</v>
      </c>
      <c r="Z31" s="9">
        <f>Z30*$F$2</f>
        <v>1147707224.3519998</v>
      </c>
      <c r="AA31" s="9">
        <f t="shared" ref="AA31:AI31" si="12">AA30*$F$2</f>
        <v>1431849249.7919998</v>
      </c>
      <c r="AB31" s="9">
        <f t="shared" si="12"/>
        <v>572739699.9167999</v>
      </c>
      <c r="AC31" s="9">
        <f t="shared" si="12"/>
        <v>286369849.95839995</v>
      </c>
      <c r="AD31" s="9">
        <f t="shared" si="12"/>
        <v>1431849249.7919998</v>
      </c>
      <c r="AE31" s="9">
        <f t="shared" si="12"/>
        <v>577950543.7055999</v>
      </c>
      <c r="AF31" s="9">
        <f t="shared" si="12"/>
        <v>1442270937.3695998</v>
      </c>
      <c r="AG31" s="9">
        <f t="shared" si="12"/>
        <v>2015010637.2863998</v>
      </c>
      <c r="AH31" s="9">
        <f t="shared" si="12"/>
        <v>1269277846.2</v>
      </c>
      <c r="AI31" s="9">
        <f t="shared" si="12"/>
        <v>1369380483.8999999</v>
      </c>
    </row>
    <row r="34" spans="1:19">
      <c r="A34" t="s">
        <v>55</v>
      </c>
    </row>
    <row r="35" spans="1:19">
      <c r="A35" s="142" t="s">
        <v>15</v>
      </c>
      <c r="B35" s="143"/>
      <c r="C35" s="144"/>
      <c r="D35" s="102" t="s">
        <v>94</v>
      </c>
      <c r="E35" s="102" t="s">
        <v>88</v>
      </c>
      <c r="F35" s="102" t="s">
        <v>89</v>
      </c>
      <c r="G35" s="102" t="s">
        <v>90</v>
      </c>
      <c r="H35" s="102" t="s">
        <v>91</v>
      </c>
      <c r="I35" s="102" t="s">
        <v>92</v>
      </c>
      <c r="J35" s="67" t="s">
        <v>74</v>
      </c>
      <c r="K35" s="67" t="s">
        <v>75</v>
      </c>
      <c r="L35" s="67" t="s">
        <v>5</v>
      </c>
      <c r="M35" s="67" t="s">
        <v>16</v>
      </c>
      <c r="N35" s="67" t="s">
        <v>7</v>
      </c>
      <c r="O35" s="67" t="s">
        <v>8</v>
      </c>
      <c r="P35" s="7"/>
      <c r="Q35" s="90"/>
      <c r="R35" s="90"/>
      <c r="S35" s="90"/>
    </row>
    <row r="36" spans="1:19">
      <c r="A36" s="145"/>
      <c r="B36" s="119" t="s">
        <v>12</v>
      </c>
      <c r="C36" s="10" t="s">
        <v>22</v>
      </c>
      <c r="D36" s="41">
        <f>크로네!E5*단가!$E8</f>
        <v>0</v>
      </c>
      <c r="E36" s="41">
        <f>크로네!F5*단가!$E8</f>
        <v>0</v>
      </c>
      <c r="F36" s="41">
        <f>크로네!G5*단가!$E8</f>
        <v>0</v>
      </c>
      <c r="G36" s="41">
        <f>크로네!H5*단가!$E8</f>
        <v>0</v>
      </c>
      <c r="H36" s="41">
        <f>크로네!I5*단가!$E8</f>
        <v>0</v>
      </c>
      <c r="I36" s="41">
        <f>크로네!J5*단가!$E8</f>
        <v>0</v>
      </c>
      <c r="J36" s="41">
        <f>크로네!K5*단가!$E8</f>
        <v>0</v>
      </c>
      <c r="K36" s="41">
        <f>크로네!L5*단가!$E8</f>
        <v>0</v>
      </c>
      <c r="L36" s="41">
        <f>크로네!M5*단가!$E8</f>
        <v>30887.999999999996</v>
      </c>
      <c r="M36" s="41">
        <f>크로네!N5*단가!$E8</f>
        <v>69498</v>
      </c>
      <c r="N36" s="41">
        <f>크로네!O5*단가!$E8</f>
        <v>57199.999999999993</v>
      </c>
      <c r="O36" s="41">
        <f>크로네!P5*단가!$E8</f>
        <v>0</v>
      </c>
      <c r="P36" s="41" t="e">
        <f>크로네!#REF!*단가!$E8</f>
        <v>#REF!</v>
      </c>
      <c r="Q36" s="93"/>
      <c r="R36" s="93"/>
      <c r="S36" s="93"/>
    </row>
    <row r="37" spans="1:19">
      <c r="A37" s="146"/>
      <c r="B37" s="119"/>
      <c r="C37" s="10">
        <v>1</v>
      </c>
      <c r="D37" s="41">
        <f>크로네!E6*단가!$E9</f>
        <v>0</v>
      </c>
      <c r="E37" s="41">
        <f>크로네!F6*단가!$E9</f>
        <v>84942</v>
      </c>
      <c r="F37" s="41">
        <f>크로네!G6*단가!$E9</f>
        <v>73359</v>
      </c>
      <c r="G37" s="41">
        <f>크로네!H6*단가!$E9</f>
        <v>0</v>
      </c>
      <c r="H37" s="41">
        <f>크로네!I6*단가!$E9</f>
        <v>0</v>
      </c>
      <c r="I37" s="41">
        <f>크로네!J6*단가!$E9</f>
        <v>0</v>
      </c>
      <c r="J37" s="41">
        <f>크로네!K6*단가!$E9</f>
        <v>0</v>
      </c>
      <c r="K37" s="41">
        <f>크로네!L6*단가!$E9</f>
        <v>142771.19999999998</v>
      </c>
      <c r="L37" s="41">
        <f>크로네!M6*단가!$E9</f>
        <v>0</v>
      </c>
      <c r="M37" s="41">
        <f>크로네!N6*단가!$E9</f>
        <v>15443.999999999998</v>
      </c>
      <c r="N37" s="41">
        <f>크로네!O6*단가!$E9</f>
        <v>0</v>
      </c>
      <c r="O37" s="41">
        <f>크로네!P6*단가!$E9</f>
        <v>0</v>
      </c>
      <c r="P37" s="41" t="e">
        <f>크로네!#REF!*단가!$E9</f>
        <v>#REF!</v>
      </c>
      <c r="Q37" s="93"/>
      <c r="R37" s="93"/>
      <c r="S37" s="93"/>
    </row>
    <row r="38" spans="1:19">
      <c r="A38" s="146"/>
      <c r="B38" s="119"/>
      <c r="C38" s="10" t="s">
        <v>86</v>
      </c>
      <c r="D38" s="41">
        <f>크로네!E7*단가!$E18</f>
        <v>0</v>
      </c>
      <c r="E38" s="41">
        <f>크로네!F7*단가!$E18</f>
        <v>0</v>
      </c>
      <c r="F38" s="41">
        <f>크로네!G7*단가!$E18</f>
        <v>0</v>
      </c>
      <c r="G38" s="41">
        <f>크로네!H7*단가!$E18</f>
        <v>0</v>
      </c>
      <c r="H38" s="41">
        <f>크로네!I7*단가!$E18</f>
        <v>99009</v>
      </c>
      <c r="I38" s="41">
        <f>크로네!J7*단가!$E18</f>
        <v>0</v>
      </c>
      <c r="J38" s="41">
        <f>크로네!K7*단가!$E18</f>
        <v>0</v>
      </c>
      <c r="K38" s="41">
        <f>크로네!L7*단가!$E18</f>
        <v>0</v>
      </c>
      <c r="L38" s="41">
        <f>크로네!M7*단가!$E18</f>
        <v>0</v>
      </c>
      <c r="M38" s="41">
        <f>크로네!N7*단가!$E18</f>
        <v>96345.600000000006</v>
      </c>
      <c r="N38" s="41">
        <f>크로네!O7*단가!$E18</f>
        <v>0</v>
      </c>
      <c r="O38" s="41">
        <f>크로네!P7*단가!$E18</f>
        <v>0</v>
      </c>
      <c r="P38" s="41">
        <f>크로네!Q7*단가!$E18</f>
        <v>0</v>
      </c>
      <c r="Q38" s="93"/>
      <c r="R38" s="93"/>
      <c r="S38" s="93"/>
    </row>
    <row r="39" spans="1:19">
      <c r="A39" s="146"/>
      <c r="B39" s="119"/>
      <c r="C39" s="10">
        <v>2</v>
      </c>
      <c r="D39" s="41">
        <f>크로네!E8*단가!$E10</f>
        <v>0</v>
      </c>
      <c r="E39" s="41">
        <f>크로네!F8*단가!$E10</f>
        <v>0</v>
      </c>
      <c r="F39" s="41">
        <f>크로네!G8*단가!$E10</f>
        <v>11583</v>
      </c>
      <c r="G39" s="41">
        <f>크로네!H8*단가!$E10</f>
        <v>0</v>
      </c>
      <c r="H39" s="41">
        <f>크로네!I8*단가!$E10</f>
        <v>11583</v>
      </c>
      <c r="I39" s="41">
        <f>크로네!J8*단가!$E10</f>
        <v>0</v>
      </c>
      <c r="J39" s="41">
        <f>크로네!K8*단가!$E10</f>
        <v>84942</v>
      </c>
      <c r="K39" s="41">
        <f>크로네!L8*단가!$E10</f>
        <v>307507.19999999995</v>
      </c>
      <c r="L39" s="41">
        <f>크로네!M8*단가!$E10</f>
        <v>54053.999999999993</v>
      </c>
      <c r="M39" s="41">
        <f>크로네!N8*단가!$E10</f>
        <v>0</v>
      </c>
      <c r="N39" s="41">
        <f>크로네!O8*단가!$E10</f>
        <v>0</v>
      </c>
      <c r="O39" s="41">
        <f>크로네!P8*단가!$E10</f>
        <v>0</v>
      </c>
      <c r="P39" s="41" t="e">
        <f>크로네!#REF!*단가!$E10</f>
        <v>#REF!</v>
      </c>
      <c r="Q39" s="93"/>
      <c r="R39" s="93"/>
      <c r="S39" s="93"/>
    </row>
    <row r="40" spans="1:19">
      <c r="A40" s="146"/>
      <c r="B40" s="119"/>
      <c r="C40" s="10" t="s">
        <v>86</v>
      </c>
      <c r="D40" s="41">
        <f>크로네!E9*단가!$E18</f>
        <v>0</v>
      </c>
      <c r="E40" s="41">
        <f>크로네!F9*단가!$E18</f>
        <v>0</v>
      </c>
      <c r="F40" s="41">
        <f>크로네!G9*단가!$E18</f>
        <v>0</v>
      </c>
      <c r="G40" s="41">
        <f>크로네!H9*단가!$E18</f>
        <v>207513.60000000001</v>
      </c>
      <c r="H40" s="41">
        <f>크로네!I9*단가!$E18</f>
        <v>207513.60000000001</v>
      </c>
      <c r="I40" s="41">
        <f>크로네!J9*단가!$E18</f>
        <v>222336</v>
      </c>
      <c r="J40" s="41">
        <f>크로네!K9*단가!$E18</f>
        <v>0</v>
      </c>
      <c r="K40" s="41">
        <f>크로네!L9*단가!$E18</f>
        <v>0</v>
      </c>
      <c r="L40" s="41">
        <f>크로네!M9*단가!$E18</f>
        <v>0</v>
      </c>
      <c r="M40" s="41">
        <f>크로네!N9*단가!$E18</f>
        <v>96345.600000000006</v>
      </c>
      <c r="N40" s="41">
        <f>크로네!O9*단가!$E18</f>
        <v>0</v>
      </c>
      <c r="O40" s="41">
        <f>크로네!P9*단가!$E18</f>
        <v>0</v>
      </c>
      <c r="P40" s="41">
        <f>크로네!Q9*단가!$E18</f>
        <v>0</v>
      </c>
      <c r="Q40" s="93"/>
      <c r="R40" s="93"/>
      <c r="S40" s="93"/>
    </row>
    <row r="41" spans="1:19">
      <c r="A41" s="146"/>
      <c r="B41" s="119"/>
      <c r="C41" s="10">
        <v>3</v>
      </c>
      <c r="D41" s="41">
        <f>크로네!E10*단가!$E11</f>
        <v>0</v>
      </c>
      <c r="E41" s="41">
        <f>크로네!F10*단가!$E11</f>
        <v>230630.39999999999</v>
      </c>
      <c r="F41" s="41">
        <f>크로네!G10*단가!$E11</f>
        <v>0</v>
      </c>
      <c r="G41" s="41">
        <f>크로네!H10*단가!$E11</f>
        <v>186700.79999999999</v>
      </c>
      <c r="H41" s="41">
        <f>크로네!I10*단가!$E11</f>
        <v>208665.59999999998</v>
      </c>
      <c r="I41" s="41">
        <f>크로네!J10*단가!$E11</f>
        <v>197683.19999999998</v>
      </c>
      <c r="J41" s="41">
        <f>크로네!K10*단가!$E11</f>
        <v>0</v>
      </c>
      <c r="K41" s="41">
        <f>크로네!L10*단가!$E11</f>
        <v>0</v>
      </c>
      <c r="L41" s="41">
        <f>크로네!M10*단가!$E11</f>
        <v>0</v>
      </c>
      <c r="M41" s="41">
        <f>크로네!N10*단가!$E11</f>
        <v>0</v>
      </c>
      <c r="N41" s="41">
        <f>크로네!O10*단가!$E11</f>
        <v>0</v>
      </c>
      <c r="O41" s="41">
        <f>크로네!P10*단가!$E11</f>
        <v>0</v>
      </c>
      <c r="P41" s="41" t="e">
        <f>크로네!#REF!*단가!$E11</f>
        <v>#REF!</v>
      </c>
      <c r="Q41" s="93"/>
      <c r="R41" s="93"/>
      <c r="S41" s="93"/>
    </row>
    <row r="42" spans="1:19">
      <c r="A42" s="146"/>
      <c r="B42" s="129" t="s">
        <v>13</v>
      </c>
      <c r="C42" s="13" t="s">
        <v>22</v>
      </c>
      <c r="D42" s="41">
        <f>크로네!E11*단가!$E12</f>
        <v>0</v>
      </c>
      <c r="E42" s="41">
        <f>크로네!F11*단가!$E12</f>
        <v>0</v>
      </c>
      <c r="F42" s="41">
        <f>크로네!G11*단가!$E12</f>
        <v>0</v>
      </c>
      <c r="G42" s="41">
        <f>크로네!H11*단가!$E12</f>
        <v>0</v>
      </c>
      <c r="H42" s="41">
        <f>크로네!I11*단가!$E12</f>
        <v>0</v>
      </c>
      <c r="I42" s="41">
        <f>크로네!J11*단가!$E12</f>
        <v>0</v>
      </c>
      <c r="J42" s="41">
        <f>크로네!K11*단가!$E12</f>
        <v>74112</v>
      </c>
      <c r="K42" s="41">
        <f>크로네!L11*단가!$E12</f>
        <v>0</v>
      </c>
      <c r="L42" s="41">
        <f>크로네!M11*단가!$E12</f>
        <v>51878.400000000001</v>
      </c>
      <c r="M42" s="41">
        <f>크로네!N11*단가!$E12</f>
        <v>22233.600000000002</v>
      </c>
      <c r="N42" s="41">
        <f>크로네!O11*단가!$E12</f>
        <v>154400</v>
      </c>
      <c r="O42" s="41">
        <f>크로네!P11*단가!$E12</f>
        <v>154400</v>
      </c>
      <c r="P42" s="41" t="e">
        <f>크로네!#REF!*단가!$E12</f>
        <v>#REF!</v>
      </c>
      <c r="Q42" s="93"/>
      <c r="R42" s="93"/>
      <c r="S42" s="93"/>
    </row>
    <row r="43" spans="1:19">
      <c r="A43" s="146"/>
      <c r="B43" s="129"/>
      <c r="C43" s="13">
        <v>1</v>
      </c>
      <c r="D43" s="41">
        <f>크로네!E12*단가!$E13</f>
        <v>0</v>
      </c>
      <c r="E43" s="41">
        <f>크로네!F12*단가!$E13</f>
        <v>7411.2000000000007</v>
      </c>
      <c r="F43" s="41">
        <f>크로네!G12*단가!$E13</f>
        <v>0</v>
      </c>
      <c r="G43" s="41">
        <f>크로네!H12*단가!$E13</f>
        <v>29644.800000000003</v>
      </c>
      <c r="H43" s="41">
        <f>크로네!I12*단가!$E13</f>
        <v>0</v>
      </c>
      <c r="I43" s="41">
        <f>크로네!J12*단가!$E13</f>
        <v>0</v>
      </c>
      <c r="J43" s="41">
        <f>크로네!K12*단가!$E13</f>
        <v>192691.20000000001</v>
      </c>
      <c r="K43" s="41">
        <f>크로네!L12*단가!$E13</f>
        <v>0</v>
      </c>
      <c r="L43" s="41">
        <f>크로네!M12*단가!$E13</f>
        <v>281625.60000000003</v>
      </c>
      <c r="M43" s="41">
        <f>크로네!N12*단가!$E13</f>
        <v>489139.20000000001</v>
      </c>
      <c r="N43" s="41">
        <f>크로네!O12*단가!$E13</f>
        <v>289500</v>
      </c>
      <c r="O43" s="41">
        <f>크로네!P12*단가!$E13</f>
        <v>270200</v>
      </c>
      <c r="P43" s="41" t="e">
        <f>크로네!#REF!*단가!$E13</f>
        <v>#REF!</v>
      </c>
      <c r="Q43" s="93"/>
      <c r="R43" s="93"/>
      <c r="S43" s="93"/>
    </row>
    <row r="44" spans="1:19">
      <c r="A44" s="146"/>
      <c r="B44" s="129"/>
      <c r="C44" s="13">
        <v>2</v>
      </c>
      <c r="D44" s="41">
        <f>크로네!E13*단가!$E14</f>
        <v>0</v>
      </c>
      <c r="E44" s="41">
        <f>크로네!F13*단가!$E14</f>
        <v>7411.2000000000007</v>
      </c>
      <c r="F44" s="41">
        <f>크로네!G13*단가!$E14</f>
        <v>0</v>
      </c>
      <c r="G44" s="41">
        <f>크로네!H13*단가!$E14</f>
        <v>0</v>
      </c>
      <c r="H44" s="41">
        <f>크로네!I13*단가!$E14</f>
        <v>0</v>
      </c>
      <c r="I44" s="41">
        <f>크로네!J13*단가!$E14</f>
        <v>0</v>
      </c>
      <c r="J44" s="41">
        <f>크로네!K13*단가!$E14</f>
        <v>222336</v>
      </c>
      <c r="K44" s="41">
        <f>크로네!L13*단가!$E14</f>
        <v>0</v>
      </c>
      <c r="L44" s="41">
        <f>크로네!M13*단가!$E14</f>
        <v>266803.20000000001</v>
      </c>
      <c r="M44" s="41">
        <f>크로네!N13*단가!$E14</f>
        <v>400204.79999999999</v>
      </c>
      <c r="N44" s="41">
        <f>크로네!O13*단가!$E14</f>
        <v>212300</v>
      </c>
      <c r="O44" s="41">
        <f>크로네!P13*단가!$E14</f>
        <v>289500</v>
      </c>
      <c r="P44" s="41" t="e">
        <f>크로네!#REF!*단가!$E14</f>
        <v>#REF!</v>
      </c>
      <c r="Q44" s="93"/>
      <c r="R44" s="93"/>
      <c r="S44" s="93"/>
    </row>
    <row r="45" spans="1:19">
      <c r="A45" s="146"/>
      <c r="B45" s="129"/>
      <c r="C45" s="13" t="s">
        <v>84</v>
      </c>
      <c r="D45" s="41">
        <f>크로네!E14*단가!$E15</f>
        <v>0</v>
      </c>
      <c r="E45" s="41">
        <f>크로네!F14*단가!$E15</f>
        <v>0</v>
      </c>
      <c r="F45" s="41">
        <f>크로네!G14*단가!$E15</f>
        <v>0</v>
      </c>
      <c r="G45" s="41">
        <f>크로네!H14*단가!$E15</f>
        <v>0</v>
      </c>
      <c r="H45" s="41">
        <f>크로네!I14*단가!$E15</f>
        <v>0</v>
      </c>
      <c r="I45" s="41">
        <f>크로네!J14*단가!$E15</f>
        <v>0</v>
      </c>
      <c r="J45" s="41">
        <f>크로네!K14*단가!$E15</f>
        <v>0</v>
      </c>
      <c r="K45" s="41">
        <f>크로네!L14*단가!$E15</f>
        <v>48844.799999999996</v>
      </c>
      <c r="L45" s="41">
        <f>크로네!M14*단가!$E15</f>
        <v>24422.399999999998</v>
      </c>
      <c r="M45" s="41">
        <f>크로네!N14*단가!$E15</f>
        <v>73267.199999999997</v>
      </c>
      <c r="N45" s="41">
        <f>크로네!O14*단가!$E15</f>
        <v>42400</v>
      </c>
      <c r="O45" s="41">
        <f>크로네!P14*단가!$E15</f>
        <v>31800</v>
      </c>
      <c r="P45" s="41" t="e">
        <f>크로네!#REF!*단가!$E15</f>
        <v>#REF!</v>
      </c>
      <c r="Q45" s="93"/>
      <c r="R45" s="93"/>
      <c r="S45" s="93"/>
    </row>
    <row r="46" spans="1:19">
      <c r="A46" s="146"/>
      <c r="B46" s="13"/>
      <c r="C46" s="13" t="s">
        <v>85</v>
      </c>
      <c r="D46" s="41">
        <f>크로네!E15*단가!$E15</f>
        <v>0</v>
      </c>
      <c r="E46" s="41">
        <f>크로네!F15*단가!$E15</f>
        <v>0</v>
      </c>
      <c r="F46" s="41">
        <f>크로네!G15*단가!$E15</f>
        <v>0</v>
      </c>
      <c r="G46" s="41">
        <f>크로네!H15*단가!$E15</f>
        <v>0</v>
      </c>
      <c r="H46" s="41">
        <f>크로네!I15*단가!$E15</f>
        <v>0</v>
      </c>
      <c r="I46" s="41">
        <f>크로네!J15*단가!$E15</f>
        <v>0</v>
      </c>
      <c r="J46" s="41">
        <f>크로네!K15*단가!$E15</f>
        <v>0</v>
      </c>
      <c r="K46" s="41">
        <f>크로네!L15*단가!$E15</f>
        <v>0</v>
      </c>
      <c r="L46" s="41">
        <f>크로네!M15*단가!$E15</f>
        <v>32563.199999999997</v>
      </c>
      <c r="M46" s="41">
        <f>크로네!N15*단가!$E15</f>
        <v>0</v>
      </c>
      <c r="N46" s="41">
        <f>크로네!O15*단가!$E15</f>
        <v>0</v>
      </c>
      <c r="O46" s="41">
        <f>크로네!P15*단가!$E15</f>
        <v>0</v>
      </c>
      <c r="P46" s="41"/>
      <c r="Q46" s="93"/>
      <c r="R46" s="93"/>
      <c r="S46" s="93"/>
    </row>
    <row r="47" spans="1:19">
      <c r="A47" s="146"/>
      <c r="B47" s="123"/>
      <c r="C47" s="14" t="s">
        <v>24</v>
      </c>
      <c r="D47" s="41">
        <f>크로네!E16*단가!$E16</f>
        <v>0</v>
      </c>
      <c r="E47" s="41">
        <f>크로네!F16*단가!$E16</f>
        <v>0</v>
      </c>
      <c r="F47" s="41">
        <f>크로네!G16*단가!$E16</f>
        <v>0</v>
      </c>
      <c r="G47" s="41">
        <f>크로네!H16*단가!$E16</f>
        <v>0</v>
      </c>
      <c r="H47" s="41">
        <f>크로네!I16*단가!$E16</f>
        <v>0</v>
      </c>
      <c r="I47" s="41">
        <f>크로네!J16*단가!$E16</f>
        <v>0</v>
      </c>
      <c r="J47" s="41">
        <f>크로네!K16*단가!$E16</f>
        <v>24893.82</v>
      </c>
      <c r="K47" s="41">
        <f>크로네!L16*단가!$E16</f>
        <v>0</v>
      </c>
      <c r="L47" s="41">
        <f>크로네!M16*단가!$E16</f>
        <v>16595.88</v>
      </c>
      <c r="M47" s="41">
        <f>크로네!N16*단가!$E16</f>
        <v>0</v>
      </c>
      <c r="N47" s="41">
        <f>크로네!O16*단가!$E16</f>
        <v>0</v>
      </c>
      <c r="O47" s="41">
        <f>크로네!P16*단가!$E16</f>
        <v>0</v>
      </c>
      <c r="P47" s="41" t="e">
        <f>크로네!#REF!*단가!$E16</f>
        <v>#REF!</v>
      </c>
      <c r="Q47" s="93"/>
      <c r="R47" s="93"/>
      <c r="S47" s="93"/>
    </row>
    <row r="48" spans="1:19">
      <c r="A48" s="146"/>
      <c r="B48" s="123"/>
      <c r="C48" s="14" t="s">
        <v>25</v>
      </c>
      <c r="D48" s="41">
        <f>크로네!E17*단가!$E17</f>
        <v>0</v>
      </c>
      <c r="E48" s="41">
        <f>크로네!F17*단가!$E17</f>
        <v>0</v>
      </c>
      <c r="F48" s="41">
        <f>크로네!G17*단가!$E17</f>
        <v>0</v>
      </c>
      <c r="G48" s="41">
        <f>크로네!H17*단가!$E17</f>
        <v>0</v>
      </c>
      <c r="H48" s="41">
        <f>크로네!I17*단가!$E17</f>
        <v>0</v>
      </c>
      <c r="I48" s="41">
        <f>크로네!J17*단가!$E17</f>
        <v>0</v>
      </c>
      <c r="J48" s="41">
        <f>크로네!K17*단가!$E17</f>
        <v>8297.94</v>
      </c>
      <c r="K48" s="41">
        <f>크로네!L17*단가!$E17</f>
        <v>0</v>
      </c>
      <c r="L48" s="41">
        <f>크로네!M17*단가!$E17</f>
        <v>0</v>
      </c>
      <c r="M48" s="41">
        <f>크로네!N17*단가!$E17</f>
        <v>0</v>
      </c>
      <c r="N48" s="41">
        <f>크로네!O17*단가!$E17</f>
        <v>0</v>
      </c>
      <c r="O48" s="41">
        <f>크로네!P17*단가!$E17</f>
        <v>0</v>
      </c>
      <c r="P48" s="41" t="e">
        <f>크로네!#REF!*단가!$E17</f>
        <v>#REF!</v>
      </c>
      <c r="Q48" s="93"/>
      <c r="R48" s="93"/>
      <c r="S48" s="93"/>
    </row>
    <row r="49" spans="1:19">
      <c r="A49" s="146"/>
      <c r="B49" s="148" t="s">
        <v>14</v>
      </c>
      <c r="C49" s="149"/>
      <c r="D49" s="9">
        <f t="shared" ref="D49:I49" si="13">SUM(D36:D48)</f>
        <v>0</v>
      </c>
      <c r="E49" s="9">
        <f t="shared" si="13"/>
        <v>330394.80000000005</v>
      </c>
      <c r="F49" s="9">
        <f t="shared" si="13"/>
        <v>84942</v>
      </c>
      <c r="G49" s="9">
        <f t="shared" si="13"/>
        <v>423859.20000000001</v>
      </c>
      <c r="H49" s="9">
        <f t="shared" si="13"/>
        <v>526771.19999999995</v>
      </c>
      <c r="I49" s="9">
        <f t="shared" si="13"/>
        <v>420019.19999999995</v>
      </c>
      <c r="J49" s="9">
        <f>SUM(J36:J48)</f>
        <v>607272.95999999985</v>
      </c>
      <c r="K49" s="9">
        <f t="shared" ref="K49:P49" si="14">SUM(K36:K48)</f>
        <v>499123.1999999999</v>
      </c>
      <c r="L49" s="9">
        <f t="shared" si="14"/>
        <v>758830.67999999993</v>
      </c>
      <c r="M49" s="9">
        <f t="shared" si="14"/>
        <v>1262478</v>
      </c>
      <c r="N49" s="9">
        <f t="shared" si="14"/>
        <v>755800</v>
      </c>
      <c r="O49" s="9">
        <f t="shared" si="14"/>
        <v>745900</v>
      </c>
      <c r="P49" s="9" t="e">
        <f t="shared" si="14"/>
        <v>#REF!</v>
      </c>
      <c r="Q49" s="92"/>
      <c r="R49" s="92"/>
      <c r="S49" s="92"/>
    </row>
    <row r="50" spans="1:19">
      <c r="A50" s="146"/>
      <c r="B50" s="150" t="s">
        <v>57</v>
      </c>
      <c r="C50" s="151"/>
      <c r="D50" s="9">
        <f t="shared" ref="D50:I50" si="15">D49</f>
        <v>0</v>
      </c>
      <c r="E50" s="9">
        <f t="shared" si="15"/>
        <v>330394.80000000005</v>
      </c>
      <c r="F50" s="9">
        <f t="shared" si="15"/>
        <v>84942</v>
      </c>
      <c r="G50" s="9">
        <f t="shared" si="15"/>
        <v>423859.20000000001</v>
      </c>
      <c r="H50" s="9">
        <f t="shared" si="15"/>
        <v>526771.19999999995</v>
      </c>
      <c r="I50" s="9">
        <f t="shared" si="15"/>
        <v>420019.19999999995</v>
      </c>
      <c r="J50" s="9">
        <f>J49</f>
        <v>607272.95999999985</v>
      </c>
      <c r="K50" s="9">
        <f t="shared" ref="K50:P50" si="16">K49</f>
        <v>499123.1999999999</v>
      </c>
      <c r="L50" s="9">
        <f t="shared" si="16"/>
        <v>758830.67999999993</v>
      </c>
      <c r="M50" s="9">
        <f t="shared" si="16"/>
        <v>1262478</v>
      </c>
      <c r="N50" s="9">
        <f t="shared" si="16"/>
        <v>755800</v>
      </c>
      <c r="O50" s="9">
        <f t="shared" si="16"/>
        <v>745900</v>
      </c>
      <c r="P50" s="9" t="e">
        <f t="shared" si="16"/>
        <v>#REF!</v>
      </c>
      <c r="Q50" s="92"/>
      <c r="R50" s="92"/>
      <c r="S50" s="92"/>
    </row>
    <row r="51" spans="1:19">
      <c r="A51" s="147"/>
      <c r="B51" s="148" t="s">
        <v>17</v>
      </c>
      <c r="C51" s="149"/>
      <c r="D51" s="9">
        <f t="shared" ref="D51:I51" si="17">D50*$F$2</f>
        <v>0</v>
      </c>
      <c r="E51" s="9">
        <f t="shared" si="17"/>
        <v>481312536.74400008</v>
      </c>
      <c r="F51" s="9">
        <f t="shared" si="17"/>
        <v>123741806.75999999</v>
      </c>
      <c r="G51" s="9">
        <f t="shared" si="17"/>
        <v>617469605.37600005</v>
      </c>
      <c r="H51" s="9">
        <f t="shared" si="17"/>
        <v>767389748.73599994</v>
      </c>
      <c r="I51" s="9">
        <f t="shared" si="17"/>
        <v>611875570.17599988</v>
      </c>
      <c r="J51" s="9">
        <f>J50*$F$2</f>
        <v>884663102.66879976</v>
      </c>
      <c r="K51" s="9">
        <f t="shared" ref="K51:P51" si="18">K50*$F$2</f>
        <v>727112695.29599988</v>
      </c>
      <c r="L51" s="9">
        <f t="shared" si="18"/>
        <v>1105449358.0103998</v>
      </c>
      <c r="M51" s="9">
        <f t="shared" si="18"/>
        <v>1839152700.8399999</v>
      </c>
      <c r="N51" s="9">
        <f t="shared" si="18"/>
        <v>1101034324</v>
      </c>
      <c r="O51" s="9">
        <f t="shared" si="18"/>
        <v>1086612202</v>
      </c>
      <c r="P51" s="9" t="e">
        <f t="shared" si="18"/>
        <v>#REF!</v>
      </c>
      <c r="Q51" s="92"/>
      <c r="R51" s="92"/>
      <c r="S51" s="92"/>
    </row>
  </sheetData>
  <mergeCells count="22">
    <mergeCell ref="A35:C35"/>
    <mergeCell ref="A36:A51"/>
    <mergeCell ref="B36:B41"/>
    <mergeCell ref="B42:B45"/>
    <mergeCell ref="B47:B48"/>
    <mergeCell ref="B49:C49"/>
    <mergeCell ref="B50:C50"/>
    <mergeCell ref="B51:C51"/>
    <mergeCell ref="A22:C22"/>
    <mergeCell ref="A23:A31"/>
    <mergeCell ref="B23:B25"/>
    <mergeCell ref="B26:B28"/>
    <mergeCell ref="B29:C29"/>
    <mergeCell ref="B30:C30"/>
    <mergeCell ref="B31:C31"/>
    <mergeCell ref="V29:W29"/>
    <mergeCell ref="V30:W30"/>
    <mergeCell ref="U22:W22"/>
    <mergeCell ref="U23:U31"/>
    <mergeCell ref="V23:V25"/>
    <mergeCell ref="V26:V28"/>
    <mergeCell ref="V31:W3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아이베</vt:lpstr>
      <vt:lpstr>내수 판매량</vt:lpstr>
      <vt:lpstr>Sheet1</vt:lpstr>
      <vt:lpstr>크로네</vt:lpstr>
      <vt:lpstr>직구 판매량</vt:lpstr>
      <vt:lpstr>단가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SCM</dc:creator>
  <cp:lastModifiedBy>SCM</cp:lastModifiedBy>
  <dcterms:created xsi:type="dcterms:W3CDTF">2024-06-21T01:39:43Z</dcterms:created>
  <dcterms:modified xsi:type="dcterms:W3CDTF">2024-08-16T08:48:50Z</dcterms:modified>
</cp:coreProperties>
</file>
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\\192.168.10.200\Nutricia\99. Sales\박효진\발주\재고관리툴-뉴트리시아 전달\1월 재고 예상\"/>
    </mc:Choice>
  </mc:AlternateContent>
  <xr:revisionPtr revIDLastSave="0" documentId="8_{62580180-4E25-4BCB-9EBD-EB131AF943B6}" xr6:coauthVersionLast="47" xr6:coauthVersionMax="47" xr10:uidLastSave="{00000000-0000-0000-0000-000000000000}"/>
  <bookViews>
    <workbookView xWindow="-120" yWindow="-120" windowWidth="29040" windowHeight="15840" xr2:uid="{F08E2460-186E-4711-B81F-ED332FDBB904}"/>
  </bookViews>
  <sheets>
    <sheet name="PLANNING" sheetId="1" r:id="rId1"/>
    <sheet name="Sheet1" sheetId="3" r:id="rId2"/>
    <sheet name="기존 템플릿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0" i="1" l="1"/>
  <c r="K40" i="1"/>
  <c r="J40" i="1"/>
  <c r="H40" i="1" l="1"/>
  <c r="G40" i="1"/>
  <c r="C25" i="1" l="1"/>
  <c r="D18" i="3" l="1"/>
  <c r="D17" i="3"/>
  <c r="D10" i="3"/>
  <c r="D9" i="3"/>
  <c r="D8" i="3"/>
  <c r="D5" i="3"/>
  <c r="D4" i="3"/>
  <c r="I40" i="1"/>
  <c r="N20" i="1"/>
  <c r="N19" i="1"/>
  <c r="N18" i="1"/>
  <c r="N17" i="1"/>
  <c r="N16" i="1"/>
  <c r="N15" i="1"/>
  <c r="N14" i="1"/>
  <c r="N13" i="1"/>
  <c r="N12" i="1"/>
  <c r="N11" i="1"/>
  <c r="N10" i="1"/>
  <c r="P10" i="1" s="1"/>
  <c r="N9" i="1"/>
  <c r="N8" i="1"/>
  <c r="N7" i="1"/>
  <c r="N6" i="1"/>
  <c r="L15" i="1"/>
  <c r="P18" i="1" l="1"/>
  <c r="R18" i="1" s="1"/>
  <c r="T18" i="1" s="1"/>
  <c r="V18" i="1" s="1"/>
  <c r="P17" i="1"/>
  <c r="R17" i="1" s="1"/>
  <c r="T17" i="1" s="1"/>
  <c r="V17" i="1" s="1"/>
  <c r="P20" i="1"/>
  <c r="R20" i="1" s="1"/>
  <c r="T20" i="1" s="1"/>
  <c r="V20" i="1" s="1"/>
  <c r="U60" i="1"/>
  <c r="U59" i="1"/>
  <c r="U72" i="1"/>
  <c r="U71" i="1"/>
  <c r="V71" i="1" s="1"/>
  <c r="U70" i="1"/>
  <c r="U69" i="1"/>
  <c r="U68" i="1"/>
  <c r="V67" i="1" s="1"/>
  <c r="U67" i="1"/>
  <c r="U66" i="1"/>
  <c r="U65" i="1"/>
  <c r="P19" i="1"/>
  <c r="R19" i="1" s="1"/>
  <c r="T19" i="1" s="1"/>
  <c r="V19" i="1" s="1"/>
  <c r="V69" i="1" l="1"/>
  <c r="V59" i="1"/>
  <c r="V65" i="1"/>
  <c r="J12" i="1"/>
  <c r="J10" i="1"/>
  <c r="H12" i="1"/>
  <c r="H11" i="1"/>
  <c r="H6" i="1"/>
  <c r="H16" i="1"/>
  <c r="H15" i="1"/>
  <c r="H13" i="1"/>
  <c r="H10" i="1"/>
  <c r="H9" i="1"/>
  <c r="H8" i="1"/>
  <c r="H7" i="1"/>
  <c r="F10" i="1"/>
  <c r="F16" i="1"/>
  <c r="F15" i="1"/>
  <c r="F13" i="1"/>
  <c r="F12" i="1"/>
  <c r="F11" i="1"/>
  <c r="F9" i="1"/>
  <c r="F8" i="1"/>
  <c r="F7" i="1"/>
  <c r="F6" i="1"/>
  <c r="D15" i="1"/>
  <c r="D16" i="1"/>
  <c r="D13" i="1"/>
  <c r="D12" i="1"/>
  <c r="D11" i="1"/>
  <c r="D10" i="1"/>
  <c r="D9" i="1"/>
  <c r="D8" i="1"/>
  <c r="D7" i="1"/>
  <c r="D6" i="1"/>
  <c r="P14" i="1" l="1"/>
  <c r="R14" i="1" s="1"/>
  <c r="T14" i="1" s="1"/>
  <c r="V14" i="1" s="1"/>
  <c r="P13" i="1"/>
  <c r="R13" i="1" s="1"/>
  <c r="T13" i="1" s="1"/>
  <c r="V13" i="1" s="1"/>
  <c r="P9" i="1"/>
  <c r="R9" i="1" s="1"/>
  <c r="T9" i="1" s="1"/>
  <c r="V9" i="1" s="1"/>
  <c r="P8" i="1"/>
  <c r="R8" i="1" s="1"/>
  <c r="T8" i="1" s="1"/>
  <c r="V8" i="1" s="1"/>
  <c r="P7" i="1"/>
  <c r="R7" i="1" s="1"/>
  <c r="T7" i="1" s="1"/>
  <c r="V7" i="1" s="1"/>
  <c r="L6" i="1"/>
  <c r="P6" i="1"/>
  <c r="R6" i="1" s="1"/>
  <c r="T6" i="1" s="1"/>
  <c r="V6" i="1" s="1"/>
  <c r="P11" i="1"/>
  <c r="R11" i="1" s="1"/>
  <c r="T11" i="1" s="1"/>
  <c r="V11" i="1" s="1"/>
  <c r="J6" i="1"/>
  <c r="J7" i="1"/>
  <c r="J13" i="1"/>
  <c r="J15" i="1"/>
  <c r="J16" i="1"/>
  <c r="J11" i="1"/>
  <c r="J9" i="1"/>
  <c r="J8" i="1"/>
  <c r="L16" i="1"/>
  <c r="L13" i="1"/>
  <c r="L11" i="1"/>
  <c r="L9" i="1"/>
  <c r="L8" i="1"/>
  <c r="L7" i="1"/>
  <c r="U64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61" i="1"/>
  <c r="U62" i="1"/>
  <c r="U63" i="1"/>
  <c r="U43" i="1"/>
  <c r="V53" i="1" l="1"/>
  <c r="V61" i="1"/>
  <c r="P16" i="1"/>
  <c r="R16" i="1" s="1"/>
  <c r="T16" i="1" s="1"/>
  <c r="V16" i="1" s="1"/>
  <c r="W16" i="1" s="1"/>
  <c r="P15" i="1"/>
  <c r="R15" i="1" s="1"/>
  <c r="T15" i="1" s="1"/>
  <c r="V15" i="1" s="1"/>
  <c r="W15" i="1" s="1"/>
  <c r="P12" i="1"/>
  <c r="R12" i="1" s="1"/>
  <c r="T12" i="1" s="1"/>
  <c r="V12" i="1" s="1"/>
  <c r="R10" i="1"/>
  <c r="T10" i="1" s="1"/>
  <c r="V10" i="1" s="1"/>
  <c r="V45" i="1"/>
  <c r="V57" i="1"/>
  <c r="V49" i="1"/>
  <c r="V51" i="1"/>
  <c r="V43" i="1"/>
  <c r="V63" i="1"/>
  <c r="V55" i="1"/>
  <c r="V47" i="1"/>
  <c r="L10" i="1"/>
  <c r="L12" i="1"/>
  <c r="O6" i="1"/>
  <c r="C24" i="1"/>
  <c r="Q6" i="1" l="1"/>
  <c r="O16" i="1"/>
  <c r="O15" i="1"/>
  <c r="O13" i="1"/>
  <c r="O12" i="1"/>
  <c r="O11" i="1"/>
  <c r="O10" i="1"/>
  <c r="O9" i="1"/>
  <c r="O8" i="1"/>
  <c r="O7" i="1"/>
  <c r="M52" i="2"/>
  <c r="L52" i="2"/>
  <c r="K52" i="2"/>
  <c r="J52" i="2"/>
  <c r="I52" i="2"/>
  <c r="H52" i="2"/>
  <c r="G52" i="2"/>
  <c r="F52" i="2"/>
  <c r="E52" i="2"/>
  <c r="D52" i="2"/>
  <c r="M51" i="2"/>
  <c r="L51" i="2"/>
  <c r="K51" i="2"/>
  <c r="J51" i="2"/>
  <c r="I51" i="2"/>
  <c r="H51" i="2"/>
  <c r="G51" i="2"/>
  <c r="F51" i="2"/>
  <c r="E51" i="2"/>
  <c r="D51" i="2"/>
  <c r="M50" i="2"/>
  <c r="L50" i="2"/>
  <c r="K50" i="2"/>
  <c r="J50" i="2"/>
  <c r="I50" i="2"/>
  <c r="H50" i="2"/>
  <c r="G50" i="2"/>
  <c r="F50" i="2"/>
  <c r="E50" i="2"/>
  <c r="D50" i="2"/>
  <c r="M49" i="2"/>
  <c r="L49" i="2"/>
  <c r="K49" i="2"/>
  <c r="J49" i="2"/>
  <c r="I49" i="2"/>
  <c r="H49" i="2"/>
  <c r="G49" i="2"/>
  <c r="F49" i="2"/>
  <c r="E49" i="2"/>
  <c r="D49" i="2"/>
  <c r="M48" i="2"/>
  <c r="L48" i="2"/>
  <c r="K48" i="2"/>
  <c r="J48" i="2"/>
  <c r="I48" i="2"/>
  <c r="H48" i="2"/>
  <c r="G48" i="2"/>
  <c r="F48" i="2"/>
  <c r="E48" i="2"/>
  <c r="D48" i="2"/>
  <c r="L47" i="2"/>
  <c r="K47" i="2"/>
  <c r="J47" i="2"/>
  <c r="I47" i="2"/>
  <c r="H47" i="2"/>
  <c r="G47" i="2"/>
  <c r="F47" i="2"/>
  <c r="E47" i="2"/>
  <c r="D47" i="2"/>
  <c r="L46" i="2"/>
  <c r="K46" i="2"/>
  <c r="J46" i="2"/>
  <c r="I46" i="2"/>
  <c r="H46" i="2"/>
  <c r="G46" i="2"/>
  <c r="F46" i="2"/>
  <c r="E46" i="2"/>
  <c r="D46" i="2"/>
  <c r="L45" i="2"/>
  <c r="K45" i="2"/>
  <c r="J45" i="2"/>
  <c r="I45" i="2"/>
  <c r="H45" i="2"/>
  <c r="G45" i="2"/>
  <c r="F45" i="2"/>
  <c r="E45" i="2"/>
  <c r="D45" i="2"/>
  <c r="L44" i="2"/>
  <c r="K44" i="2"/>
  <c r="J44" i="2"/>
  <c r="I44" i="2"/>
  <c r="H44" i="2"/>
  <c r="G44" i="2"/>
  <c r="F44" i="2"/>
  <c r="E44" i="2"/>
  <c r="D44" i="2"/>
  <c r="AB33" i="2"/>
  <c r="AB32" i="2"/>
  <c r="AB31" i="2"/>
  <c r="M31" i="2"/>
  <c r="M30" i="2"/>
  <c r="AB30" i="2" s="1"/>
  <c r="AB29" i="2"/>
  <c r="AB28" i="2"/>
  <c r="AB27" i="2"/>
  <c r="AB26" i="2"/>
  <c r="O25" i="2"/>
  <c r="O52" i="2" s="1"/>
  <c r="N25" i="2"/>
  <c r="N52" i="2" s="1"/>
  <c r="N24" i="2"/>
  <c r="N51" i="2" s="1"/>
  <c r="N23" i="2"/>
  <c r="N50" i="2" s="1"/>
  <c r="N22" i="2"/>
  <c r="N49" i="2" s="1"/>
  <c r="N21" i="2"/>
  <c r="N48" i="2" s="1"/>
  <c r="M20" i="2"/>
  <c r="N20" i="2" s="1"/>
  <c r="M19" i="2"/>
  <c r="M46" i="2" s="1"/>
  <c r="M18" i="2"/>
  <c r="M45" i="2" s="1"/>
  <c r="M17" i="2"/>
  <c r="M44" i="2" s="1"/>
  <c r="AA13" i="2"/>
  <c r="AA14" i="2" s="1"/>
  <c r="Z13" i="2"/>
  <c r="Z14" i="2" s="1"/>
  <c r="Y13" i="2"/>
  <c r="Y14" i="2" s="1"/>
  <c r="X13" i="2"/>
  <c r="X14" i="2" s="1"/>
  <c r="W13" i="2"/>
  <c r="W14" i="2" s="1"/>
  <c r="V13" i="2"/>
  <c r="V14" i="2" s="1"/>
  <c r="U13" i="2"/>
  <c r="U14" i="2" s="1"/>
  <c r="T13" i="2"/>
  <c r="T14" i="2" s="1"/>
  <c r="S13" i="2"/>
  <c r="S14" i="2" s="1"/>
  <c r="R13" i="2"/>
  <c r="R14" i="2" s="1"/>
  <c r="Q13" i="2"/>
  <c r="Q14" i="2" s="1"/>
  <c r="P13" i="2"/>
  <c r="P14" i="2" s="1"/>
  <c r="O13" i="2"/>
  <c r="N13" i="2"/>
  <c r="M13" i="2"/>
  <c r="L13" i="2"/>
  <c r="K13" i="2"/>
  <c r="J13" i="2"/>
  <c r="I13" i="2"/>
  <c r="H13" i="2"/>
  <c r="G13" i="2"/>
  <c r="F13" i="2"/>
  <c r="E13" i="2"/>
  <c r="D13" i="2"/>
  <c r="AE12" i="2"/>
  <c r="AF12" i="2" s="1"/>
  <c r="AG12" i="2" s="1"/>
  <c r="AB12" i="2"/>
  <c r="AC12" i="2" s="1"/>
  <c r="AD12" i="2" s="1"/>
  <c r="AE11" i="2"/>
  <c r="AF11" i="2" s="1"/>
  <c r="AG11" i="2" s="1"/>
  <c r="AB11" i="2"/>
  <c r="AC11" i="2" s="1"/>
  <c r="AD11" i="2" s="1"/>
  <c r="AF10" i="2"/>
  <c r="AG10" i="2" s="1"/>
  <c r="AE10" i="2"/>
  <c r="AB10" i="2"/>
  <c r="AC10" i="2" s="1"/>
  <c r="AD10" i="2" s="1"/>
  <c r="AE9" i="2"/>
  <c r="AF9" i="2" s="1"/>
  <c r="AG9" i="2" s="1"/>
  <c r="AB9" i="2"/>
  <c r="AC9" i="2" s="1"/>
  <c r="AD9" i="2" s="1"/>
  <c r="AE8" i="2"/>
  <c r="AF8" i="2" s="1"/>
  <c r="AG8" i="2" s="1"/>
  <c r="AB8" i="2"/>
  <c r="AC8" i="2" s="1"/>
  <c r="AD8" i="2" s="1"/>
  <c r="AF7" i="2"/>
  <c r="AG7" i="2" s="1"/>
  <c r="AE7" i="2"/>
  <c r="AB7" i="2"/>
  <c r="AC7" i="2" s="1"/>
  <c r="AD7" i="2" s="1"/>
  <c r="AE6" i="2"/>
  <c r="AF6" i="2" s="1"/>
  <c r="AG6" i="2" s="1"/>
  <c r="AB6" i="2"/>
  <c r="AC6" i="2" s="1"/>
  <c r="AD6" i="2" s="1"/>
  <c r="AG5" i="2"/>
  <c r="AF5" i="2"/>
  <c r="AE5" i="2"/>
  <c r="AB5" i="2"/>
  <c r="AC5" i="2" s="1"/>
  <c r="AD5" i="2" s="1"/>
  <c r="AE4" i="2"/>
  <c r="AB4" i="2"/>
  <c r="AC4" i="2" s="1"/>
  <c r="O22" i="2" l="1"/>
  <c r="O49" i="2" s="1"/>
  <c r="N19" i="2"/>
  <c r="O24" i="2"/>
  <c r="O51" i="2" s="1"/>
  <c r="AE13" i="2"/>
  <c r="O21" i="2"/>
  <c r="O48" i="2" s="1"/>
  <c r="S6" i="1"/>
  <c r="Q16" i="1"/>
  <c r="Q15" i="1"/>
  <c r="Q13" i="1"/>
  <c r="Q12" i="1"/>
  <c r="Q11" i="1"/>
  <c r="Q10" i="1"/>
  <c r="Q9" i="1"/>
  <c r="Q8" i="1"/>
  <c r="Q7" i="1"/>
  <c r="AD4" i="2"/>
  <c r="AD13" i="2" s="1"/>
  <c r="AC13" i="2"/>
  <c r="O20" i="2"/>
  <c r="O47" i="2" s="1"/>
  <c r="N47" i="2"/>
  <c r="AF4" i="2"/>
  <c r="N18" i="2"/>
  <c r="M47" i="2"/>
  <c r="AB13" i="2"/>
  <c r="N17" i="2"/>
  <c r="O23" i="2"/>
  <c r="O50" i="2" s="1"/>
  <c r="N46" i="2" l="1"/>
  <c r="O19" i="2"/>
  <c r="O46" i="2" s="1"/>
  <c r="W6" i="1"/>
  <c r="U6" i="1"/>
  <c r="S16" i="1"/>
  <c r="S15" i="1"/>
  <c r="S13" i="1"/>
  <c r="S12" i="1"/>
  <c r="S11" i="1"/>
  <c r="S10" i="1"/>
  <c r="S9" i="1"/>
  <c r="S8" i="1"/>
  <c r="S7" i="1"/>
  <c r="N45" i="2"/>
  <c r="O18" i="2"/>
  <c r="O45" i="2" s="1"/>
  <c r="AF13" i="2"/>
  <c r="AG4" i="2"/>
  <c r="AG13" i="2" s="1"/>
  <c r="N44" i="2"/>
  <c r="O17" i="2"/>
  <c r="O44" i="2" s="1"/>
  <c r="U16" i="1" l="1"/>
  <c r="U15" i="1"/>
  <c r="U13" i="1"/>
  <c r="W13" i="1"/>
  <c r="U12" i="1"/>
  <c r="W12" i="1"/>
  <c r="U11" i="1"/>
  <c r="W11" i="1"/>
  <c r="U10" i="1"/>
  <c r="W10" i="1"/>
  <c r="U9" i="1"/>
  <c r="W9" i="1"/>
  <c r="U8" i="1"/>
  <c r="W8" i="1"/>
  <c r="U7" i="1"/>
  <c r="W7" i="1"/>
</calcChain>
</file>

<file path=xl/sharedStrings.xml><?xml version="1.0" encoding="utf-8"?>
<sst xmlns="http://schemas.openxmlformats.org/spreadsheetml/2006/main" count="309" uniqueCount="76">
  <si>
    <t>Turnover</t>
  </si>
  <si>
    <t>PF Pre</t>
  </si>
  <si>
    <t>PF1</t>
  </si>
  <si>
    <t>PF2</t>
  </si>
  <si>
    <t>PF Kinder1</t>
  </si>
  <si>
    <t>PF Kinder2</t>
  </si>
  <si>
    <t>Stock</t>
  </si>
  <si>
    <t>Stock (estimate)</t>
  </si>
  <si>
    <t>Total</t>
  </si>
  <si>
    <t>Forecast</t>
  </si>
  <si>
    <t>Year</t>
    <phoneticPr fontId="5" type="noConversion"/>
  </si>
  <si>
    <t>2024 (TU)</t>
    <phoneticPr fontId="5" type="noConversion"/>
  </si>
  <si>
    <t>2025 (TU)</t>
    <phoneticPr fontId="5" type="noConversion"/>
  </si>
  <si>
    <t>2024 Total</t>
    <phoneticPr fontId="5" type="noConversion"/>
  </si>
  <si>
    <t>2025 Total</t>
    <phoneticPr fontId="5" type="noConversion"/>
  </si>
  <si>
    <t>Sell-Out
(Acutal/
Forecast)</t>
  </si>
  <si>
    <t>SKU</t>
    <phoneticPr fontId="5" type="noConversion"/>
  </si>
  <si>
    <t>Jan</t>
  </si>
  <si>
    <t>Feb</t>
  </si>
  <si>
    <t>Mar</t>
  </si>
  <si>
    <t>Apr</t>
  </si>
  <si>
    <t>May</t>
  </si>
  <si>
    <t>Jun</t>
  </si>
  <si>
    <t>Jul</t>
  </si>
  <si>
    <t>Aug</t>
    <phoneticPr fontId="5" type="noConversion"/>
  </si>
  <si>
    <t>Sep</t>
    <phoneticPr fontId="5" type="noConversion"/>
  </si>
  <si>
    <t>Oct</t>
    <phoneticPr fontId="5" type="noConversion"/>
  </si>
  <si>
    <t>Nov</t>
    <phoneticPr fontId="5" type="noConversion"/>
  </si>
  <si>
    <t>Dec</t>
    <phoneticPr fontId="5" type="noConversion"/>
  </si>
  <si>
    <t>TU</t>
    <phoneticPr fontId="5" type="noConversion"/>
  </si>
  <si>
    <t>CU</t>
    <phoneticPr fontId="5" type="noConversion"/>
  </si>
  <si>
    <t>Ton</t>
    <phoneticPr fontId="5" type="noConversion"/>
  </si>
  <si>
    <t>PN Pre</t>
  </si>
  <si>
    <t>PN1</t>
  </si>
  <si>
    <t>PN2</t>
  </si>
  <si>
    <t>PN3</t>
  </si>
  <si>
    <t>Total</t>
    <phoneticPr fontId="5" type="noConversion"/>
  </si>
  <si>
    <t>Quantity</t>
    <phoneticPr fontId="5" type="noConversion"/>
  </si>
  <si>
    <t>Aug</t>
  </si>
  <si>
    <t>Sep</t>
  </si>
  <si>
    <t>Oct</t>
  </si>
  <si>
    <t>Nov</t>
  </si>
  <si>
    <t>Dec</t>
  </si>
  <si>
    <t>Closing Inventory</t>
    <phoneticPr fontId="5" type="noConversion"/>
  </si>
  <si>
    <t>Order</t>
    <phoneticPr fontId="5" type="noConversion"/>
  </si>
  <si>
    <t>-</t>
    <phoneticPr fontId="5" type="noConversion"/>
  </si>
  <si>
    <t>Actual Received</t>
  </si>
  <si>
    <t>Stock Level</t>
    <phoneticPr fontId="5" type="noConversion"/>
  </si>
  <si>
    <t>Sell-Out</t>
  </si>
  <si>
    <t>Error Range</t>
  </si>
  <si>
    <t>PF Kinder 1+</t>
  </si>
  <si>
    <t>PF Kinder 2+</t>
  </si>
  <si>
    <t>AR</t>
  </si>
  <si>
    <t>Comfort</t>
  </si>
  <si>
    <t>-</t>
  </si>
  <si>
    <t>PLANNING _ KRONE</t>
  </si>
  <si>
    <t>(Forecast)</t>
  </si>
  <si>
    <t>TAB IF</t>
  </si>
  <si>
    <t>TAB FO</t>
  </si>
  <si>
    <t>TABS IF</t>
  </si>
  <si>
    <t>TABS FO</t>
  </si>
  <si>
    <t>(Actual Stock)</t>
  </si>
  <si>
    <t>Value Pack 1</t>
  </si>
  <si>
    <t>Value Pack 2</t>
  </si>
  <si>
    <t>Stock 
Status (TU)</t>
  </si>
  <si>
    <t>Remaining (TU)</t>
  </si>
  <si>
    <t>Order (TU)</t>
  </si>
  <si>
    <t>Sell-Out / Forecast  (TU)</t>
  </si>
  <si>
    <t>APTAMIL PF 1, NWW DE 4x800G</t>
  </si>
  <si>
    <t>APTAMIL PF 2, NWW DE 4x800G</t>
  </si>
  <si>
    <t>APTAMIL PRONUTRA 1 3X1200G</t>
  </si>
  <si>
    <t>APTAMIL PRONUTRA 2 3X1200G</t>
  </si>
  <si>
    <t>APTAMIL 1 6X800G CR/SL</t>
  </si>
  <si>
    <t>APTAMIL PRE 6X800G CR/SL</t>
  </si>
  <si>
    <t>APTAMIL PF PRE, NWW DE 4x800G</t>
  </si>
  <si>
    <t>APTAMIL 2 6X800G CR/SL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</si>
</sst>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* #,##0.00_);_(* \(#,##0.00\);_(* &quot;-&quot;??_);_(@_)"/>
    <numFmt numFmtId="178" formatCode="_(* #,##0.0_);_(* \(#,##0.0\);_(* &quot;-&quot;??_);_(@_)"/>
    <numFmt numFmtId="179" formatCode="_(* #,##0_);_(* \(#,##0\);_(* &quot;-&quot;??_);_(@_)"/>
    <numFmt numFmtId="180" formatCode="_-* #,##0.0_-;\-* #,##0.0_-;_-* &quot;-&quot;_-;_-@_-"/>
    <numFmt numFmtId="182" formatCode="_-* #,##0.0_-;\-* #,##0.0_-;_-* &quot;-&quot;?_-;_-@_-"/>
    <numFmt numFmtId="187" formatCode="#,##0_);[Red]\(#,##0\)"/>
  </numFmts>
  <fonts count="4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2"/>
      <color theme="1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i/>
      <sz val="9"/>
      <color theme="4"/>
      <name val="맑은 고딕"/>
      <family val="2"/>
      <scheme val="minor"/>
    </font>
    <font>
      <sz val="12"/>
      <color theme="1"/>
      <name val="맑은 고딕"/>
      <family val="2"/>
      <scheme val="minor"/>
    </font>
    <font>
      <b/>
      <sz val="11"/>
      <name val="맑은 고딕"/>
      <family val="2"/>
      <scheme val="minor"/>
    </font>
    <font>
      <sz val="11"/>
      <name val="맑은 고딕"/>
      <family val="2"/>
      <scheme val="major"/>
    </font>
    <font>
      <sz val="11"/>
      <name val="맑은 고딕"/>
      <family val="2"/>
      <scheme val="minor"/>
    </font>
    <font>
      <b/>
      <sz val="11"/>
      <color theme="5"/>
      <name val="맑은 고딕"/>
      <family val="2"/>
      <scheme val="minor"/>
    </font>
    <font>
      <sz val="11"/>
      <color theme="5"/>
      <name val="맑은 고딕"/>
      <family val="2"/>
      <scheme val="minor"/>
    </font>
    <font>
      <b/>
      <sz val="16"/>
      <color theme="1"/>
      <name val="맑은 고딕"/>
      <family val="2"/>
      <scheme val="minor"/>
    </font>
    <font>
      <b/>
      <sz val="24"/>
      <color rgb="FFFFFFFF"/>
      <name val="Arial"/>
      <family val="2"/>
    </font>
    <font>
      <b/>
      <sz val="12"/>
      <name val="Arial"/>
      <family val="2"/>
    </font>
    <font>
      <b/>
      <sz val="12"/>
      <name val="맑은 고딕"/>
      <family val="2"/>
      <scheme val="minor"/>
    </font>
    <font>
      <b/>
      <sz val="12"/>
      <name val="맑은 고딕"/>
      <family val="2"/>
      <scheme val="major"/>
    </font>
    <font>
      <sz val="12"/>
      <name val="맑은 고딕"/>
      <family val="2"/>
      <scheme val="major"/>
    </font>
    <font>
      <sz val="12"/>
      <name val="맑은 고딕"/>
      <family val="2"/>
      <scheme val="minor"/>
    </font>
    <font>
      <sz val="12"/>
      <name val="맑은 고딕"/>
      <family val="2"/>
      <charset val="129"/>
    </font>
    <font>
      <sz val="11"/>
      <color rgb="FF000000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4"/>
      <color rgb="FF000000"/>
      <name val="맑은 고딕"/>
      <family val="2"/>
      <scheme val="major"/>
    </font>
    <font>
      <b/>
      <sz val="11"/>
      <color rgb="FF000000"/>
      <name val="맑은 고딕"/>
      <family val="2"/>
      <scheme val="major"/>
    </font>
    <font>
      <b/>
      <sz val="11"/>
      <color theme="1"/>
      <name val="맑은 고딕"/>
      <family val="2"/>
      <scheme val="major"/>
    </font>
    <font>
      <sz val="14"/>
      <color theme="1"/>
      <name val="맑은 고딕"/>
      <family val="2"/>
      <scheme val="major"/>
    </font>
    <font>
      <sz val="11"/>
      <color theme="0"/>
      <name val="맑은 고딕"/>
      <family val="2"/>
      <scheme val="major"/>
    </font>
    <font>
      <b/>
      <sz val="10"/>
      <name val="맑은 고딕"/>
      <family val="2"/>
      <scheme val="major"/>
    </font>
    <font>
      <sz val="10"/>
      <color rgb="FF000000"/>
      <name val="맑은 고딕"/>
      <family val="2"/>
      <scheme val="major"/>
    </font>
    <font>
      <b/>
      <sz val="10"/>
      <color rgb="FF000000"/>
      <name val="맑은 고딕"/>
      <family val="2"/>
      <scheme val="major"/>
    </font>
    <font>
      <sz val="10"/>
      <color theme="1"/>
      <name val="맑은 고딕"/>
      <family val="2"/>
      <scheme val="major"/>
    </font>
    <font>
      <b/>
      <sz val="10"/>
      <color theme="1"/>
      <name val="맑은 고딕"/>
      <family val="2"/>
      <scheme val="major"/>
    </font>
    <font>
      <b/>
      <sz val="15"/>
      <color theme="1"/>
      <name val="맑은 고딕"/>
      <family val="2"/>
      <scheme val="minor"/>
    </font>
    <font>
      <b/>
      <sz val="14"/>
      <color theme="0"/>
      <name val="맑은 고딕"/>
      <family val="2"/>
      <scheme val="minor"/>
    </font>
    <font>
      <b/>
      <sz val="13"/>
      <color theme="0"/>
      <name val="맑은 고딕"/>
      <family val="2"/>
      <scheme val="minor"/>
    </font>
    <font>
      <sz val="13"/>
      <color theme="1"/>
      <name val="맑은 고딕"/>
      <family val="2"/>
      <scheme val="minor"/>
    </font>
    <font>
      <b/>
      <sz val="13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Arial"/>
      <family val="2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2"/>
      <scheme val="major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5F2B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DFFF5"/>
        <bgColor indexed="64"/>
      </patternFill>
    </fill>
    <fill>
      <patternFill patternType="solid">
        <fgColor rgb="FFE3FD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A262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FF9EB"/>
        <bgColor indexed="64"/>
      </patternFill>
    </fill>
    <fill>
      <patternFill patternType="solid">
        <fgColor rgb="FFCFE2F3"/>
        <bgColor indexed="64"/>
      </patternFill>
    </fill>
  </fills>
  <borders count="1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/>
      <top style="medium">
        <color auto="1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medium">
        <color auto="1"/>
      </top>
      <bottom style="thin">
        <color indexed="64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hair">
        <color auto="1"/>
      </right>
      <top/>
      <bottom style="double">
        <color indexed="64"/>
      </bottom>
      <diagonal/>
    </border>
    <border>
      <left style="hair">
        <color indexed="64"/>
      </left>
      <right style="medium">
        <color auto="1"/>
      </right>
      <top/>
      <bottom style="double">
        <color indexed="64"/>
      </bottom>
      <diagonal/>
    </border>
    <border>
      <left style="medium">
        <color auto="1"/>
      </left>
      <right style="hair">
        <color auto="1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indexed="64"/>
      </left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 style="hair">
        <color indexed="64"/>
      </right>
      <top style="thin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thin">
        <color auto="1"/>
      </top>
      <bottom style="medium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ck">
        <color indexed="64"/>
      </top>
      <bottom style="double">
        <color indexed="64"/>
      </bottom>
      <diagonal/>
    </border>
    <border>
      <left/>
      <right/>
      <top style="thick">
        <color auto="1"/>
      </top>
      <bottom style="double">
        <color auto="1"/>
      </bottom>
      <diagonal/>
    </border>
    <border>
      <left/>
      <right style="thick">
        <color indexed="64"/>
      </right>
      <top style="thick">
        <color auto="1"/>
      </top>
      <bottom style="double">
        <color auto="1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n">
        <color indexed="64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 style="thin">
        <color indexed="64"/>
      </top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rgb="FF000000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ck">
        <color rgb="FF000000"/>
      </right>
      <top/>
      <bottom/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/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 style="thin">
        <color rgb="FF000000"/>
      </bottom>
      <diagonal/>
    </border>
    <border>
      <left style="hair">
        <color indexed="64"/>
      </left>
      <right style="thick">
        <color rgb="FF000000"/>
      </right>
      <top/>
      <bottom style="thin">
        <color rgb="FF000000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ck">
        <color rgb="FF000000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 style="medium">
        <color auto="1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hair">
        <color indexed="64"/>
      </right>
      <top style="medium">
        <color auto="1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medium">
        <color indexed="64"/>
      </top>
      <bottom/>
      <diagonal/>
    </border>
    <border>
      <left style="hair">
        <color indexed="64"/>
      </left>
      <right style="thick">
        <color indexed="64"/>
      </right>
      <top style="medium">
        <color auto="1"/>
      </top>
      <bottom style="hair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auto="1"/>
      </top>
      <bottom/>
      <diagonal/>
    </border>
    <border>
      <left style="thick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auto="1"/>
      </left>
      <right style="double">
        <color indexed="64"/>
      </right>
      <top style="hair">
        <color auto="1"/>
      </top>
      <bottom style="medium">
        <color indexed="64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auto="1"/>
      </left>
      <right style="double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177" fontId="1" fillId="0" borderId="0" applyFont="0" applyFill="0" applyBorder="0" applyAlignment="0" applyProtection="0"/>
    <xf numFmtId="176" fontId="1" fillId="0" borderId="0" applyFont="0" applyFill="0" applyBorder="0" applyAlignment="0" applyProtection="0"/>
  </cellStyleXfs>
  <cellXfs count="348">
    <xf numFmtId="0" fontId="0" fillId="0" borderId="0" xfId="0"/>
    <xf numFmtId="0" fontId="5" fillId="0" borderId="0" xfId="0" applyFont="1"/>
    <xf numFmtId="0" fontId="0" fillId="0" borderId="7" xfId="0" applyBorder="1"/>
    <xf numFmtId="0" fontId="10" fillId="3" borderId="4" xfId="0" applyFont="1" applyFill="1" applyBorder="1"/>
    <xf numFmtId="0" fontId="2" fillId="0" borderId="0" xfId="0" applyFont="1"/>
    <xf numFmtId="0" fontId="2" fillId="2" borderId="14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178" fontId="11" fillId="3" borderId="0" xfId="1" applyNumberFormat="1" applyFont="1" applyFill="1" applyBorder="1"/>
    <xf numFmtId="179" fontId="0" fillId="0" borderId="0" xfId="1" applyNumberFormat="1" applyFont="1" applyBorder="1"/>
    <xf numFmtId="179" fontId="0" fillId="0" borderId="2" xfId="1" applyNumberFormat="1" applyFont="1" applyBorder="1"/>
    <xf numFmtId="179" fontId="0" fillId="0" borderId="7" xfId="1" applyNumberFormat="1" applyFont="1" applyBorder="1"/>
    <xf numFmtId="0" fontId="3" fillId="0" borderId="0" xfId="0" applyFont="1"/>
    <xf numFmtId="176" fontId="0" fillId="0" borderId="0" xfId="2" applyFont="1" applyAlignment="1"/>
    <xf numFmtId="176" fontId="1" fillId="0" borderId="0" xfId="2" applyFont="1" applyAlignment="1"/>
    <xf numFmtId="176" fontId="13" fillId="0" borderId="0" xfId="2" applyFont="1" applyAlignment="1">
      <alignment wrapText="1"/>
    </xf>
    <xf numFmtId="176" fontId="16" fillId="2" borderId="26" xfId="2" applyFont="1" applyFill="1" applyBorder="1" applyAlignment="1">
      <alignment horizontal="center" vertical="center"/>
    </xf>
    <xf numFmtId="176" fontId="16" fillId="2" borderId="27" xfId="2" applyFont="1" applyFill="1" applyBorder="1" applyAlignment="1">
      <alignment horizontal="center" vertical="center"/>
    </xf>
    <xf numFmtId="176" fontId="16" fillId="2" borderId="28" xfId="2" applyFont="1" applyFill="1" applyBorder="1" applyAlignment="1">
      <alignment horizontal="center" vertical="center"/>
    </xf>
    <xf numFmtId="176" fontId="16" fillId="2" borderId="29" xfId="2" applyFont="1" applyFill="1" applyBorder="1" applyAlignment="1">
      <alignment horizontal="center" vertical="center"/>
    </xf>
    <xf numFmtId="176" fontId="16" fillId="2" borderId="30" xfId="2" applyFont="1" applyFill="1" applyBorder="1" applyAlignment="1">
      <alignment horizontal="center" vertical="center"/>
    </xf>
    <xf numFmtId="176" fontId="17" fillId="0" borderId="32" xfId="2" applyFont="1" applyBorder="1" applyAlignment="1">
      <alignment horizontal="center" vertical="center"/>
    </xf>
    <xf numFmtId="176" fontId="17" fillId="8" borderId="32" xfId="2" applyFont="1" applyFill="1" applyBorder="1" applyAlignment="1">
      <alignment horizontal="center" vertical="center"/>
    </xf>
    <xf numFmtId="176" fontId="17" fillId="0" borderId="32" xfId="2" applyFont="1" applyFill="1" applyBorder="1" applyAlignment="1">
      <alignment horizontal="center" vertical="center"/>
    </xf>
    <xf numFmtId="176" fontId="17" fillId="9" borderId="32" xfId="2" applyFont="1" applyFill="1" applyBorder="1" applyAlignment="1">
      <alignment horizontal="center" vertical="center"/>
    </xf>
    <xf numFmtId="176" fontId="17" fillId="9" borderId="33" xfId="2" applyFont="1" applyFill="1" applyBorder="1" applyAlignment="1">
      <alignment horizontal="center" vertical="center"/>
    </xf>
    <xf numFmtId="176" fontId="18" fillId="9" borderId="31" xfId="2" applyFont="1" applyFill="1" applyBorder="1" applyAlignment="1">
      <alignment horizontal="center" vertical="center"/>
    </xf>
    <xf numFmtId="176" fontId="18" fillId="9" borderId="32" xfId="2" applyFont="1" applyFill="1" applyBorder="1" applyAlignment="1">
      <alignment horizontal="center" vertical="center"/>
    </xf>
    <xf numFmtId="176" fontId="18" fillId="9" borderId="34" xfId="2" applyFont="1" applyFill="1" applyBorder="1" applyAlignment="1">
      <alignment horizontal="center" vertical="center"/>
    </xf>
    <xf numFmtId="176" fontId="6" fillId="0" borderId="35" xfId="2" applyFont="1" applyBorder="1" applyAlignment="1">
      <alignment horizontal="center" vertical="center"/>
    </xf>
    <xf numFmtId="176" fontId="6" fillId="0" borderId="32" xfId="2" applyFont="1" applyBorder="1" applyAlignment="1">
      <alignment horizontal="center" vertical="center"/>
    </xf>
    <xf numFmtId="176" fontId="6" fillId="0" borderId="33" xfId="2" applyFont="1" applyBorder="1" applyAlignment="1">
      <alignment horizontal="center" vertical="center"/>
    </xf>
    <xf numFmtId="176" fontId="6" fillId="0" borderId="31" xfId="2" applyFont="1" applyBorder="1" applyAlignment="1">
      <alignment horizontal="center" vertical="center"/>
    </xf>
    <xf numFmtId="176" fontId="6" fillId="0" borderId="34" xfId="2" applyFont="1" applyBorder="1" applyAlignment="1">
      <alignment horizontal="center" vertical="center"/>
    </xf>
    <xf numFmtId="176" fontId="19" fillId="0" borderId="32" xfId="2" applyFont="1" applyBorder="1" applyAlignment="1">
      <alignment horizontal="center" vertical="center"/>
    </xf>
    <xf numFmtId="176" fontId="0" fillId="0" borderId="0" xfId="2" applyFont="1" applyBorder="1" applyAlignment="1"/>
    <xf numFmtId="176" fontId="1" fillId="0" borderId="0" xfId="2" applyFont="1" applyBorder="1" applyAlignment="1"/>
    <xf numFmtId="176" fontId="17" fillId="0" borderId="37" xfId="2" applyFont="1" applyBorder="1" applyAlignment="1">
      <alignment horizontal="center" vertical="center"/>
    </xf>
    <xf numFmtId="176" fontId="18" fillId="0" borderId="37" xfId="2" applyFont="1" applyBorder="1" applyAlignment="1">
      <alignment horizontal="center" vertical="center"/>
    </xf>
    <xf numFmtId="176" fontId="17" fillId="8" borderId="37" xfId="2" applyFont="1" applyFill="1" applyBorder="1" applyAlignment="1">
      <alignment horizontal="center" vertical="center"/>
    </xf>
    <xf numFmtId="176" fontId="17" fillId="0" borderId="37" xfId="2" applyFont="1" applyFill="1" applyBorder="1" applyAlignment="1">
      <alignment horizontal="center" vertical="center"/>
    </xf>
    <xf numFmtId="176" fontId="17" fillId="9" borderId="37" xfId="2" applyFont="1" applyFill="1" applyBorder="1" applyAlignment="1">
      <alignment horizontal="center" vertical="center"/>
    </xf>
    <xf numFmtId="176" fontId="17" fillId="9" borderId="38" xfId="2" applyFont="1" applyFill="1" applyBorder="1" applyAlignment="1">
      <alignment horizontal="center" vertical="center"/>
    </xf>
    <xf numFmtId="176" fontId="18" fillId="9" borderId="36" xfId="2" applyFont="1" applyFill="1" applyBorder="1" applyAlignment="1">
      <alignment horizontal="center" vertical="center"/>
    </xf>
    <xf numFmtId="176" fontId="18" fillId="9" borderId="37" xfId="2" applyFont="1" applyFill="1" applyBorder="1" applyAlignment="1">
      <alignment horizontal="center" vertical="center"/>
    </xf>
    <xf numFmtId="176" fontId="18" fillId="9" borderId="39" xfId="2" applyFont="1" applyFill="1" applyBorder="1" applyAlignment="1">
      <alignment horizontal="center" vertical="center"/>
    </xf>
    <xf numFmtId="176" fontId="16" fillId="2" borderId="42" xfId="2" applyFont="1" applyFill="1" applyBorder="1" applyAlignment="1">
      <alignment horizontal="center" vertical="center"/>
    </xf>
    <xf numFmtId="176" fontId="16" fillId="2" borderId="43" xfId="2" applyFont="1" applyFill="1" applyBorder="1" applyAlignment="1">
      <alignment horizontal="center" vertical="center"/>
    </xf>
    <xf numFmtId="176" fontId="16" fillId="2" borderId="44" xfId="2" applyFont="1" applyFill="1" applyBorder="1" applyAlignment="1">
      <alignment horizontal="center" vertical="center"/>
    </xf>
    <xf numFmtId="176" fontId="16" fillId="2" borderId="45" xfId="2" applyFont="1" applyFill="1" applyBorder="1" applyAlignment="1">
      <alignment horizontal="center" vertical="center"/>
    </xf>
    <xf numFmtId="176" fontId="16" fillId="2" borderId="46" xfId="2" applyFont="1" applyFill="1" applyBorder="1" applyAlignment="1">
      <alignment horizontal="center" vertical="center"/>
    </xf>
    <xf numFmtId="176" fontId="20" fillId="0" borderId="0" xfId="2" applyFont="1" applyBorder="1" applyAlignment="1">
      <alignment horizontal="center"/>
    </xf>
    <xf numFmtId="176" fontId="21" fillId="0" borderId="0" xfId="2" applyFont="1" applyBorder="1" applyAlignment="1"/>
    <xf numFmtId="176" fontId="22" fillId="0" borderId="0" xfId="2" applyFont="1" applyBorder="1" applyAlignment="1">
      <alignment horizontal="center" vertical="center"/>
    </xf>
    <xf numFmtId="176" fontId="21" fillId="0" borderId="0" xfId="2" applyFont="1" applyBorder="1" applyAlignment="1">
      <alignment horizontal="center"/>
    </xf>
    <xf numFmtId="176" fontId="23" fillId="10" borderId="49" xfId="2" applyFont="1" applyFill="1" applyBorder="1" applyAlignment="1">
      <alignment horizontal="center" vertical="center"/>
    </xf>
    <xf numFmtId="176" fontId="23" fillId="10" borderId="50" xfId="2" applyFont="1" applyFill="1" applyBorder="1" applyAlignment="1">
      <alignment horizontal="center" vertical="center"/>
    </xf>
    <xf numFmtId="16" fontId="24" fillId="10" borderId="51" xfId="2" applyNumberFormat="1" applyFont="1" applyFill="1" applyBorder="1" applyAlignment="1">
      <alignment horizontal="center" vertical="center"/>
    </xf>
    <xf numFmtId="16" fontId="24" fillId="10" borderId="52" xfId="2" applyNumberFormat="1" applyFont="1" applyFill="1" applyBorder="1" applyAlignment="1">
      <alignment horizontal="center" vertical="center"/>
    </xf>
    <xf numFmtId="176" fontId="20" fillId="2" borderId="55" xfId="2" applyFont="1" applyFill="1" applyBorder="1" applyAlignment="1">
      <alignment horizontal="center" vertical="center"/>
    </xf>
    <xf numFmtId="176" fontId="20" fillId="2" borderId="56" xfId="2" applyFont="1" applyFill="1" applyBorder="1" applyAlignment="1">
      <alignment horizontal="center" vertical="center"/>
    </xf>
    <xf numFmtId="176" fontId="20" fillId="0" borderId="56" xfId="2" applyFont="1" applyFill="1" applyBorder="1" applyAlignment="1">
      <alignment horizontal="center" vertical="center"/>
    </xf>
    <xf numFmtId="176" fontId="2" fillId="0" borderId="56" xfId="2" applyFont="1" applyBorder="1" applyAlignment="1"/>
    <xf numFmtId="176" fontId="2" fillId="0" borderId="57" xfId="2" applyFont="1" applyBorder="1" applyAlignment="1"/>
    <xf numFmtId="176" fontId="20" fillId="2" borderId="31" xfId="2" applyFont="1" applyFill="1" applyBorder="1" applyAlignment="1">
      <alignment horizontal="center" vertical="center"/>
    </xf>
    <xf numFmtId="176" fontId="20" fillId="2" borderId="32" xfId="2" applyFont="1" applyFill="1" applyBorder="1" applyAlignment="1">
      <alignment horizontal="center" vertical="center"/>
    </xf>
    <xf numFmtId="176" fontId="20" fillId="0" borderId="32" xfId="2" applyFont="1" applyFill="1" applyBorder="1" applyAlignment="1">
      <alignment horizontal="center" vertical="center"/>
    </xf>
    <xf numFmtId="176" fontId="2" fillId="0" borderId="32" xfId="2" applyFont="1" applyBorder="1" applyAlignment="1"/>
    <xf numFmtId="176" fontId="2" fillId="0" borderId="59" xfId="2" applyFont="1" applyBorder="1" applyAlignment="1"/>
    <xf numFmtId="176" fontId="21" fillId="2" borderId="31" xfId="2" applyFont="1" applyFill="1" applyBorder="1" applyAlignment="1">
      <alignment horizontal="center" vertical="center"/>
    </xf>
    <xf numFmtId="176" fontId="21" fillId="2" borderId="60" xfId="2" applyFont="1" applyFill="1" applyBorder="1" applyAlignment="1">
      <alignment horizontal="center" vertical="center"/>
    </xf>
    <xf numFmtId="176" fontId="20" fillId="2" borderId="61" xfId="2" applyFont="1" applyFill="1" applyBorder="1" applyAlignment="1">
      <alignment horizontal="center" vertical="center"/>
    </xf>
    <xf numFmtId="176" fontId="20" fillId="2" borderId="62" xfId="2" applyFont="1" applyFill="1" applyBorder="1" applyAlignment="1">
      <alignment horizontal="center" vertical="center"/>
    </xf>
    <xf numFmtId="176" fontId="20" fillId="0" borderId="62" xfId="2" applyFont="1" applyFill="1" applyBorder="1" applyAlignment="1">
      <alignment horizontal="center" vertical="center"/>
    </xf>
    <xf numFmtId="176" fontId="20" fillId="0" borderId="61" xfId="2" applyFont="1" applyFill="1" applyBorder="1" applyAlignment="1">
      <alignment horizontal="center" vertical="center"/>
    </xf>
    <xf numFmtId="176" fontId="23" fillId="0" borderId="62" xfId="2" applyFont="1" applyFill="1" applyBorder="1" applyAlignment="1">
      <alignment horizontal="center" vertical="center"/>
    </xf>
    <xf numFmtId="176" fontId="23" fillId="0" borderId="61" xfId="2" applyFont="1" applyFill="1" applyBorder="1" applyAlignment="1">
      <alignment horizontal="center" vertical="center"/>
    </xf>
    <xf numFmtId="176" fontId="23" fillId="0" borderId="63" xfId="2" applyFont="1" applyFill="1" applyBorder="1" applyAlignment="1">
      <alignment horizontal="center" vertical="center"/>
    </xf>
    <xf numFmtId="176" fontId="24" fillId="10" borderId="64" xfId="2" applyFont="1" applyFill="1" applyBorder="1" applyAlignment="1">
      <alignment horizontal="center" vertical="center"/>
    </xf>
    <xf numFmtId="176" fontId="21" fillId="2" borderId="56" xfId="2" applyFont="1" applyFill="1" applyBorder="1" applyAlignment="1">
      <alignment horizontal="center" vertical="center"/>
    </xf>
    <xf numFmtId="176" fontId="21" fillId="0" borderId="56" xfId="2" applyFont="1" applyFill="1" applyBorder="1" applyAlignment="1">
      <alignment horizontal="center" vertical="center"/>
    </xf>
    <xf numFmtId="176" fontId="24" fillId="0" borderId="56" xfId="2" applyFont="1" applyFill="1" applyBorder="1" applyAlignment="1">
      <alignment horizontal="center" vertical="center"/>
    </xf>
    <xf numFmtId="176" fontId="24" fillId="0" borderId="66" xfId="2" applyFont="1" applyFill="1" applyBorder="1" applyAlignment="1">
      <alignment horizontal="center" vertical="center"/>
    </xf>
    <xf numFmtId="176" fontId="1" fillId="0" borderId="67" xfId="2" applyFont="1" applyBorder="1" applyAlignment="1"/>
    <xf numFmtId="176" fontId="21" fillId="2" borderId="32" xfId="2" applyFont="1" applyFill="1" applyBorder="1" applyAlignment="1">
      <alignment horizontal="center" vertical="center"/>
    </xf>
    <xf numFmtId="176" fontId="21" fillId="0" borderId="32" xfId="2" applyFont="1" applyFill="1" applyBorder="1" applyAlignment="1">
      <alignment horizontal="center" vertical="center"/>
    </xf>
    <xf numFmtId="176" fontId="24" fillId="0" borderId="32" xfId="2" applyFont="1" applyFill="1" applyBorder="1" applyAlignment="1">
      <alignment horizontal="center" vertical="center"/>
    </xf>
    <xf numFmtId="176" fontId="24" fillId="0" borderId="33" xfId="2" applyFont="1" applyFill="1" applyBorder="1" applyAlignment="1">
      <alignment horizontal="center" vertical="center"/>
    </xf>
    <xf numFmtId="176" fontId="1" fillId="0" borderId="68" xfId="2" applyFont="1" applyBorder="1" applyAlignment="1"/>
    <xf numFmtId="176" fontId="25" fillId="0" borderId="0" xfId="2" applyFont="1" applyBorder="1" applyAlignment="1">
      <alignment horizontal="center" vertical="center"/>
    </xf>
    <xf numFmtId="176" fontId="20" fillId="2" borderId="71" xfId="2" applyFont="1" applyFill="1" applyBorder="1" applyAlignment="1">
      <alignment horizontal="center" vertical="center"/>
    </xf>
    <xf numFmtId="176" fontId="25" fillId="0" borderId="0" xfId="2" applyFont="1" applyAlignment="1">
      <alignment horizontal="center" vertical="center"/>
    </xf>
    <xf numFmtId="176" fontId="21" fillId="2" borderId="74" xfId="2" applyFont="1" applyFill="1" applyBorder="1" applyAlignment="1">
      <alignment horizontal="center" vertical="center"/>
    </xf>
    <xf numFmtId="176" fontId="20" fillId="2" borderId="75" xfId="2" applyFont="1" applyFill="1" applyBorder="1" applyAlignment="1">
      <alignment horizontal="center" vertical="center"/>
    </xf>
    <xf numFmtId="176" fontId="26" fillId="2" borderId="75" xfId="2" applyFont="1" applyFill="1" applyBorder="1" applyAlignment="1">
      <alignment horizontal="center" vertical="center"/>
    </xf>
    <xf numFmtId="176" fontId="21" fillId="2" borderId="75" xfId="2" applyFont="1" applyFill="1" applyBorder="1" applyAlignment="1">
      <alignment horizontal="center" vertical="center"/>
    </xf>
    <xf numFmtId="176" fontId="21" fillId="0" borderId="75" xfId="2" applyFont="1" applyFill="1" applyBorder="1" applyAlignment="1">
      <alignment horizontal="center" vertical="center"/>
    </xf>
    <xf numFmtId="176" fontId="24" fillId="0" borderId="75" xfId="2" applyFont="1" applyFill="1" applyBorder="1" applyAlignment="1">
      <alignment horizontal="center" vertical="center"/>
    </xf>
    <xf numFmtId="176" fontId="24" fillId="0" borderId="61" xfId="2" applyFont="1" applyFill="1" applyBorder="1" applyAlignment="1">
      <alignment horizontal="center" vertical="center"/>
    </xf>
    <xf numFmtId="176" fontId="24" fillId="0" borderId="76" xfId="2" applyFont="1" applyFill="1" applyBorder="1" applyAlignment="1">
      <alignment horizontal="center" vertical="center"/>
    </xf>
    <xf numFmtId="176" fontId="1" fillId="0" borderId="77" xfId="2" applyFont="1" applyBorder="1" applyAlignment="1"/>
    <xf numFmtId="176" fontId="21" fillId="2" borderId="79" xfId="2" applyFont="1" applyFill="1" applyBorder="1" applyAlignment="1">
      <alignment horizontal="center" vertical="center"/>
    </xf>
    <xf numFmtId="176" fontId="20" fillId="2" borderId="80" xfId="2" applyFont="1" applyFill="1" applyBorder="1" applyAlignment="1">
      <alignment horizontal="center" vertical="center"/>
    </xf>
    <xf numFmtId="176" fontId="26" fillId="2" borderId="80" xfId="2" applyFont="1" applyFill="1" applyBorder="1" applyAlignment="1">
      <alignment horizontal="center" vertical="center"/>
    </xf>
    <xf numFmtId="176" fontId="21" fillId="2" borderId="80" xfId="2" applyFont="1" applyFill="1" applyBorder="1" applyAlignment="1">
      <alignment horizontal="center" vertical="center"/>
    </xf>
    <xf numFmtId="176" fontId="21" fillId="0" borderId="80" xfId="2" applyFont="1" applyFill="1" applyBorder="1" applyAlignment="1">
      <alignment horizontal="center" vertical="center"/>
    </xf>
    <xf numFmtId="176" fontId="24" fillId="0" borderId="80" xfId="2" applyFont="1" applyFill="1" applyBorder="1" applyAlignment="1">
      <alignment horizontal="center" vertical="center"/>
    </xf>
    <xf numFmtId="176" fontId="24" fillId="0" borderId="81" xfId="2" applyFont="1" applyFill="1" applyBorder="1" applyAlignment="1">
      <alignment horizontal="center" vertical="center"/>
    </xf>
    <xf numFmtId="176" fontId="24" fillId="0" borderId="82" xfId="2" applyFont="1" applyFill="1" applyBorder="1" applyAlignment="1">
      <alignment horizontal="center" vertical="center"/>
    </xf>
    <xf numFmtId="176" fontId="24" fillId="0" borderId="83" xfId="2" applyFont="1" applyFill="1" applyBorder="1" applyAlignment="1">
      <alignment horizontal="center" vertical="center"/>
    </xf>
    <xf numFmtId="176" fontId="21" fillId="2" borderId="84" xfId="2" applyFont="1" applyFill="1" applyBorder="1" applyAlignment="1">
      <alignment horizontal="center" vertical="center"/>
    </xf>
    <xf numFmtId="176" fontId="20" fillId="2" borderId="85" xfId="2" applyFont="1" applyFill="1" applyBorder="1" applyAlignment="1">
      <alignment horizontal="center" vertical="center"/>
    </xf>
    <xf numFmtId="176" fontId="26" fillId="2" borderId="85" xfId="2" applyFont="1" applyFill="1" applyBorder="1" applyAlignment="1">
      <alignment horizontal="center" vertical="center"/>
    </xf>
    <xf numFmtId="176" fontId="21" fillId="2" borderId="85" xfId="2" applyFont="1" applyFill="1" applyBorder="1" applyAlignment="1">
      <alignment horizontal="center" vertical="center"/>
    </xf>
    <xf numFmtId="176" fontId="21" fillId="0" borderId="85" xfId="2" applyFont="1" applyFill="1" applyBorder="1" applyAlignment="1">
      <alignment horizontal="center" vertical="center"/>
    </xf>
    <xf numFmtId="176" fontId="24" fillId="0" borderId="85" xfId="2" applyFont="1" applyFill="1" applyBorder="1" applyAlignment="1">
      <alignment horizontal="center" vertical="center"/>
    </xf>
    <xf numFmtId="176" fontId="21" fillId="2" borderId="87" xfId="2" applyFont="1" applyFill="1" applyBorder="1" applyAlignment="1">
      <alignment horizontal="center" vertical="center"/>
    </xf>
    <xf numFmtId="176" fontId="20" fillId="2" borderId="88" xfId="2" applyFont="1" applyFill="1" applyBorder="1" applyAlignment="1">
      <alignment horizontal="center" vertical="center"/>
    </xf>
    <xf numFmtId="176" fontId="26" fillId="2" borderId="88" xfId="2" applyFont="1" applyFill="1" applyBorder="1" applyAlignment="1">
      <alignment horizontal="center" vertical="center"/>
    </xf>
    <xf numFmtId="176" fontId="21" fillId="2" borderId="88" xfId="2" applyFont="1" applyFill="1" applyBorder="1" applyAlignment="1">
      <alignment horizontal="center" vertical="center"/>
    </xf>
    <xf numFmtId="176" fontId="21" fillId="0" borderId="88" xfId="2" applyFont="1" applyFill="1" applyBorder="1" applyAlignment="1">
      <alignment horizontal="center" vertical="center"/>
    </xf>
    <xf numFmtId="176" fontId="24" fillId="0" borderId="88" xfId="2" applyFont="1" applyFill="1" applyBorder="1" applyAlignment="1">
      <alignment horizontal="center" vertical="center"/>
    </xf>
    <xf numFmtId="176" fontId="24" fillId="0" borderId="89" xfId="2" applyFont="1" applyFill="1" applyBorder="1" applyAlignment="1">
      <alignment horizontal="center" vertical="center"/>
    </xf>
    <xf numFmtId="176" fontId="24" fillId="0" borderId="90" xfId="2" applyFont="1" applyFill="1" applyBorder="1" applyAlignment="1">
      <alignment horizontal="center" vertical="center"/>
    </xf>
    <xf numFmtId="176" fontId="24" fillId="0" borderId="91" xfId="2" applyFont="1" applyFill="1" applyBorder="1" applyAlignment="1">
      <alignment horizontal="center" vertical="center"/>
    </xf>
    <xf numFmtId="176" fontId="21" fillId="2" borderId="55" xfId="2" applyFont="1" applyFill="1" applyBorder="1" applyAlignment="1">
      <alignment horizontal="center" vertical="center"/>
    </xf>
    <xf numFmtId="180" fontId="21" fillId="0" borderId="56" xfId="2" applyNumberFormat="1" applyFont="1" applyFill="1" applyBorder="1" applyAlignment="1">
      <alignment horizontal="center" vertical="center"/>
    </xf>
    <xf numFmtId="176" fontId="2" fillId="0" borderId="94" xfId="2" applyFont="1" applyBorder="1" applyAlignment="1"/>
    <xf numFmtId="180" fontId="21" fillId="0" borderId="32" xfId="2" applyNumberFormat="1" applyFont="1" applyFill="1" applyBorder="1" applyAlignment="1">
      <alignment horizontal="center" vertical="center"/>
    </xf>
    <xf numFmtId="180" fontId="24" fillId="0" borderId="32" xfId="2" applyNumberFormat="1" applyFont="1" applyFill="1" applyBorder="1" applyAlignment="1">
      <alignment horizontal="center" vertical="center"/>
    </xf>
    <xf numFmtId="176" fontId="21" fillId="2" borderId="98" xfId="2" applyFont="1" applyFill="1" applyBorder="1" applyAlignment="1">
      <alignment horizontal="center" vertical="center"/>
    </xf>
    <xf numFmtId="176" fontId="21" fillId="2" borderId="99" xfId="2" applyFont="1" applyFill="1" applyBorder="1" applyAlignment="1">
      <alignment horizontal="center" vertical="center"/>
    </xf>
    <xf numFmtId="180" fontId="21" fillId="0" borderId="99" xfId="2" applyNumberFormat="1" applyFont="1" applyFill="1" applyBorder="1" applyAlignment="1">
      <alignment horizontal="center" vertical="center"/>
    </xf>
    <xf numFmtId="180" fontId="24" fillId="0" borderId="99" xfId="2" applyNumberFormat="1" applyFont="1" applyFill="1" applyBorder="1" applyAlignment="1">
      <alignment horizontal="center" vertical="center"/>
    </xf>
    <xf numFmtId="176" fontId="2" fillId="0" borderId="99" xfId="2" applyFont="1" applyBorder="1" applyAlignment="1"/>
    <xf numFmtId="176" fontId="2" fillId="0" borderId="100" xfId="2" applyFont="1" applyBorder="1" applyAlignment="1"/>
    <xf numFmtId="176" fontId="27" fillId="7" borderId="25" xfId="2" applyFont="1" applyFill="1" applyBorder="1" applyAlignment="1">
      <alignment horizontal="center" vertical="center"/>
    </xf>
    <xf numFmtId="176" fontId="27" fillId="0" borderId="31" xfId="2" applyFont="1" applyBorder="1" applyAlignment="1">
      <alignment horizontal="center" vertical="center"/>
    </xf>
    <xf numFmtId="176" fontId="27" fillId="0" borderId="36" xfId="2" applyFont="1" applyBorder="1" applyAlignment="1">
      <alignment horizontal="center" vertical="center"/>
    </xf>
    <xf numFmtId="176" fontId="28" fillId="0" borderId="0" xfId="2" applyFont="1" applyBorder="1" applyAlignment="1">
      <alignment horizontal="center"/>
    </xf>
    <xf numFmtId="176" fontId="29" fillId="10" borderId="47" xfId="2" applyFont="1" applyFill="1" applyBorder="1" applyAlignment="1">
      <alignment horizontal="center" vertical="center"/>
    </xf>
    <xf numFmtId="176" fontId="29" fillId="10" borderId="48" xfId="2" applyFont="1" applyFill="1" applyBorder="1" applyAlignment="1">
      <alignment horizontal="center" vertical="center"/>
    </xf>
    <xf numFmtId="176" fontId="28" fillId="10" borderId="54" xfId="2" applyFont="1" applyFill="1" applyBorder="1" applyAlignment="1">
      <alignment horizontal="center" vertical="center"/>
    </xf>
    <xf numFmtId="176" fontId="28" fillId="10" borderId="65" xfId="2" applyFont="1" applyFill="1" applyBorder="1" applyAlignment="1">
      <alignment horizontal="center" vertical="center"/>
    </xf>
    <xf numFmtId="176" fontId="28" fillId="10" borderId="70" xfId="2" applyFont="1" applyFill="1" applyBorder="1" applyAlignment="1">
      <alignment horizontal="center" vertical="center"/>
    </xf>
    <xf numFmtId="176" fontId="30" fillId="10" borderId="73" xfId="2" applyFont="1" applyFill="1" applyBorder="1" applyAlignment="1">
      <alignment horizontal="center" vertical="center"/>
    </xf>
    <xf numFmtId="176" fontId="30" fillId="10" borderId="65" xfId="2" applyFont="1" applyFill="1" applyBorder="1" applyAlignment="1">
      <alignment horizontal="center" vertical="center"/>
    </xf>
    <xf numFmtId="176" fontId="30" fillId="10" borderId="86" xfId="2" applyFont="1" applyFill="1" applyBorder="1" applyAlignment="1">
      <alignment horizontal="center" vertical="center"/>
    </xf>
    <xf numFmtId="176" fontId="30" fillId="10" borderId="93" xfId="2" applyFont="1" applyFill="1" applyBorder="1" applyAlignment="1">
      <alignment horizontal="center" vertical="center"/>
    </xf>
    <xf numFmtId="176" fontId="30" fillId="10" borderId="95" xfId="2" applyFont="1" applyFill="1" applyBorder="1" applyAlignment="1">
      <alignment horizontal="center" vertical="center"/>
    </xf>
    <xf numFmtId="176" fontId="30" fillId="10" borderId="97" xfId="2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wrapText="1"/>
    </xf>
    <xf numFmtId="16" fontId="4" fillId="2" borderId="101" xfId="0" applyNumberFormat="1" applyFont="1" applyFill="1" applyBorder="1" applyAlignment="1">
      <alignment horizontal="center" vertical="center"/>
    </xf>
    <xf numFmtId="16" fontId="4" fillId="2" borderId="101" xfId="0" applyNumberFormat="1" applyFont="1" applyFill="1" applyBorder="1" applyAlignment="1">
      <alignment horizontal="center" vertical="center" wrapText="1"/>
    </xf>
    <xf numFmtId="176" fontId="21" fillId="0" borderId="0" xfId="2" applyFont="1" applyFill="1" applyBorder="1" applyAlignment="1">
      <alignment horizontal="center" vertical="center"/>
    </xf>
    <xf numFmtId="0" fontId="0" fillId="0" borderId="5" xfId="0" applyBorder="1"/>
    <xf numFmtId="176" fontId="7" fillId="2" borderId="10" xfId="2" applyFont="1" applyFill="1" applyBorder="1" applyAlignment="1">
      <alignment horizontal="center" vertical="center"/>
    </xf>
    <xf numFmtId="0" fontId="3" fillId="0" borderId="7" xfId="0" applyFont="1" applyBorder="1" applyAlignment="1">
      <alignment wrapText="1"/>
    </xf>
    <xf numFmtId="176" fontId="7" fillId="2" borderId="15" xfId="2" applyFont="1" applyFill="1" applyBorder="1" applyAlignment="1">
      <alignment horizontal="center" vertical="center"/>
    </xf>
    <xf numFmtId="176" fontId="7" fillId="2" borderId="16" xfId="2" applyFont="1" applyFill="1" applyBorder="1" applyAlignment="1">
      <alignment horizontal="center" vertical="center"/>
    </xf>
    <xf numFmtId="16" fontId="4" fillId="2" borderId="2" xfId="0" applyNumberFormat="1" applyFont="1" applyFill="1" applyBorder="1" applyAlignment="1">
      <alignment horizontal="center" vertical="center"/>
    </xf>
    <xf numFmtId="16" fontId="4" fillId="2" borderId="104" xfId="0" applyNumberFormat="1" applyFont="1" applyFill="1" applyBorder="1" applyAlignment="1">
      <alignment horizontal="center" vertical="center"/>
    </xf>
    <xf numFmtId="16" fontId="4" fillId="2" borderId="18" xfId="0" applyNumberFormat="1" applyFont="1" applyFill="1" applyBorder="1" applyAlignment="1">
      <alignment horizontal="center" vertical="center"/>
    </xf>
    <xf numFmtId="16" fontId="4" fillId="2" borderId="105" xfId="0" applyNumberFormat="1" applyFont="1" applyFill="1" applyBorder="1" applyAlignment="1">
      <alignment horizontal="center" vertical="center"/>
    </xf>
    <xf numFmtId="16" fontId="4" fillId="2" borderId="12" xfId="0" applyNumberFormat="1" applyFont="1" applyFill="1" applyBorder="1" applyAlignment="1">
      <alignment horizontal="center" vertical="center"/>
    </xf>
    <xf numFmtId="16" fontId="4" fillId="2" borderId="106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2" fillId="2" borderId="15" xfId="0" applyFont="1" applyFill="1" applyBorder="1"/>
    <xf numFmtId="176" fontId="0" fillId="0" borderId="0" xfId="0" applyNumberFormat="1"/>
    <xf numFmtId="16" fontId="2" fillId="0" borderId="0" xfId="0" applyNumberFormat="1" applyFont="1" applyAlignment="1">
      <alignment horizontal="center"/>
    </xf>
    <xf numFmtId="0" fontId="0" fillId="0" borderId="4" xfId="0" applyBorder="1"/>
    <xf numFmtId="16" fontId="2" fillId="0" borderId="5" xfId="0" applyNumberFormat="1" applyFont="1" applyBorder="1" applyAlignment="1">
      <alignment horizontal="center"/>
    </xf>
    <xf numFmtId="176" fontId="21" fillId="0" borderId="7" xfId="2" applyFont="1" applyFill="1" applyBorder="1" applyAlignment="1">
      <alignment horizontal="center" vertical="center"/>
    </xf>
    <xf numFmtId="0" fontId="0" fillId="0" borderId="8" xfId="0" applyBorder="1"/>
    <xf numFmtId="179" fontId="0" fillId="11" borderId="107" xfId="0" applyNumberFormat="1" applyFill="1" applyBorder="1"/>
    <xf numFmtId="179" fontId="0" fillId="11" borderId="109" xfId="0" applyNumberFormat="1" applyFill="1" applyBorder="1"/>
    <xf numFmtId="179" fontId="0" fillId="11" borderId="113" xfId="0" applyNumberFormat="1" applyFill="1" applyBorder="1"/>
    <xf numFmtId="0" fontId="32" fillId="12" borderId="102" xfId="0" applyFont="1" applyFill="1" applyBorder="1" applyAlignment="1">
      <alignment horizontal="center" vertical="center"/>
    </xf>
    <xf numFmtId="16" fontId="4" fillId="2" borderId="118" xfId="0" applyNumberFormat="1" applyFont="1" applyFill="1" applyBorder="1" applyAlignment="1">
      <alignment horizontal="center" vertical="center" wrapText="1"/>
    </xf>
    <xf numFmtId="0" fontId="10" fillId="0" borderId="0" xfId="0" applyFont="1"/>
    <xf numFmtId="179" fontId="0" fillId="0" borderId="0" xfId="1" applyNumberFormat="1" applyFont="1" applyFill="1" applyBorder="1"/>
    <xf numFmtId="179" fontId="11" fillId="0" borderId="0" xfId="1" applyNumberFormat="1" applyFont="1" applyFill="1" applyBorder="1"/>
    <xf numFmtId="0" fontId="11" fillId="3" borderId="0" xfId="1" applyNumberFormat="1" applyFont="1" applyFill="1" applyBorder="1"/>
    <xf numFmtId="0" fontId="32" fillId="12" borderId="17" xfId="0" applyFont="1" applyFill="1" applyBorder="1" applyAlignment="1">
      <alignment horizontal="center" vertical="center"/>
    </xf>
    <xf numFmtId="0" fontId="2" fillId="2" borderId="123" xfId="0" applyFont="1" applyFill="1" applyBorder="1"/>
    <xf numFmtId="0" fontId="2" fillId="2" borderId="0" xfId="0" applyFont="1" applyFill="1"/>
    <xf numFmtId="0" fontId="10" fillId="3" borderId="0" xfId="0" applyFont="1" applyFill="1"/>
    <xf numFmtId="3" fontId="0" fillId="0" borderId="0" xfId="0" applyNumberFormat="1"/>
    <xf numFmtId="0" fontId="2" fillId="2" borderId="13" xfId="0" applyFont="1" applyFill="1" applyBorder="1"/>
    <xf numFmtId="179" fontId="0" fillId="0" borderId="1" xfId="1" applyNumberFormat="1" applyFont="1" applyFill="1" applyBorder="1"/>
    <xf numFmtId="16" fontId="4" fillId="2" borderId="129" xfId="0" applyNumberFormat="1" applyFont="1" applyFill="1" applyBorder="1" applyAlignment="1">
      <alignment horizontal="center" vertical="center"/>
    </xf>
    <xf numFmtId="16" fontId="0" fillId="0" borderId="0" xfId="0" applyNumberFormat="1" applyAlignment="1">
      <alignment horizontal="center"/>
    </xf>
    <xf numFmtId="0" fontId="0" fillId="0" borderId="1" xfId="0" applyBorder="1"/>
    <xf numFmtId="178" fontId="8" fillId="0" borderId="107" xfId="1" applyNumberFormat="1" applyFont="1" applyFill="1" applyBorder="1" applyAlignment="1">
      <alignment vertical="center"/>
    </xf>
    <xf numFmtId="178" fontId="8" fillId="0" borderId="111" xfId="1" applyNumberFormat="1" applyFont="1" applyFill="1" applyBorder="1" applyAlignment="1">
      <alignment vertical="center"/>
    </xf>
    <xf numFmtId="178" fontId="1" fillId="0" borderId="111" xfId="1" applyNumberFormat="1" applyFont="1" applyFill="1" applyBorder="1" applyAlignment="1">
      <alignment vertical="center"/>
    </xf>
    <xf numFmtId="178" fontId="8" fillId="0" borderId="119" xfId="1" applyNumberFormat="1" applyFont="1" applyFill="1" applyBorder="1" applyAlignment="1">
      <alignment vertical="center"/>
    </xf>
    <xf numFmtId="178" fontId="9" fillId="0" borderId="115" xfId="1" applyNumberFormat="1" applyFont="1" applyFill="1" applyBorder="1" applyAlignment="1">
      <alignment vertical="center"/>
    </xf>
    <xf numFmtId="178" fontId="9" fillId="0" borderId="111" xfId="1" applyNumberFormat="1" applyFont="1" applyFill="1" applyBorder="1" applyAlignment="1">
      <alignment vertical="center"/>
    </xf>
    <xf numFmtId="178" fontId="9" fillId="0" borderId="108" xfId="1" applyNumberFormat="1" applyFont="1" applyFill="1" applyBorder="1" applyAlignment="1">
      <alignment vertical="center"/>
    </xf>
    <xf numFmtId="178" fontId="8" fillId="0" borderId="109" xfId="1" applyNumberFormat="1" applyFont="1" applyFill="1" applyBorder="1" applyAlignment="1">
      <alignment vertical="center"/>
    </xf>
    <xf numFmtId="178" fontId="8" fillId="0" borderId="112" xfId="1" applyNumberFormat="1" applyFont="1" applyFill="1" applyBorder="1" applyAlignment="1">
      <alignment vertical="center"/>
    </xf>
    <xf numFmtId="178" fontId="1" fillId="0" borderId="112" xfId="1" applyNumberFormat="1" applyFont="1" applyFill="1" applyBorder="1" applyAlignment="1">
      <alignment vertical="center"/>
    </xf>
    <xf numFmtId="178" fontId="8" fillId="0" borderId="120" xfId="1" applyNumberFormat="1" applyFont="1" applyFill="1" applyBorder="1" applyAlignment="1">
      <alignment vertical="center"/>
    </xf>
    <xf numFmtId="178" fontId="9" fillId="0" borderId="116" xfId="1" applyNumberFormat="1" applyFont="1" applyFill="1" applyBorder="1" applyAlignment="1">
      <alignment vertical="center"/>
    </xf>
    <xf numFmtId="178" fontId="9" fillId="0" borderId="112" xfId="1" applyNumberFormat="1" applyFont="1" applyFill="1" applyBorder="1" applyAlignment="1">
      <alignment vertical="center"/>
    </xf>
    <xf numFmtId="178" fontId="9" fillId="0" borderId="110" xfId="1" applyNumberFormat="1" applyFont="1" applyFill="1" applyBorder="1" applyAlignment="1">
      <alignment vertical="center"/>
    </xf>
    <xf numFmtId="178" fontId="8" fillId="0" borderId="107" xfId="1" applyNumberFormat="1" applyFont="1" applyFill="1" applyBorder="1" applyAlignment="1">
      <alignment horizontal="right"/>
    </xf>
    <xf numFmtId="178" fontId="8" fillId="0" borderId="111" xfId="1" applyNumberFormat="1" applyFont="1" applyFill="1" applyBorder="1" applyAlignment="1">
      <alignment horizontal="right"/>
    </xf>
    <xf numFmtId="178" fontId="1" fillId="0" borderId="111" xfId="1" applyNumberFormat="1" applyFont="1" applyFill="1" applyBorder="1" applyAlignment="1">
      <alignment horizontal="right"/>
    </xf>
    <xf numFmtId="178" fontId="21" fillId="0" borderId="111" xfId="1" applyNumberFormat="1" applyFont="1" applyFill="1" applyBorder="1" applyAlignment="1">
      <alignment horizontal="right"/>
    </xf>
    <xf numFmtId="178" fontId="21" fillId="0" borderId="119" xfId="1" applyNumberFormat="1" applyFont="1" applyFill="1" applyBorder="1" applyAlignment="1">
      <alignment horizontal="right"/>
    </xf>
    <xf numFmtId="178" fontId="9" fillId="0" borderId="115" xfId="1" applyNumberFormat="1" applyFont="1" applyFill="1" applyBorder="1" applyAlignment="1">
      <alignment horizontal="right"/>
    </xf>
    <xf numFmtId="178" fontId="9" fillId="0" borderId="111" xfId="1" applyNumberFormat="1" applyFont="1" applyFill="1" applyBorder="1" applyAlignment="1">
      <alignment horizontal="right"/>
    </xf>
    <xf numFmtId="178" fontId="9" fillId="0" borderId="108" xfId="1" applyNumberFormat="1" applyFont="1" applyFill="1" applyBorder="1" applyAlignment="1">
      <alignment horizontal="right"/>
    </xf>
    <xf numFmtId="178" fontId="0" fillId="0" borderId="109" xfId="1" applyNumberFormat="1" applyFont="1" applyBorder="1" applyAlignment="1">
      <alignment horizontal="right"/>
    </xf>
    <xf numFmtId="178" fontId="8" fillId="0" borderId="112" xfId="1" applyNumberFormat="1" applyFont="1" applyFill="1" applyBorder="1" applyAlignment="1">
      <alignment horizontal="right"/>
    </xf>
    <xf numFmtId="178" fontId="1" fillId="0" borderId="112" xfId="1" applyNumberFormat="1" applyFont="1" applyFill="1" applyBorder="1" applyAlignment="1">
      <alignment horizontal="right"/>
    </xf>
    <xf numFmtId="178" fontId="21" fillId="0" borderId="112" xfId="1" applyNumberFormat="1" applyFont="1" applyFill="1" applyBorder="1" applyAlignment="1">
      <alignment horizontal="right"/>
    </xf>
    <xf numFmtId="178" fontId="21" fillId="0" borderId="120" xfId="1" applyNumberFormat="1" applyFont="1" applyFill="1" applyBorder="1" applyAlignment="1">
      <alignment horizontal="right"/>
    </xf>
    <xf numFmtId="178" fontId="9" fillId="0" borderId="116" xfId="1" applyNumberFormat="1" applyFont="1" applyFill="1" applyBorder="1" applyAlignment="1">
      <alignment horizontal="right"/>
    </xf>
    <xf numFmtId="178" fontId="9" fillId="0" borderId="112" xfId="1" applyNumberFormat="1" applyFont="1" applyFill="1" applyBorder="1" applyAlignment="1">
      <alignment horizontal="right"/>
    </xf>
    <xf numFmtId="178" fontId="9" fillId="0" borderId="110" xfId="1" applyNumberFormat="1" applyFont="1" applyFill="1" applyBorder="1" applyAlignment="1">
      <alignment horizontal="right"/>
    </xf>
    <xf numFmtId="178" fontId="8" fillId="0" borderId="113" xfId="1" applyNumberFormat="1" applyFont="1" applyFill="1" applyBorder="1" applyAlignment="1">
      <alignment horizontal="right"/>
    </xf>
    <xf numFmtId="178" fontId="8" fillId="0" borderId="56" xfId="1" applyNumberFormat="1" applyFont="1" applyFill="1" applyBorder="1" applyAlignment="1">
      <alignment horizontal="right"/>
    </xf>
    <xf numFmtId="178" fontId="1" fillId="0" borderId="56" xfId="1" applyNumberFormat="1" applyFont="1" applyFill="1" applyBorder="1" applyAlignment="1">
      <alignment horizontal="right"/>
    </xf>
    <xf numFmtId="178" fontId="21" fillId="0" borderId="56" xfId="1" applyNumberFormat="1" applyFont="1" applyFill="1" applyBorder="1" applyAlignment="1">
      <alignment horizontal="right"/>
    </xf>
    <xf numFmtId="178" fontId="21" fillId="0" borderId="57" xfId="1" applyNumberFormat="1" applyFont="1" applyFill="1" applyBorder="1" applyAlignment="1">
      <alignment horizontal="right"/>
    </xf>
    <xf numFmtId="178" fontId="9" fillId="0" borderId="117" xfId="1" applyNumberFormat="1" applyFont="1" applyFill="1" applyBorder="1" applyAlignment="1">
      <alignment horizontal="right"/>
    </xf>
    <xf numFmtId="178" fontId="9" fillId="0" borderId="56" xfId="1" applyNumberFormat="1" applyFont="1" applyFill="1" applyBorder="1" applyAlignment="1">
      <alignment horizontal="right"/>
    </xf>
    <xf numFmtId="178" fontId="9" fillId="0" borderId="114" xfId="1" applyNumberFormat="1" applyFont="1" applyFill="1" applyBorder="1" applyAlignment="1">
      <alignment horizontal="right"/>
    </xf>
    <xf numFmtId="0" fontId="9" fillId="0" borderId="2" xfId="0" applyFont="1" applyBorder="1"/>
    <xf numFmtId="176" fontId="8" fillId="0" borderId="2" xfId="2" applyFont="1" applyFill="1" applyBorder="1" applyAlignment="1">
      <alignment horizontal="center" vertical="center"/>
    </xf>
    <xf numFmtId="0" fontId="9" fillId="0" borderId="0" xfId="0" applyFont="1"/>
    <xf numFmtId="176" fontId="8" fillId="0" borderId="0" xfId="2" applyFont="1" applyFill="1" applyBorder="1" applyAlignment="1">
      <alignment horizontal="center" vertical="center"/>
    </xf>
    <xf numFmtId="3" fontId="9" fillId="0" borderId="0" xfId="0" applyNumberFormat="1" applyFont="1"/>
    <xf numFmtId="16" fontId="7" fillId="0" borderId="0" xfId="0" applyNumberFormat="1" applyFont="1" applyAlignment="1">
      <alignment horizontal="center"/>
    </xf>
    <xf numFmtId="16" fontId="9" fillId="0" borderId="0" xfId="0" applyNumberFormat="1" applyFont="1" applyAlignment="1">
      <alignment horizontal="center"/>
    </xf>
    <xf numFmtId="176" fontId="8" fillId="0" borderId="0" xfId="2" applyFont="1" applyFill="1" applyBorder="1" applyAlignment="1">
      <alignment vertical="center"/>
    </xf>
    <xf numFmtId="0" fontId="34" fillId="16" borderId="103" xfId="0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4" fillId="13" borderId="3" xfId="0" applyFont="1" applyFill="1" applyBorder="1" applyAlignment="1">
      <alignment horizontal="center" vertical="center" wrapText="1"/>
    </xf>
    <xf numFmtId="16" fontId="36" fillId="2" borderId="12" xfId="0" applyNumberFormat="1" applyFont="1" applyFill="1" applyBorder="1" applyAlignment="1">
      <alignment horizontal="center" vertical="center"/>
    </xf>
    <xf numFmtId="16" fontId="36" fillId="2" borderId="10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78" fontId="11" fillId="3" borderId="0" xfId="1" applyNumberFormat="1" applyFont="1" applyFill="1" applyBorder="1" applyAlignment="1">
      <alignment horizontal="center"/>
    </xf>
    <xf numFmtId="179" fontId="0" fillId="0" borderId="0" xfId="1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6" xfId="0" applyNumberFormat="1" applyBorder="1" applyAlignment="1">
      <alignment horizontal="center"/>
    </xf>
    <xf numFmtId="178" fontId="11" fillId="3" borderId="7" xfId="1" applyNumberFormat="1" applyFont="1" applyFill="1" applyBorder="1" applyAlignment="1">
      <alignment horizontal="center"/>
    </xf>
    <xf numFmtId="179" fontId="0" fillId="0" borderId="7" xfId="1" applyNumberFormat="1" applyFont="1" applyBorder="1" applyAlignment="1">
      <alignment horizontal="center"/>
    </xf>
    <xf numFmtId="0" fontId="2" fillId="14" borderId="7" xfId="0" applyFont="1" applyFill="1" applyBorder="1" applyAlignment="1">
      <alignment horizontal="center" wrapText="1"/>
    </xf>
    <xf numFmtId="3" fontId="0" fillId="0" borderId="1" xfId="0" applyNumberFormat="1" applyBorder="1" applyAlignment="1">
      <alignment horizontal="center"/>
    </xf>
    <xf numFmtId="0" fontId="2" fillId="2" borderId="130" xfId="0" applyFont="1" applyFill="1" applyBorder="1"/>
    <xf numFmtId="0" fontId="2" fillId="0" borderId="0" xfId="0" applyFont="1" applyAlignment="1">
      <alignment horizontal="left" vertical="center"/>
    </xf>
    <xf numFmtId="16" fontId="36" fillId="2" borderId="131" xfId="0" applyNumberFormat="1" applyFont="1" applyFill="1" applyBorder="1" applyAlignment="1">
      <alignment horizontal="center" vertical="center"/>
    </xf>
    <xf numFmtId="176" fontId="8" fillId="0" borderId="132" xfId="2" applyFont="1" applyFill="1" applyBorder="1" applyAlignment="1">
      <alignment horizontal="center" vertical="center"/>
    </xf>
    <xf numFmtId="176" fontId="8" fillId="0" borderId="133" xfId="2" applyFont="1" applyFill="1" applyBorder="1" applyAlignment="1">
      <alignment horizontal="center" vertical="center"/>
    </xf>
    <xf numFmtId="0" fontId="9" fillId="0" borderId="133" xfId="0" applyFont="1" applyBorder="1"/>
    <xf numFmtId="16" fontId="9" fillId="0" borderId="133" xfId="0" applyNumberFormat="1" applyFont="1" applyBorder="1" applyAlignment="1">
      <alignment horizontal="center"/>
    </xf>
    <xf numFmtId="176" fontId="21" fillId="0" borderId="134" xfId="2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left" vertical="center"/>
    </xf>
    <xf numFmtId="0" fontId="2" fillId="2" borderId="14" xfId="0" applyFont="1" applyFill="1" applyBorder="1" applyAlignment="1">
      <alignment horizontal="left" vertical="center"/>
    </xf>
    <xf numFmtId="0" fontId="0" fillId="0" borderId="135" xfId="0" applyBorder="1"/>
    <xf numFmtId="16" fontId="0" fillId="0" borderId="0" xfId="0" applyNumberFormat="1"/>
    <xf numFmtId="14" fontId="34" fillId="16" borderId="136" xfId="0" applyNumberFormat="1" applyFont="1" applyFill="1" applyBorder="1" applyAlignment="1">
      <alignment horizontal="center" vertical="center"/>
    </xf>
    <xf numFmtId="178" fontId="9" fillId="0" borderId="0" xfId="0" applyNumberFormat="1" applyFont="1"/>
    <xf numFmtId="178" fontId="11" fillId="3" borderId="5" xfId="1" applyNumberFormat="1" applyFont="1" applyFill="1" applyBorder="1"/>
    <xf numFmtId="178" fontId="11" fillId="3" borderId="5" xfId="1" applyNumberFormat="1" applyFont="1" applyFill="1" applyBorder="1" applyAlignment="1">
      <alignment horizontal="center" vertical="center"/>
    </xf>
    <xf numFmtId="178" fontId="11" fillId="3" borderId="5" xfId="1" applyNumberFormat="1" applyFont="1" applyFill="1" applyBorder="1" applyAlignment="1">
      <alignment horizontal="center"/>
    </xf>
    <xf numFmtId="178" fontId="11" fillId="3" borderId="8" xfId="1" applyNumberFormat="1" applyFont="1" applyFill="1" applyBorder="1" applyAlignment="1">
      <alignment horizontal="center"/>
    </xf>
    <xf numFmtId="182" fontId="0" fillId="0" borderId="0" xfId="1" applyNumberFormat="1" applyFont="1" applyBorder="1"/>
    <xf numFmtId="2" fontId="6" fillId="11" borderId="108" xfId="0" applyNumberFormat="1" applyFont="1" applyFill="1" applyBorder="1" applyAlignment="1">
      <alignment horizontal="center" vertical="center"/>
    </xf>
    <xf numFmtId="2" fontId="6" fillId="11" borderId="110" xfId="0" applyNumberFormat="1" applyFont="1" applyFill="1" applyBorder="1" applyAlignment="1">
      <alignment horizontal="center" vertical="center"/>
    </xf>
    <xf numFmtId="176" fontId="7" fillId="2" borderId="9" xfId="2" applyFont="1" applyFill="1" applyBorder="1" applyAlignment="1">
      <alignment horizontal="center" vertical="center"/>
    </xf>
    <xf numFmtId="176" fontId="7" fillId="2" borderId="10" xfId="2" applyFont="1" applyFill="1" applyBorder="1" applyAlignment="1">
      <alignment horizontal="center" vertical="center"/>
    </xf>
    <xf numFmtId="16" fontId="4" fillId="2" borderId="11" xfId="0" applyNumberFormat="1" applyFont="1" applyFill="1" applyBorder="1" applyAlignment="1">
      <alignment horizontal="center" vertical="center" wrapText="1"/>
    </xf>
    <xf numFmtId="16" fontId="4" fillId="2" borderId="106" xfId="0" applyNumberFormat="1" applyFont="1" applyFill="1" applyBorder="1" applyAlignment="1">
      <alignment horizontal="center" vertical="center" wrapText="1"/>
    </xf>
    <xf numFmtId="16" fontId="2" fillId="2" borderId="18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" fontId="2" fillId="2" borderId="18" xfId="0" applyNumberFormat="1" applyFont="1" applyFill="1" applyBorder="1" applyAlignment="1">
      <alignment horizontal="center" wrapText="1"/>
    </xf>
    <xf numFmtId="0" fontId="2" fillId="2" borderId="18" xfId="0" applyFont="1" applyFill="1" applyBorder="1" applyAlignment="1">
      <alignment horizontal="center" wrapText="1"/>
    </xf>
    <xf numFmtId="0" fontId="4" fillId="17" borderId="11" xfId="0" applyFont="1" applyFill="1" applyBorder="1" applyAlignment="1">
      <alignment horizontal="center" vertical="center" wrapText="1"/>
    </xf>
    <xf numFmtId="0" fontId="4" fillId="17" borderId="12" xfId="0" applyFont="1" applyFill="1" applyBorder="1" applyAlignment="1">
      <alignment horizontal="center" vertical="center" wrapText="1"/>
    </xf>
    <xf numFmtId="0" fontId="4" fillId="18" borderId="12" xfId="0" applyFont="1" applyFill="1" applyBorder="1" applyAlignment="1">
      <alignment horizontal="center" vertical="center"/>
    </xf>
    <xf numFmtId="0" fontId="4" fillId="18" borderId="102" xfId="0" applyFont="1" applyFill="1" applyBorder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2" fillId="15" borderId="103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5" borderId="4" xfId="0" applyFont="1" applyFill="1" applyBorder="1" applyAlignment="1">
      <alignment horizontal="center" vertical="center"/>
    </xf>
    <xf numFmtId="0" fontId="12" fillId="15" borderId="6" xfId="0" applyFont="1" applyFill="1" applyBorder="1" applyAlignment="1">
      <alignment horizontal="center" vertical="center"/>
    </xf>
    <xf numFmtId="0" fontId="12" fillId="15" borderId="7" xfId="0" applyFont="1" applyFill="1" applyBorder="1" applyAlignment="1">
      <alignment horizontal="center" vertical="center"/>
    </xf>
    <xf numFmtId="0" fontId="12" fillId="15" borderId="8" xfId="0" applyFont="1" applyFill="1" applyBorder="1" applyAlignment="1">
      <alignment horizontal="center" vertical="center"/>
    </xf>
    <xf numFmtId="0" fontId="2" fillId="14" borderId="2" xfId="0" applyFont="1" applyFill="1" applyBorder="1" applyAlignment="1">
      <alignment horizontal="center" wrapText="1"/>
    </xf>
    <xf numFmtId="0" fontId="2" fillId="14" borderId="0" xfId="0" applyFont="1" applyFill="1" applyAlignment="1">
      <alignment horizontal="center" wrapText="1"/>
    </xf>
    <xf numFmtId="0" fontId="33" fillId="13" borderId="9" xfId="0" applyFont="1" applyFill="1" applyBorder="1" applyAlignment="1">
      <alignment horizontal="center" vertical="center" wrapText="1"/>
    </xf>
    <xf numFmtId="0" fontId="33" fillId="13" borderId="10" xfId="0" applyFont="1" applyFill="1" applyBorder="1" applyAlignment="1">
      <alignment horizontal="center" vertical="center"/>
    </xf>
    <xf numFmtId="16" fontId="2" fillId="2" borderId="17" xfId="0" applyNumberFormat="1" applyFont="1" applyFill="1" applyBorder="1" applyAlignment="1">
      <alignment horizontal="center" wrapText="1"/>
    </xf>
    <xf numFmtId="176" fontId="7" fillId="2" borderId="13" xfId="2" applyFont="1" applyFill="1" applyBorder="1" applyAlignment="1">
      <alignment horizontal="center" vertical="center"/>
    </xf>
    <xf numFmtId="2" fontId="6" fillId="11" borderId="114" xfId="0" applyNumberFormat="1" applyFont="1" applyFill="1" applyBorder="1" applyAlignment="1">
      <alignment horizontal="center" vertical="center"/>
    </xf>
    <xf numFmtId="176" fontId="31" fillId="10" borderId="92" xfId="2" applyFont="1" applyFill="1" applyBorder="1" applyAlignment="1">
      <alignment horizontal="center" vertical="center"/>
    </xf>
    <xf numFmtId="176" fontId="31" fillId="10" borderId="96" xfId="2" applyFont="1" applyFill="1" applyBorder="1" applyAlignment="1">
      <alignment horizontal="center" vertical="center"/>
    </xf>
    <xf numFmtId="176" fontId="15" fillId="6" borderId="23" xfId="2" applyFont="1" applyFill="1" applyBorder="1" applyAlignment="1">
      <alignment horizontal="center" vertical="center"/>
    </xf>
    <xf numFmtId="176" fontId="15" fillId="6" borderId="21" xfId="2" applyFont="1" applyFill="1" applyBorder="1" applyAlignment="1">
      <alignment horizontal="center" vertical="center"/>
    </xf>
    <xf numFmtId="176" fontId="15" fillId="6" borderId="24" xfId="2" applyFont="1" applyFill="1" applyBorder="1" applyAlignment="1">
      <alignment horizontal="center" vertical="center"/>
    </xf>
    <xf numFmtId="176" fontId="27" fillId="2" borderId="40" xfId="2" applyFont="1" applyFill="1" applyBorder="1" applyAlignment="1">
      <alignment horizontal="center" vertical="center"/>
    </xf>
    <xf numFmtId="176" fontId="27" fillId="2" borderId="41" xfId="2" applyFont="1" applyFill="1" applyBorder="1" applyAlignment="1">
      <alignment horizontal="center" vertical="center"/>
    </xf>
    <xf numFmtId="176" fontId="29" fillId="10" borderId="53" xfId="2" applyFont="1" applyFill="1" applyBorder="1" applyAlignment="1">
      <alignment horizontal="center" vertical="center" wrapText="1"/>
    </xf>
    <xf numFmtId="176" fontId="29" fillId="10" borderId="58" xfId="2" applyFont="1" applyFill="1" applyBorder="1" applyAlignment="1">
      <alignment horizontal="center" vertical="center" wrapText="1"/>
    </xf>
    <xf numFmtId="176" fontId="29" fillId="10" borderId="53" xfId="2" applyFont="1" applyFill="1" applyBorder="1" applyAlignment="1">
      <alignment horizontal="center" vertical="center"/>
    </xf>
    <xf numFmtId="176" fontId="29" fillId="10" borderId="58" xfId="2" applyFont="1" applyFill="1" applyBorder="1" applyAlignment="1">
      <alignment horizontal="center" vertical="center"/>
    </xf>
    <xf numFmtId="176" fontId="29" fillId="10" borderId="69" xfId="2" applyFont="1" applyFill="1" applyBorder="1" applyAlignment="1">
      <alignment horizontal="center" vertical="center"/>
    </xf>
    <xf numFmtId="176" fontId="29" fillId="10" borderId="72" xfId="2" applyFont="1" applyFill="1" applyBorder="1" applyAlignment="1">
      <alignment horizontal="center" vertical="center"/>
    </xf>
    <xf numFmtId="176" fontId="29" fillId="10" borderId="78" xfId="2" applyFont="1" applyFill="1" applyBorder="1" applyAlignment="1">
      <alignment horizontal="center" vertical="center" wrapText="1"/>
    </xf>
    <xf numFmtId="176" fontId="29" fillId="10" borderId="69" xfId="2" applyFont="1" applyFill="1" applyBorder="1" applyAlignment="1">
      <alignment horizontal="center" vertical="center" wrapText="1"/>
    </xf>
    <xf numFmtId="176" fontId="27" fillId="2" borderId="1" xfId="2" applyFont="1" applyFill="1" applyBorder="1" applyAlignment="1">
      <alignment horizontal="center" vertical="center" wrapText="1"/>
    </xf>
    <xf numFmtId="176" fontId="14" fillId="2" borderId="20" xfId="2" applyFont="1" applyFill="1" applyBorder="1" applyAlignment="1">
      <alignment horizontal="center" vertical="center" wrapText="1"/>
    </xf>
    <xf numFmtId="176" fontId="14" fillId="2" borderId="21" xfId="2" applyFont="1" applyFill="1" applyBorder="1" applyAlignment="1">
      <alignment horizontal="center" vertical="center" wrapText="1"/>
    </xf>
    <xf numFmtId="176" fontId="14" fillId="4" borderId="21" xfId="2" applyFont="1" applyFill="1" applyBorder="1" applyAlignment="1">
      <alignment horizontal="center" vertical="center" wrapText="1"/>
    </xf>
    <xf numFmtId="176" fontId="14" fillId="4" borderId="22" xfId="2" applyFont="1" applyFill="1" applyBorder="1" applyAlignment="1">
      <alignment horizontal="center" vertical="center" wrapText="1"/>
    </xf>
    <xf numFmtId="176" fontId="14" fillId="5" borderId="23" xfId="2" applyFont="1" applyFill="1" applyBorder="1" applyAlignment="1">
      <alignment horizontal="center" vertical="center" wrapText="1"/>
    </xf>
    <xf numFmtId="176" fontId="14" fillId="5" borderId="21" xfId="2" applyFont="1" applyFill="1" applyBorder="1" applyAlignment="1">
      <alignment horizontal="center" vertical="center" wrapText="1"/>
    </xf>
    <xf numFmtId="176" fontId="14" fillId="5" borderId="24" xfId="2" applyFont="1" applyFill="1" applyBorder="1" applyAlignment="1">
      <alignment horizontal="center" vertical="center" wrapText="1"/>
    </xf>
    <xf numFmtId="176" fontId="15" fillId="4" borderId="20" xfId="2" applyFont="1" applyFill="1" applyBorder="1" applyAlignment="1">
      <alignment horizontal="center" vertical="center"/>
    </xf>
    <xf numFmtId="176" fontId="15" fillId="4" borderId="21" xfId="2" applyFont="1" applyFill="1" applyBorder="1" applyAlignment="1">
      <alignment horizontal="center" vertical="center"/>
    </xf>
    <xf numFmtId="176" fontId="15" fillId="4" borderId="22" xfId="2" applyFont="1" applyFill="1" applyBorder="1" applyAlignment="1">
      <alignment horizontal="center" vertical="center"/>
    </xf>
    <xf numFmtId="0" fontId="2" fillId="2" borderId="121" xfId="0" applyFont="1" applyFill="1" applyBorder="1" applyAlignment="1">
      <alignment vertical="center"/>
    </xf>
    <xf numFmtId="0" fontId="2" fillId="2" borderId="122" xfId="0" applyFont="1" applyFill="1" applyBorder="1" applyAlignment="1">
      <alignment vertical="center"/>
    </xf>
    <xf numFmtId="0" fontId="2" fillId="2" borderId="128" xfId="0" applyFont="1" applyFill="1" applyBorder="1" applyAlignment="1">
      <alignment vertical="center"/>
    </xf>
    <xf numFmtId="0" fontId="2" fillId="2" borderId="125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8" fillId="19" borderId="138" xfId="0" applyFont="1" applyFill="1" applyBorder="1" applyAlignment="1">
      <alignment horizontal="center"/>
    </xf>
    <xf numFmtId="3" fontId="38" fillId="19" borderId="139" xfId="0" applyNumberFormat="1" applyFont="1" applyFill="1" applyBorder="1" applyAlignment="1">
      <alignment horizontal="center"/>
    </xf>
    <xf numFmtId="0" fontId="38" fillId="19" borderId="140" xfId="0" applyFont="1" applyFill="1" applyBorder="1" applyAlignment="1">
      <alignment horizontal="center"/>
    </xf>
    <xf numFmtId="3" fontId="38" fillId="19" borderId="141" xfId="0" applyNumberFormat="1" applyFont="1" applyFill="1" applyBorder="1" applyAlignment="1">
      <alignment horizontal="center"/>
    </xf>
    <xf numFmtId="0" fontId="38" fillId="19" borderId="141" xfId="0" applyFont="1" applyFill="1" applyBorder="1" applyAlignment="1">
      <alignment horizontal="center"/>
    </xf>
    <xf numFmtId="187" fontId="0" fillId="0" borderId="137" xfId="0" applyNumberFormat="1" applyFont="1" applyBorder="1" applyAlignment="1">
      <alignment vertical="center"/>
    </xf>
    <xf numFmtId="187" fontId="0" fillId="0" borderId="124" xfId="0" applyNumberFormat="1" applyFont="1" applyBorder="1" applyAlignment="1">
      <alignment vertical="center"/>
    </xf>
    <xf numFmtId="187" fontId="0" fillId="0" borderId="124" xfId="0" applyNumberFormat="1" applyFont="1" applyBorder="1"/>
    <xf numFmtId="187" fontId="0" fillId="0" borderId="126" xfId="0" applyNumberFormat="1" applyFont="1" applyBorder="1"/>
    <xf numFmtId="187" fontId="0" fillId="0" borderId="127" xfId="0" applyNumberFormat="1" applyFont="1" applyBorder="1"/>
    <xf numFmtId="0" fontId="38" fillId="19" borderId="139" xfId="0" applyFont="1" applyFill="1" applyBorder="1" applyAlignment="1">
      <alignment horizontal="center"/>
    </xf>
    <xf numFmtId="0" fontId="39" fillId="0" borderId="0" xfId="0" applyFont="1"/>
    <xf numFmtId="0" fontId="39" fillId="0" borderId="133" xfId="0" applyFont="1" applyBorder="1"/>
    <xf numFmtId="176" fontId="40" fillId="0" borderId="0" xfId="2" applyFont="1" applyFill="1" applyBorder="1" applyAlignment="1">
      <alignment horizontal="center" vertical="center"/>
    </xf>
    <xf numFmtId="176" fontId="40" fillId="0" borderId="7" xfId="2" applyFont="1" applyFill="1" applyBorder="1" applyAlignment="1">
      <alignment horizontal="center" vertical="center"/>
    </xf>
  </cellXfs>
  <cellStyles count="3">
    <cellStyle name="쉼표" xfId="1" builtinId="3"/>
    <cellStyle name="쉼표 [0]" xfId="2" builtinId="6"/>
    <cellStyle name="표준" xfId="0" builtinId="0"/>
  </cellStyles>
  <dxfs count="2"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EFF9EB"/>
      <color rgb="FFF5F2BD"/>
      <color rgb="FFFDFDFD"/>
      <color rgb="FF9A2626"/>
      <color rgb="FFD0EFC3"/>
      <color rgb="FFE3FD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C1D6D-3B12-4A26-956F-951C8123BBEC}">
  <dimension ref="B1:AK72"/>
  <sheetViews>
    <sheetView tabSelected="1" zoomScale="85" zoomScaleNormal="85" workbookViewId="0">
      <pane xSplit="2" topLeftCell="C1" activePane="topRight" state="frozen"/>
      <selection pane="topRight" activeCell="B1" sqref="B1:D2"/>
    </sheetView>
  </sheetViews>
  <sheetFormatPr defaultRowHeight="16.5" x14ac:dyDescent="0.3"/>
  <cols>
    <col min="2" max="3" width="16.25" customWidth="1"/>
    <col min="4" max="4" width="15" customWidth="1"/>
    <col min="5" max="5" width="15.625" bestFit="1" customWidth="1"/>
    <col min="6" max="7" width="13.25" customWidth="1"/>
    <col min="8" max="8" width="14.625" customWidth="1"/>
    <col min="9" max="9" width="15.75" bestFit="1" customWidth="1"/>
    <col min="10" max="10" width="14.5" customWidth="1"/>
    <col min="11" max="11" width="15.75" bestFit="1" customWidth="1"/>
    <col min="12" max="12" width="14.125" customWidth="1"/>
    <col min="13" max="13" width="9" bestFit="1" customWidth="1"/>
    <col min="14" max="14" width="17.5" bestFit="1" customWidth="1"/>
    <col min="15" max="15" width="16.125" bestFit="1" customWidth="1"/>
    <col min="16" max="16" width="17.5" bestFit="1" customWidth="1"/>
    <col min="17" max="17" width="15.75" bestFit="1" customWidth="1"/>
    <col min="18" max="18" width="17.5" bestFit="1" customWidth="1"/>
    <col min="19" max="20" width="15.75" bestFit="1" customWidth="1"/>
    <col min="21" max="21" width="14.25" bestFit="1" customWidth="1"/>
    <col min="22" max="22" width="15.125" bestFit="1" customWidth="1"/>
    <col min="23" max="23" width="13.375" bestFit="1" customWidth="1"/>
    <col min="24" max="24" width="11.5" bestFit="1" customWidth="1"/>
    <col min="25" max="25" width="12.375" bestFit="1" customWidth="1"/>
    <col min="26" max="26" width="13.375" bestFit="1" customWidth="1"/>
    <col min="27" max="27" width="11.5" bestFit="1" customWidth="1"/>
    <col min="28" max="28" width="12.375" bestFit="1" customWidth="1"/>
    <col min="29" max="29" width="13.375" bestFit="1" customWidth="1"/>
    <col min="30" max="30" width="11.5" bestFit="1" customWidth="1"/>
    <col min="31" max="31" width="12.375" bestFit="1" customWidth="1"/>
    <col min="32" max="32" width="13.375" bestFit="1" customWidth="1"/>
    <col min="37" max="37" width="10.125" customWidth="1"/>
  </cols>
  <sheetData>
    <row r="1" spans="2:37" ht="14.45" customHeight="1" x14ac:dyDescent="0.3">
      <c r="B1" s="289" t="s">
        <v>55</v>
      </c>
      <c r="C1" s="290"/>
      <c r="D1" s="291"/>
    </row>
    <row r="2" spans="2:37" ht="30" customHeight="1" thickBot="1" x14ac:dyDescent="0.35">
      <c r="B2" s="292"/>
      <c r="C2" s="293"/>
      <c r="D2" s="294"/>
    </row>
    <row r="3" spans="2:37" ht="23.45" customHeight="1" thickBot="1" x14ac:dyDescent="0.35">
      <c r="B3" s="157"/>
      <c r="C3" s="157"/>
      <c r="D3" s="157"/>
      <c r="E3" s="157"/>
    </row>
    <row r="4" spans="2:37" ht="17.25" thickBot="1" x14ac:dyDescent="0.35">
      <c r="B4" s="297" t="s">
        <v>64</v>
      </c>
      <c r="C4" s="299">
        <v>45528</v>
      </c>
      <c r="D4" s="282"/>
      <c r="E4" s="278">
        <v>45559</v>
      </c>
      <c r="F4" s="279"/>
      <c r="G4" s="281">
        <v>45589</v>
      </c>
      <c r="H4" s="282"/>
      <c r="I4" s="278">
        <v>45620</v>
      </c>
      <c r="J4" s="279"/>
      <c r="K4" s="281">
        <v>45650</v>
      </c>
      <c r="L4" s="282"/>
      <c r="M4" s="295"/>
      <c r="N4" s="278">
        <v>45316</v>
      </c>
      <c r="O4" s="279"/>
      <c r="P4" s="281">
        <v>45347</v>
      </c>
      <c r="Q4" s="282"/>
      <c r="R4" s="278">
        <v>45376</v>
      </c>
      <c r="S4" s="279"/>
      <c r="T4" s="281">
        <v>45407</v>
      </c>
      <c r="U4" s="282"/>
      <c r="V4" s="278">
        <v>45437</v>
      </c>
      <c r="W4" s="280"/>
      <c r="X4" s="287"/>
      <c r="Y4" s="288"/>
      <c r="Z4" s="287"/>
      <c r="AA4" s="288"/>
      <c r="AB4" s="287"/>
      <c r="AC4" s="288"/>
      <c r="AD4" s="287"/>
      <c r="AE4" s="288"/>
      <c r="AF4" s="287"/>
      <c r="AG4" s="288"/>
      <c r="AH4" s="287"/>
      <c r="AI4" s="288"/>
      <c r="AJ4" s="287"/>
      <c r="AK4" s="288"/>
    </row>
    <row r="5" spans="2:37" ht="33.6" customHeight="1" thickBot="1" x14ac:dyDescent="0.35">
      <c r="B5" s="298"/>
      <c r="C5" s="6" t="s">
        <v>6</v>
      </c>
      <c r="D5" s="186" t="s">
        <v>0</v>
      </c>
      <c r="E5" s="7" t="s">
        <v>6</v>
      </c>
      <c r="F5" s="186" t="s">
        <v>0</v>
      </c>
      <c r="G5" s="7" t="s">
        <v>6</v>
      </c>
      <c r="H5" s="186" t="s">
        <v>0</v>
      </c>
      <c r="I5" s="185" t="s">
        <v>6</v>
      </c>
      <c r="J5" s="186" t="s">
        <v>0</v>
      </c>
      <c r="K5" s="185" t="s">
        <v>6</v>
      </c>
      <c r="L5" s="186" t="s">
        <v>0</v>
      </c>
      <c r="M5" s="296"/>
      <c r="N5" s="7" t="s">
        <v>7</v>
      </c>
      <c r="O5" s="186" t="s">
        <v>0</v>
      </c>
      <c r="P5" s="185" t="s">
        <v>7</v>
      </c>
      <c r="Q5" s="186" t="s">
        <v>0</v>
      </c>
      <c r="R5" s="185" t="s">
        <v>7</v>
      </c>
      <c r="S5" s="186" t="s">
        <v>0</v>
      </c>
      <c r="T5" s="185" t="s">
        <v>7</v>
      </c>
      <c r="U5" s="186" t="s">
        <v>0</v>
      </c>
      <c r="V5" s="7" t="s">
        <v>7</v>
      </c>
      <c r="W5" s="3" t="s">
        <v>0</v>
      </c>
      <c r="X5" s="4"/>
      <c r="Y5" s="179"/>
      <c r="Z5" s="4"/>
      <c r="AA5" s="179"/>
      <c r="AB5" s="4"/>
      <c r="AC5" s="179"/>
      <c r="AD5" s="4"/>
      <c r="AE5" s="179"/>
      <c r="AF5" s="4"/>
      <c r="AG5" s="179"/>
      <c r="AH5" s="4"/>
      <c r="AI5" s="179"/>
      <c r="AJ5" s="4"/>
      <c r="AK5" s="179"/>
    </row>
    <row r="6" spans="2:37" x14ac:dyDescent="0.3">
      <c r="B6" s="167" t="s">
        <v>32</v>
      </c>
      <c r="C6">
        <v>586</v>
      </c>
      <c r="D6" s="8">
        <f>C6/AVERAGE(D43:F43)</f>
        <v>6.0412371134020617</v>
      </c>
      <c r="E6" s="9">
        <v>500</v>
      </c>
      <c r="F6" s="8">
        <f>E6/AVERAGE(E43:G43)</f>
        <v>7.5376884422110555</v>
      </c>
      <c r="G6" s="9">
        <v>441</v>
      </c>
      <c r="H6" s="8">
        <f>G6/AVERAGE(F43:H43)</f>
        <v>8.2687499999999989</v>
      </c>
      <c r="I6" s="10">
        <v>75</v>
      </c>
      <c r="J6" s="8">
        <f>I6/AVERAGE(G43:I43)</f>
        <v>1.4516129032258065</v>
      </c>
      <c r="K6" s="10">
        <v>333</v>
      </c>
      <c r="L6" s="8">
        <f>K6/AVERAGE(H43:J43)</f>
        <v>6.4038461538461542</v>
      </c>
      <c r="M6" s="296"/>
      <c r="N6" s="9">
        <f>K6+I25-I43+C25</f>
        <v>1449</v>
      </c>
      <c r="O6" s="8">
        <f>N6/AVERAGE(I43:K43)</f>
        <v>26.506097560975611</v>
      </c>
      <c r="P6" s="10">
        <f>N6+J25-J43</f>
        <v>1394</v>
      </c>
      <c r="Q6" s="8">
        <f>P6/AVERAGE(J43:L43)</f>
        <v>25.345454545454544</v>
      </c>
      <c r="R6" s="10">
        <f>P6+K25-K43</f>
        <v>1339</v>
      </c>
      <c r="S6" s="8">
        <f>R6/AVERAGE(K43:M43)</f>
        <v>24.345454545454544</v>
      </c>
      <c r="T6" s="10">
        <f>R6+L25-L43</f>
        <v>1284</v>
      </c>
      <c r="U6" s="8">
        <f>T6/AVERAGE(L43:N43)</f>
        <v>23.487804878048781</v>
      </c>
      <c r="V6" s="10">
        <f>T6+M25-M43</f>
        <v>1229</v>
      </c>
      <c r="W6" s="267">
        <f>V6/AVERAGE(M43:O43)</f>
        <v>22.75925925925926</v>
      </c>
      <c r="X6" s="180"/>
      <c r="Y6" s="181"/>
      <c r="Z6" s="180"/>
      <c r="AA6" s="181"/>
      <c r="AB6" s="180"/>
      <c r="AC6" s="181"/>
      <c r="AD6" s="180"/>
      <c r="AE6" s="181"/>
      <c r="AF6" s="180"/>
      <c r="AG6" s="181"/>
      <c r="AH6" s="180"/>
      <c r="AI6" s="181"/>
      <c r="AJ6" s="180"/>
      <c r="AK6" s="181"/>
    </row>
    <row r="7" spans="2:37" x14ac:dyDescent="0.3">
      <c r="B7" s="5" t="s">
        <v>33</v>
      </c>
      <c r="C7">
        <v>1450</v>
      </c>
      <c r="D7" s="8">
        <f>C7/AVERAGE(D45:F45)</f>
        <v>9.5394736842105257</v>
      </c>
      <c r="E7" s="9">
        <v>1319</v>
      </c>
      <c r="F7" s="8">
        <f>E7/AVERAGE(E45:G45)</f>
        <v>8.0920245398773005</v>
      </c>
      <c r="G7" s="9">
        <v>1133</v>
      </c>
      <c r="H7" s="8">
        <f>G7/AVERAGE(F45:H45)</f>
        <v>6.6516634050880619</v>
      </c>
      <c r="I7" s="9">
        <v>961</v>
      </c>
      <c r="J7" s="8">
        <f>I7/AVERAGE(G45:I45)</f>
        <v>5.8125</v>
      </c>
      <c r="K7" s="9">
        <v>789</v>
      </c>
      <c r="L7" s="8">
        <f>K7/AVERAGE(H45:J45)</f>
        <v>4.7721774193548381</v>
      </c>
      <c r="M7" s="296"/>
      <c r="N7" s="9">
        <f>K7+I26-I45+C26</f>
        <v>1338</v>
      </c>
      <c r="O7" s="8">
        <f>N7/AVERAGE(I45:K45)</f>
        <v>7.7341040462427744</v>
      </c>
      <c r="P7" s="9">
        <f>N7+J26-J45</f>
        <v>1166</v>
      </c>
      <c r="Q7" s="8">
        <f>P7/AVERAGE(J45:L45)</f>
        <v>6.6375711574952563</v>
      </c>
      <c r="R7" s="9">
        <f>P7+K26-K45</f>
        <v>990</v>
      </c>
      <c r="S7" s="8">
        <f>R7/AVERAGE(K45:M45)</f>
        <v>5.593220338983051</v>
      </c>
      <c r="T7" s="9">
        <f>R7+L26-L45</f>
        <v>811</v>
      </c>
      <c r="U7" s="8">
        <f>T7/AVERAGE(L45:N45)</f>
        <v>4.5992438563327029</v>
      </c>
      <c r="V7" s="9">
        <f>T7+M26-M45</f>
        <v>635</v>
      </c>
      <c r="W7" s="267">
        <f>V7/AVERAGE(M45:O45)</f>
        <v>3.6634615384615383</v>
      </c>
      <c r="X7" s="180"/>
      <c r="Y7" s="181"/>
      <c r="Z7" s="180"/>
      <c r="AA7" s="181"/>
      <c r="AB7" s="180"/>
      <c r="AC7" s="181"/>
      <c r="AD7" s="180"/>
      <c r="AE7" s="181"/>
      <c r="AF7" s="180"/>
      <c r="AG7" s="181"/>
      <c r="AH7" s="180"/>
      <c r="AI7" s="181"/>
      <c r="AJ7" s="180"/>
      <c r="AK7" s="181"/>
    </row>
    <row r="8" spans="2:37" x14ac:dyDescent="0.3">
      <c r="B8" s="5" t="s">
        <v>34</v>
      </c>
      <c r="C8">
        <v>1036</v>
      </c>
      <c r="D8" s="8">
        <f>C8/AVERAGE(D47:F47)</f>
        <v>6.7127429805615551</v>
      </c>
      <c r="E8" s="9">
        <v>1882</v>
      </c>
      <c r="F8" s="8">
        <f>E8/AVERAGE(E47:G47)</f>
        <v>14.551546391752577</v>
      </c>
      <c r="G8" s="9">
        <v>1768</v>
      </c>
      <c r="H8" s="8">
        <f>G8/AVERAGE(F47:H47)</f>
        <v>15.600000000000001</v>
      </c>
      <c r="I8" s="9">
        <v>1632</v>
      </c>
      <c r="J8" s="8">
        <f>I8/AVERAGE(G47:I47)</f>
        <v>13.675977653631286</v>
      </c>
      <c r="K8" s="9">
        <v>1508</v>
      </c>
      <c r="L8" s="8">
        <f>K8/AVERAGE(H47:J47)</f>
        <v>12.531855955678671</v>
      </c>
      <c r="M8" s="296"/>
      <c r="N8" s="9">
        <f>K8+I27-I47+C27</f>
        <v>2456</v>
      </c>
      <c r="O8" s="8">
        <f>N8/AVERAGE(I47:K47)</f>
        <v>18.374064837905237</v>
      </c>
      <c r="P8" s="9">
        <f>N8+J27-J47</f>
        <v>2323</v>
      </c>
      <c r="Q8" s="8">
        <f>P8/AVERAGE(J47:L47)</f>
        <v>17.165024630541872</v>
      </c>
      <c r="R8" s="9">
        <f>P8+K27-K47</f>
        <v>2187</v>
      </c>
      <c r="S8" s="8">
        <f>R8/AVERAGE(K47:M47)</f>
        <v>16.002439024390245</v>
      </c>
      <c r="T8" s="9">
        <f>R8+L27-L47</f>
        <v>2050</v>
      </c>
      <c r="U8" s="8">
        <f>T8/AVERAGE(L47:N47)</f>
        <v>15.073529411764707</v>
      </c>
      <c r="V8" s="9">
        <f>T8+M27-M47</f>
        <v>1913</v>
      </c>
      <c r="W8" s="267">
        <f>V8/AVERAGE(M47:O47)</f>
        <v>14.276119402985074</v>
      </c>
      <c r="X8" s="180"/>
      <c r="Y8" s="181"/>
      <c r="Z8" s="180"/>
      <c r="AA8" s="181"/>
      <c r="AB8" s="180"/>
      <c r="AC8" s="181"/>
      <c r="AD8" s="180"/>
      <c r="AE8" s="181"/>
      <c r="AF8" s="180"/>
      <c r="AG8" s="181"/>
      <c r="AH8" s="180"/>
      <c r="AI8" s="181"/>
      <c r="AJ8" s="180"/>
      <c r="AK8" s="181"/>
    </row>
    <row r="9" spans="2:37" x14ac:dyDescent="0.3">
      <c r="B9" s="5" t="s">
        <v>35</v>
      </c>
      <c r="C9">
        <v>414</v>
      </c>
      <c r="D9" s="8">
        <f>C9/AVERAGE(D49:F49)</f>
        <v>15.923076923076923</v>
      </c>
      <c r="E9" s="9">
        <v>393</v>
      </c>
      <c r="F9" s="8">
        <f>E9/AVERAGE(E49:G49)</f>
        <v>14.035714285714286</v>
      </c>
      <c r="G9" s="9">
        <v>361</v>
      </c>
      <c r="H9" s="8">
        <f>G9/AVERAGE(F49:H49)</f>
        <v>10.413461538461538</v>
      </c>
      <c r="I9" s="9">
        <v>293</v>
      </c>
      <c r="J9" s="8">
        <f>I9/AVERAGE(G49:I49)</f>
        <v>8.3714285714285719</v>
      </c>
      <c r="K9" s="9">
        <v>299</v>
      </c>
      <c r="L9" s="8">
        <f>K9/AVERAGE(H49:J49)</f>
        <v>8.3055555555555554</v>
      </c>
      <c r="M9" s="296"/>
      <c r="N9" s="9">
        <f>K9+I28-I49+C28</f>
        <v>266</v>
      </c>
      <c r="O9" s="8">
        <f>N9/AVERAGE(I49:K49)</f>
        <v>7.8235294117647056</v>
      </c>
      <c r="P9" s="9">
        <f>N9+J28-J49</f>
        <v>232</v>
      </c>
      <c r="Q9" s="8">
        <f>P9/AVERAGE(J49:L49)</f>
        <v>6.6923076923076925</v>
      </c>
      <c r="R9" s="9">
        <f>P9+K28-K49</f>
        <v>197</v>
      </c>
      <c r="S9" s="8">
        <f>R9/AVERAGE(K49:M49)</f>
        <v>5.628571428571429</v>
      </c>
      <c r="T9" s="9">
        <f>R9+L28-L49</f>
        <v>252</v>
      </c>
      <c r="U9" s="8">
        <f>T9/AVERAGE(L49:N49)</f>
        <v>7.2692307692307701</v>
      </c>
      <c r="V9" s="9">
        <f>T9+M28-M49</f>
        <v>217</v>
      </c>
      <c r="W9" s="267">
        <f>V9/AVERAGE(M49:O49)</f>
        <v>6.3203883495145625</v>
      </c>
      <c r="X9" s="180"/>
      <c r="Y9" s="181"/>
      <c r="Z9" s="180"/>
      <c r="AA9" s="181"/>
      <c r="AB9" s="180"/>
      <c r="AC9" s="181"/>
      <c r="AD9" s="180"/>
      <c r="AE9" s="181"/>
      <c r="AF9" s="180"/>
      <c r="AG9" s="181"/>
      <c r="AH9" s="180"/>
      <c r="AI9" s="181"/>
      <c r="AJ9" s="180"/>
      <c r="AK9" s="181"/>
    </row>
    <row r="10" spans="2:37" x14ac:dyDescent="0.3">
      <c r="B10" s="5" t="s">
        <v>1</v>
      </c>
      <c r="C10" s="187">
        <v>7968</v>
      </c>
      <c r="D10" s="8">
        <f>C10/AVERAGE(D51:F51)</f>
        <v>5.2978723404255321</v>
      </c>
      <c r="E10" s="9">
        <v>6499</v>
      </c>
      <c r="F10" s="8">
        <f>E10/AVERAGE(E51:G51)</f>
        <v>4.716255442670537</v>
      </c>
      <c r="G10" s="9">
        <v>7013</v>
      </c>
      <c r="H10" s="8">
        <f>G10/AVERAGE(F51:H51)</f>
        <v>5.0991274842462433</v>
      </c>
      <c r="I10" s="9">
        <v>5656</v>
      </c>
      <c r="J10" s="8">
        <f>I10/AVERAGE(G51:I51)</f>
        <v>4.1334957369062124</v>
      </c>
      <c r="K10" s="9">
        <v>5087</v>
      </c>
      <c r="L10" s="8">
        <f>K10/AVERAGE(H51:J51)</f>
        <v>3.6527046433700332</v>
      </c>
      <c r="M10" s="296"/>
      <c r="N10" s="9">
        <f>K10+I29-I51+C29</f>
        <v>5470</v>
      </c>
      <c r="O10" s="8">
        <f>N10/AVERAGE(I51:K51)</f>
        <v>3.9868804664723032</v>
      </c>
      <c r="P10" s="9">
        <f>N10+J29-J51</f>
        <v>7266</v>
      </c>
      <c r="Q10" s="8">
        <f>P10/AVERAGE(J51:L51)</f>
        <v>5.2223287014853863</v>
      </c>
      <c r="R10" s="9">
        <f>P10+K29-K51</f>
        <v>9803</v>
      </c>
      <c r="S10" s="8">
        <f>R10/AVERAGE(K51:M51)</f>
        <v>7.0004760771244943</v>
      </c>
      <c r="T10" s="9">
        <f>R10+L29-L51</f>
        <v>9072</v>
      </c>
      <c r="U10" s="8">
        <f>T10/AVERAGE(L51:N51)</f>
        <v>6.5078909612625537</v>
      </c>
      <c r="V10" s="9">
        <f>T10+M29-M51</f>
        <v>7673</v>
      </c>
      <c r="W10" s="267">
        <f>V10/AVERAGE(M51:O51)</f>
        <v>5.584425036390102</v>
      </c>
      <c r="X10" s="180"/>
      <c r="Y10" s="181"/>
      <c r="Z10" s="180"/>
      <c r="AA10" s="181"/>
      <c r="AB10" s="180"/>
      <c r="AC10" s="181"/>
      <c r="AD10" s="180"/>
      <c r="AE10" s="181"/>
      <c r="AF10" s="180"/>
      <c r="AG10" s="181"/>
      <c r="AH10" s="180"/>
      <c r="AI10" s="181"/>
      <c r="AJ10" s="180"/>
      <c r="AK10" s="181"/>
    </row>
    <row r="11" spans="2:37" x14ac:dyDescent="0.3">
      <c r="B11" s="5" t="s">
        <v>2</v>
      </c>
      <c r="C11" s="187">
        <v>5308</v>
      </c>
      <c r="D11" s="8">
        <f>C11/AVERAGE(D53:F53)</f>
        <v>2.3172293364377183</v>
      </c>
      <c r="E11" s="9">
        <v>7850</v>
      </c>
      <c r="F11" s="8">
        <f>E11/AVERAGE(E53:G53)</f>
        <v>3.5671008785216602</v>
      </c>
      <c r="G11" s="9">
        <v>3105</v>
      </c>
      <c r="H11" s="8">
        <f>G11/AVERAGE(F53:H53)</f>
        <v>1.3826629063381328</v>
      </c>
      <c r="I11" s="9">
        <v>7195</v>
      </c>
      <c r="J11" s="8">
        <f>I11/AVERAGE(G53:I53)</f>
        <v>3.1794078656650462</v>
      </c>
      <c r="K11" s="9">
        <v>8611</v>
      </c>
      <c r="L11" s="8">
        <f>K11/AVERAGE(H53:J53)</f>
        <v>3.7073765786452357</v>
      </c>
      <c r="M11" s="296"/>
      <c r="N11" s="9">
        <f>K11+I30-I53+C30</f>
        <v>16966</v>
      </c>
      <c r="O11" s="8">
        <f>N11/AVERAGE(I53:K53)</f>
        <v>7.1758071337938807</v>
      </c>
      <c r="P11" s="9">
        <f>N11+J30-I53</f>
        <v>21289</v>
      </c>
      <c r="Q11" s="8">
        <f>P11/AVERAGE(J53:L53)</f>
        <v>8.8055976837170835</v>
      </c>
      <c r="R11" s="9">
        <f>P11+K30-K53</f>
        <v>18867</v>
      </c>
      <c r="S11" s="8">
        <f>R11/AVERAGE(K53:M53)</f>
        <v>7.7197217675941081</v>
      </c>
      <c r="T11" s="9">
        <f>R11+L30-L53</f>
        <v>16406</v>
      </c>
      <c r="U11" s="8">
        <f>T11/AVERAGE(L53:N53)</f>
        <v>6.7164301310043673</v>
      </c>
      <c r="V11" s="9">
        <f>T11+M30-M53</f>
        <v>13957</v>
      </c>
      <c r="W11" s="267">
        <f>V11/AVERAGE(M53:O53)</f>
        <v>5.8001108186729464</v>
      </c>
      <c r="X11" s="180"/>
      <c r="Y11" s="181"/>
      <c r="Z11" s="180"/>
      <c r="AA11" s="181"/>
      <c r="AB11" s="180"/>
      <c r="AC11" s="181"/>
      <c r="AD11" s="180"/>
      <c r="AE11" s="181"/>
      <c r="AF11" s="180"/>
      <c r="AG11" s="181"/>
      <c r="AH11" s="180"/>
      <c r="AI11" s="181"/>
      <c r="AJ11" s="180"/>
      <c r="AK11" s="181"/>
    </row>
    <row r="12" spans="2:37" x14ac:dyDescent="0.3">
      <c r="B12" s="5" t="s">
        <v>3</v>
      </c>
      <c r="C12" s="187">
        <v>6628</v>
      </c>
      <c r="D12" s="8">
        <f>C12/AVERAGE(D55:F55)</f>
        <v>2.6561581619022174</v>
      </c>
      <c r="E12" s="9">
        <v>9672</v>
      </c>
      <c r="F12" s="8">
        <f>E12/AVERAGE(E55:G55)</f>
        <v>4.2993036005334124</v>
      </c>
      <c r="G12" s="9">
        <v>2286</v>
      </c>
      <c r="H12" s="8">
        <f>G12/AVERAGE(F55:H55)</f>
        <v>1.0206876023217741</v>
      </c>
      <c r="I12" s="9">
        <v>8110</v>
      </c>
      <c r="J12" s="8">
        <f>I12/AVERAGE(G55:I55)</f>
        <v>3.5549386323787258</v>
      </c>
      <c r="K12" s="9">
        <v>9318</v>
      </c>
      <c r="L12" s="8">
        <f>K12/AVERAGE(H55:J55)</f>
        <v>3.9656688892041427</v>
      </c>
      <c r="M12" s="296"/>
      <c r="N12" s="9">
        <f>K12+I31-I55+C31</f>
        <v>16399</v>
      </c>
      <c r="O12" s="8">
        <f>N12/AVERAGE(I55:K55)</f>
        <v>6.8036232886184482</v>
      </c>
      <c r="P12" s="9">
        <f>N12+J31-J55</f>
        <v>20795</v>
      </c>
      <c r="Q12" s="8">
        <f>P12/AVERAGE(J55:L55)</f>
        <v>8.438387664006493</v>
      </c>
      <c r="R12" s="9">
        <f>P12+K31-K55</f>
        <v>18311</v>
      </c>
      <c r="S12" s="8">
        <f>R12/AVERAGE(K55:M55)</f>
        <v>7.3814834721848968</v>
      </c>
      <c r="T12" s="9">
        <f>R12+L31-L55</f>
        <v>16110</v>
      </c>
      <c r="U12" s="8">
        <f>T12/AVERAGE(L55:N55)</f>
        <v>6.5390339602218921</v>
      </c>
      <c r="V12" s="9">
        <f>T12+M31-M55</f>
        <v>13641</v>
      </c>
      <c r="W12" s="267">
        <f>V12/AVERAGE(M55:O55)</f>
        <v>5.6336729074889869</v>
      </c>
      <c r="X12" s="180"/>
      <c r="Y12" s="181"/>
      <c r="Z12" s="180"/>
      <c r="AA12" s="181"/>
      <c r="AB12" s="180"/>
      <c r="AC12" s="181"/>
      <c r="AD12" s="180"/>
      <c r="AE12" s="181"/>
      <c r="AF12" s="180"/>
      <c r="AG12" s="181"/>
      <c r="AH12" s="180"/>
      <c r="AI12" s="181"/>
      <c r="AJ12" s="180"/>
      <c r="AK12" s="181"/>
    </row>
    <row r="13" spans="2:37" x14ac:dyDescent="0.3">
      <c r="B13" s="5" t="s">
        <v>50</v>
      </c>
      <c r="C13">
        <v>225</v>
      </c>
      <c r="D13" s="8">
        <f>C13/AVERAGE(D57:F57)</f>
        <v>1.2857142857142858</v>
      </c>
      <c r="E13" s="9"/>
      <c r="F13" s="8">
        <f>E13/AVERAGE(E57:G57)</f>
        <v>0</v>
      </c>
      <c r="G13" s="9"/>
      <c r="H13" s="8">
        <f>G13/AVERAGE(F57:H57)</f>
        <v>0</v>
      </c>
      <c r="I13" s="9">
        <v>1105</v>
      </c>
      <c r="J13" s="8">
        <f>I13/AVERAGE(G57:I57)</f>
        <v>3.1752873563218391</v>
      </c>
      <c r="K13" s="9">
        <v>1092</v>
      </c>
      <c r="L13" s="8">
        <f>K13/AVERAGE(H57:J57)</f>
        <v>2.9171861086375781</v>
      </c>
      <c r="M13" s="296"/>
      <c r="N13" s="9">
        <f>K13+I32-I57+C32</f>
        <v>1311</v>
      </c>
      <c r="O13" s="8">
        <f>N13/AVERAGE(I57:K57)</f>
        <v>3.5336927223719679</v>
      </c>
      <c r="P13" s="9">
        <f>N13+J32-J57</f>
        <v>1226</v>
      </c>
      <c r="Q13" s="8">
        <f>P13/AVERAGE(J57:L57)</f>
        <v>3.2234881682734446</v>
      </c>
      <c r="R13" s="9">
        <f>P13+K32-K57</f>
        <v>1707</v>
      </c>
      <c r="S13" s="8">
        <f>R13/AVERAGE(K57:M57)</f>
        <v>4.4530434782608701</v>
      </c>
      <c r="T13" s="9">
        <f>R13+L32-L57</f>
        <v>2090</v>
      </c>
      <c r="U13" s="8">
        <f>T13/AVERAGE(L57:N57)</f>
        <v>5.4807692307692308</v>
      </c>
      <c r="V13" s="9">
        <f>T13+M32-M57</f>
        <v>1708</v>
      </c>
      <c r="W13" s="267">
        <f>V13/AVERAGE(M57:O57)</f>
        <v>4.5506216696269988</v>
      </c>
      <c r="X13" s="180"/>
      <c r="Y13" s="181"/>
      <c r="Z13" s="180"/>
      <c r="AA13" s="181"/>
      <c r="AB13" s="180"/>
      <c r="AC13" s="181"/>
      <c r="AD13" s="180"/>
      <c r="AE13" s="181"/>
      <c r="AF13" s="180"/>
      <c r="AG13" s="181"/>
      <c r="AH13" s="180"/>
      <c r="AI13" s="181"/>
      <c r="AJ13" s="180"/>
      <c r="AK13" s="181"/>
    </row>
    <row r="14" spans="2:37" x14ac:dyDescent="0.3">
      <c r="B14" s="5" t="s">
        <v>51</v>
      </c>
      <c r="D14" s="182" t="s">
        <v>54</v>
      </c>
      <c r="E14" s="9"/>
      <c r="F14" s="182" t="s">
        <v>54</v>
      </c>
      <c r="G14" s="9"/>
      <c r="H14" s="182" t="s">
        <v>54</v>
      </c>
      <c r="I14" s="9">
        <v>0</v>
      </c>
      <c r="J14" s="182" t="s">
        <v>54</v>
      </c>
      <c r="K14" s="9">
        <v>384</v>
      </c>
      <c r="L14" s="182" t="s">
        <v>54</v>
      </c>
      <c r="M14" s="296"/>
      <c r="N14" s="9">
        <f>K14+I33-I59+C33</f>
        <v>384</v>
      </c>
      <c r="O14" s="8" t="s">
        <v>54</v>
      </c>
      <c r="P14" s="9">
        <f>N14+J33-J59</f>
        <v>384</v>
      </c>
      <c r="Q14" s="8" t="s">
        <v>54</v>
      </c>
      <c r="R14" s="9">
        <f>P14+K33-K59</f>
        <v>384</v>
      </c>
      <c r="S14" s="8" t="s">
        <v>54</v>
      </c>
      <c r="T14" s="9">
        <f>R14+L33-L59</f>
        <v>1056</v>
      </c>
      <c r="U14" s="8" t="s">
        <v>54</v>
      </c>
      <c r="V14" s="9">
        <f>T14+M33-M59</f>
        <v>1056</v>
      </c>
      <c r="W14" s="267" t="s">
        <v>54</v>
      </c>
      <c r="X14" s="180"/>
      <c r="Y14" s="181"/>
      <c r="Z14" s="180"/>
      <c r="AA14" s="181"/>
      <c r="AB14" s="180"/>
      <c r="AC14" s="181"/>
      <c r="AD14" s="180"/>
      <c r="AE14" s="181"/>
      <c r="AF14" s="180"/>
      <c r="AG14" s="181"/>
      <c r="AH14" s="180"/>
      <c r="AI14" s="181"/>
      <c r="AJ14" s="180"/>
      <c r="AK14" s="181"/>
    </row>
    <row r="15" spans="2:37" x14ac:dyDescent="0.3">
      <c r="B15" s="5" t="s">
        <v>52</v>
      </c>
      <c r="C15">
        <v>69</v>
      </c>
      <c r="D15" s="8">
        <f>C15/AVERAGE(D61:F61)</f>
        <v>4.704545454545455</v>
      </c>
      <c r="E15" s="9">
        <v>53</v>
      </c>
      <c r="F15" s="8">
        <f>E15/AVERAGE(E61:G61)</f>
        <v>3.1176470588235294</v>
      </c>
      <c r="G15" s="9">
        <v>34</v>
      </c>
      <c r="H15" s="8">
        <f>G15/AVERAGE(F61:H61)</f>
        <v>1.6451612903225805</v>
      </c>
      <c r="I15" s="9">
        <v>55</v>
      </c>
      <c r="J15" s="8">
        <f>I15/AVERAGE(G61:I61)</f>
        <v>2.5</v>
      </c>
      <c r="K15" s="9">
        <v>120</v>
      </c>
      <c r="L15" s="8">
        <f>K15/AVERAGE(H61:J61)</f>
        <v>5.4545454545454541</v>
      </c>
      <c r="M15" s="296"/>
      <c r="N15" s="9">
        <f>K15+I34-I61+C34</f>
        <v>101</v>
      </c>
      <c r="O15" s="8">
        <f>N15/AVERAGE(I61:K61)</f>
        <v>4.9672131147540988</v>
      </c>
      <c r="P15" s="9">
        <f>N15+J34-J61</f>
        <v>81</v>
      </c>
      <c r="Q15" s="8">
        <f>P15/AVERAGE(J61:L61)</f>
        <v>3.796875</v>
      </c>
      <c r="R15" s="9">
        <f>P15+K34-K61</f>
        <v>59</v>
      </c>
      <c r="S15" s="8">
        <f>R15/AVERAGE(K61:M61)</f>
        <v>2.6818181818181817</v>
      </c>
      <c r="T15" s="9">
        <f>R15+L34-L61</f>
        <v>121</v>
      </c>
      <c r="U15" s="8">
        <f>T15/AVERAGE(L61:N61)</f>
        <v>5.671875</v>
      </c>
      <c r="V15" s="9">
        <f>T15+M34-M61</f>
        <v>99</v>
      </c>
      <c r="W15" s="268">
        <f>V15/AVERAGE(M61:O61)</f>
        <v>4.790322580645161</v>
      </c>
      <c r="X15" s="180"/>
      <c r="Y15" s="181"/>
      <c r="Z15" s="180"/>
      <c r="AA15" s="181"/>
      <c r="AB15" s="180"/>
      <c r="AC15" s="181"/>
      <c r="AD15" s="180"/>
      <c r="AE15" s="181"/>
      <c r="AF15" s="180"/>
      <c r="AG15" s="181"/>
      <c r="AH15" s="180"/>
      <c r="AI15" s="181"/>
      <c r="AJ15" s="180"/>
      <c r="AK15" s="181"/>
    </row>
    <row r="16" spans="2:37" x14ac:dyDescent="0.3">
      <c r="B16" s="184" t="s">
        <v>53</v>
      </c>
      <c r="C16">
        <v>18</v>
      </c>
      <c r="D16" s="8">
        <f>C16/AVERAGE(D63:F63)</f>
        <v>3.1764705882352939</v>
      </c>
      <c r="E16" s="9">
        <v>13</v>
      </c>
      <c r="F16" s="8">
        <f>E16/AVERAGE(E63:G63)</f>
        <v>2.1666666666666665</v>
      </c>
      <c r="G16" s="9">
        <v>6</v>
      </c>
      <c r="H16" s="8">
        <f>G16/AVERAGE(F63:H63)</f>
        <v>1.0588235294117647</v>
      </c>
      <c r="I16" s="9">
        <v>42</v>
      </c>
      <c r="J16" s="8">
        <f>I16/AVERAGE(G63:I63)</f>
        <v>6.6315789473684212</v>
      </c>
      <c r="K16" s="9">
        <v>36</v>
      </c>
      <c r="L16" s="8">
        <f>K16/AVERAGE(H63:J63)</f>
        <v>4.9090909090909092</v>
      </c>
      <c r="M16" s="296"/>
      <c r="N16" s="9">
        <f>K16+I35-I63+C35</f>
        <v>27</v>
      </c>
      <c r="O16" s="8">
        <f>N16/AVERAGE(I63:K63)</f>
        <v>3</v>
      </c>
      <c r="P16" s="9">
        <f>N16+J35-J63</f>
        <v>60</v>
      </c>
      <c r="Q16" s="8">
        <f>P16/AVERAGE(J63:L63)</f>
        <v>6.666666666666667</v>
      </c>
      <c r="R16" s="9">
        <f>P16+K35-K63</f>
        <v>51</v>
      </c>
      <c r="S16" s="8">
        <f>R16/AVERAGE(K63:M63)</f>
        <v>5.666666666666667</v>
      </c>
      <c r="T16" s="9">
        <f>R16+L35-L63</f>
        <v>42</v>
      </c>
      <c r="U16" s="8">
        <f>T16/AVERAGE(L63:N63)</f>
        <v>4.666666666666667</v>
      </c>
      <c r="V16" s="9">
        <f>T16+M35-M63</f>
        <v>33</v>
      </c>
      <c r="W16" s="8">
        <f>V16/AVERAGE(M63:O63)</f>
        <v>3.6666666666666665</v>
      </c>
      <c r="X16" s="189"/>
      <c r="Y16" s="181"/>
      <c r="Z16" s="180"/>
      <c r="AA16" s="181"/>
      <c r="AB16" s="180"/>
      <c r="AC16" s="181"/>
      <c r="AD16" s="180"/>
      <c r="AE16" s="181"/>
      <c r="AF16" s="180"/>
      <c r="AG16" s="181"/>
      <c r="AH16" s="180"/>
      <c r="AI16" s="181"/>
      <c r="AJ16" s="180"/>
      <c r="AK16" s="181"/>
    </row>
    <row r="17" spans="2:37" x14ac:dyDescent="0.3">
      <c r="B17" s="5" t="s">
        <v>57</v>
      </c>
      <c r="C17" s="244" t="s">
        <v>54</v>
      </c>
      <c r="D17" s="245" t="s">
        <v>54</v>
      </c>
      <c r="E17" s="246" t="s">
        <v>54</v>
      </c>
      <c r="F17" s="245" t="s">
        <v>54</v>
      </c>
      <c r="G17" s="246" t="s">
        <v>54</v>
      </c>
      <c r="H17" s="245" t="s">
        <v>54</v>
      </c>
      <c r="I17" s="246" t="s">
        <v>54</v>
      </c>
      <c r="J17" s="245" t="s">
        <v>54</v>
      </c>
      <c r="K17" s="246">
        <v>0</v>
      </c>
      <c r="L17" s="245" t="s">
        <v>54</v>
      </c>
      <c r="M17" s="296"/>
      <c r="N17" s="271">
        <f>K17+I36-I65+C36</f>
        <v>1200</v>
      </c>
      <c r="O17" s="245" t="s">
        <v>54</v>
      </c>
      <c r="P17" s="9">
        <f>N17+J36-J65</f>
        <v>1200</v>
      </c>
      <c r="Q17" s="245" t="s">
        <v>54</v>
      </c>
      <c r="R17" s="9">
        <f>P17+K36-K65</f>
        <v>1200</v>
      </c>
      <c r="S17" s="245" t="s">
        <v>54</v>
      </c>
      <c r="T17" s="9">
        <f>R17+L36-L65</f>
        <v>3000</v>
      </c>
      <c r="U17" s="245" t="s">
        <v>54</v>
      </c>
      <c r="V17" s="9">
        <f>T17+M36-M65</f>
        <v>3000</v>
      </c>
      <c r="W17" s="245" t="s">
        <v>54</v>
      </c>
      <c r="X17" s="189"/>
      <c r="Y17" s="181"/>
      <c r="Z17" s="180"/>
      <c r="AA17" s="181"/>
      <c r="AB17" s="180"/>
      <c r="AC17" s="181"/>
      <c r="AD17" s="180"/>
      <c r="AE17" s="181"/>
      <c r="AF17" s="180"/>
      <c r="AG17" s="181"/>
      <c r="AH17" s="180"/>
      <c r="AI17" s="181"/>
      <c r="AJ17" s="180"/>
      <c r="AK17" s="181"/>
    </row>
    <row r="18" spans="2:37" x14ac:dyDescent="0.3">
      <c r="B18" s="5" t="s">
        <v>58</v>
      </c>
      <c r="C18" s="247" t="s">
        <v>54</v>
      </c>
      <c r="D18" s="245" t="s">
        <v>54</v>
      </c>
      <c r="E18" s="246" t="s">
        <v>54</v>
      </c>
      <c r="F18" s="245" t="s">
        <v>54</v>
      </c>
      <c r="G18" s="246" t="s">
        <v>54</v>
      </c>
      <c r="H18" s="245" t="s">
        <v>54</v>
      </c>
      <c r="I18" s="246" t="s">
        <v>54</v>
      </c>
      <c r="J18" s="245" t="s">
        <v>54</v>
      </c>
      <c r="K18" s="246">
        <v>0</v>
      </c>
      <c r="L18" s="245" t="s">
        <v>54</v>
      </c>
      <c r="M18" s="296"/>
      <c r="N18" s="9">
        <f>K18+I37-I67+C37</f>
        <v>600</v>
      </c>
      <c r="O18" s="245" t="s">
        <v>54</v>
      </c>
      <c r="P18" s="9">
        <f>N18+J37-J67</f>
        <v>600</v>
      </c>
      <c r="Q18" s="245" t="s">
        <v>54</v>
      </c>
      <c r="R18" s="9">
        <f>P18+K37-K67</f>
        <v>600</v>
      </c>
      <c r="S18" s="245" t="s">
        <v>54</v>
      </c>
      <c r="T18" s="9">
        <f>R18+L37-L67</f>
        <v>2580</v>
      </c>
      <c r="U18" s="245" t="s">
        <v>54</v>
      </c>
      <c r="V18" s="9">
        <f>T18+M37-M67</f>
        <v>2580</v>
      </c>
      <c r="W18" s="269" t="s">
        <v>54</v>
      </c>
      <c r="X18" s="180"/>
      <c r="Y18" s="181"/>
      <c r="Z18" s="180"/>
      <c r="AA18" s="181"/>
      <c r="AB18" s="180"/>
      <c r="AC18" s="181"/>
      <c r="AD18" s="180"/>
      <c r="AE18" s="181"/>
      <c r="AF18" s="180"/>
      <c r="AG18" s="181"/>
      <c r="AH18" s="180"/>
      <c r="AI18" s="181"/>
      <c r="AJ18" s="180"/>
      <c r="AK18" s="181"/>
    </row>
    <row r="19" spans="2:37" x14ac:dyDescent="0.3">
      <c r="B19" s="184" t="s">
        <v>62</v>
      </c>
      <c r="C19" s="252"/>
      <c r="D19" s="245" t="s">
        <v>54</v>
      </c>
      <c r="E19" s="246"/>
      <c r="F19" s="245" t="s">
        <v>54</v>
      </c>
      <c r="G19" s="246"/>
      <c r="H19" s="245" t="s">
        <v>54</v>
      </c>
      <c r="I19" s="246">
        <v>252</v>
      </c>
      <c r="J19" s="245" t="s">
        <v>54</v>
      </c>
      <c r="K19" s="246">
        <v>256</v>
      </c>
      <c r="L19" s="245" t="s">
        <v>54</v>
      </c>
      <c r="M19" s="296"/>
      <c r="N19" s="9">
        <f>K19+I38-I69+C38</f>
        <v>1678</v>
      </c>
      <c r="O19" s="245" t="s">
        <v>54</v>
      </c>
      <c r="P19" s="9">
        <f>N19+J38-J69</f>
        <v>1678</v>
      </c>
      <c r="Q19" s="245" t="s">
        <v>54</v>
      </c>
      <c r="R19" s="9">
        <f>P19+K38-K69</f>
        <v>3726</v>
      </c>
      <c r="S19" s="245" t="s">
        <v>54</v>
      </c>
      <c r="T19" s="9">
        <f>R19+L38-L69</f>
        <v>3726</v>
      </c>
      <c r="U19" s="245" t="s">
        <v>54</v>
      </c>
      <c r="V19" s="9">
        <f>T19+M38-M69</f>
        <v>3726</v>
      </c>
      <c r="W19" s="269" t="s">
        <v>54</v>
      </c>
      <c r="X19" s="180"/>
      <c r="Y19" s="181"/>
      <c r="Z19" s="180"/>
      <c r="AA19" s="181"/>
      <c r="AB19" s="180"/>
      <c r="AC19" s="181"/>
      <c r="AD19" s="180"/>
      <c r="AE19" s="181"/>
      <c r="AF19" s="180"/>
      <c r="AG19" s="181"/>
      <c r="AH19" s="180"/>
      <c r="AI19" s="181"/>
      <c r="AJ19" s="180"/>
      <c r="AK19" s="181"/>
    </row>
    <row r="20" spans="2:37" ht="17.25" thickBot="1" x14ac:dyDescent="0.35">
      <c r="B20" s="253" t="s">
        <v>63</v>
      </c>
      <c r="C20" s="248"/>
      <c r="D20" s="249"/>
      <c r="E20" s="250"/>
      <c r="F20" s="249"/>
      <c r="G20" s="250"/>
      <c r="H20" s="249"/>
      <c r="I20" s="250">
        <v>250</v>
      </c>
      <c r="J20" s="249"/>
      <c r="K20" s="250">
        <v>256</v>
      </c>
      <c r="L20" s="249"/>
      <c r="M20" s="251"/>
      <c r="N20" s="11">
        <f>K20+I39-I71+C39</f>
        <v>1726</v>
      </c>
      <c r="O20" s="249"/>
      <c r="P20" s="11">
        <f>N20+J39-J71</f>
        <v>1726</v>
      </c>
      <c r="Q20" s="249"/>
      <c r="R20" s="11">
        <f>P20+K39-K71</f>
        <v>4158</v>
      </c>
      <c r="S20" s="249"/>
      <c r="T20" s="11">
        <f>R20+L39-L71</f>
        <v>4158</v>
      </c>
      <c r="U20" s="249"/>
      <c r="V20" s="11">
        <f>T20+M39-M71</f>
        <v>4158</v>
      </c>
      <c r="W20" s="270"/>
      <c r="X20" s="180"/>
      <c r="Y20" s="181"/>
      <c r="Z20" s="180"/>
      <c r="AA20" s="181"/>
      <c r="AB20" s="180"/>
      <c r="AC20" s="181"/>
      <c r="AD20" s="180"/>
      <c r="AE20" s="181"/>
      <c r="AF20" s="180"/>
      <c r="AG20" s="181"/>
      <c r="AH20" s="180"/>
      <c r="AI20" s="181"/>
      <c r="AJ20" s="180"/>
      <c r="AK20" s="181"/>
    </row>
    <row r="21" spans="2:37" ht="21" customHeight="1" thickBot="1" x14ac:dyDescent="0.35">
      <c r="B21" s="283" t="s">
        <v>61</v>
      </c>
      <c r="C21" s="284"/>
      <c r="D21" s="284"/>
      <c r="E21" s="284"/>
      <c r="F21" s="284"/>
      <c r="G21" s="284"/>
      <c r="H21" s="284"/>
      <c r="I21" s="284"/>
      <c r="J21" s="284"/>
      <c r="K21" s="285" t="s">
        <v>56</v>
      </c>
      <c r="L21" s="285"/>
      <c r="M21" s="285"/>
      <c r="N21" s="285"/>
      <c r="O21" s="285"/>
      <c r="P21" s="285"/>
      <c r="Q21" s="285"/>
      <c r="R21" s="285"/>
      <c r="S21" s="285"/>
      <c r="T21" s="285"/>
      <c r="U21" s="285"/>
      <c r="V21" s="285"/>
      <c r="W21" s="286"/>
    </row>
    <row r="22" spans="2:37" ht="19.899999999999999" customHeight="1" x14ac:dyDescent="0.3">
      <c r="B22" s="12"/>
      <c r="H22" s="168"/>
      <c r="I22" s="168"/>
    </row>
    <row r="23" spans="2:37" ht="18" thickBot="1" x14ac:dyDescent="0.35">
      <c r="B23" s="12"/>
      <c r="D23" s="264"/>
      <c r="H23" s="168"/>
      <c r="I23" s="168"/>
    </row>
    <row r="24" spans="2:37" s="240" customFormat="1" ht="21.6" customHeight="1" thickTop="1" thickBot="1" x14ac:dyDescent="0.35">
      <c r="B24" s="239" t="s">
        <v>65</v>
      </c>
      <c r="C24" s="265">
        <f ca="1">TODAY()</f>
        <v>45665</v>
      </c>
      <c r="E24" s="241" t="s">
        <v>66</v>
      </c>
      <c r="F24" s="242">
        <v>45528</v>
      </c>
      <c r="G24" s="242">
        <v>45559</v>
      </c>
      <c r="H24" s="242">
        <v>45589</v>
      </c>
      <c r="I24" s="242">
        <v>45620</v>
      </c>
      <c r="J24" s="255">
        <v>45650</v>
      </c>
      <c r="K24" s="242">
        <v>45316</v>
      </c>
      <c r="L24" s="242">
        <v>45347</v>
      </c>
      <c r="M24" s="242">
        <v>45376</v>
      </c>
      <c r="N24" s="242">
        <v>45407</v>
      </c>
      <c r="O24" s="242">
        <v>45437</v>
      </c>
      <c r="P24" s="242">
        <v>45468</v>
      </c>
      <c r="Q24" s="242">
        <v>45498</v>
      </c>
      <c r="R24" s="242">
        <v>45529</v>
      </c>
      <c r="S24" s="242">
        <v>45560</v>
      </c>
      <c r="T24" s="242">
        <v>45590</v>
      </c>
      <c r="U24" s="242">
        <v>45621</v>
      </c>
      <c r="V24" s="243">
        <v>45651</v>
      </c>
    </row>
    <row r="25" spans="2:37" ht="15" customHeight="1" x14ac:dyDescent="0.3">
      <c r="B25" s="328" t="s">
        <v>32</v>
      </c>
      <c r="C25" s="338">
        <f>810+360</f>
        <v>1170</v>
      </c>
      <c r="E25" s="167" t="s">
        <v>32</v>
      </c>
      <c r="F25" s="166"/>
      <c r="G25" s="231">
        <v>360</v>
      </c>
      <c r="H25" s="232">
        <v>810</v>
      </c>
      <c r="I25" s="232"/>
      <c r="J25" s="256"/>
      <c r="K25" s="231"/>
      <c r="L25" s="166"/>
      <c r="M25" s="166"/>
      <c r="N25" s="166"/>
      <c r="O25" s="166"/>
      <c r="P25" s="166"/>
      <c r="Q25" s="166"/>
      <c r="R25" s="166"/>
      <c r="S25" s="166"/>
      <c r="T25" s="166"/>
      <c r="U25" s="166"/>
      <c r="V25" s="170"/>
    </row>
    <row r="26" spans="2:37" ht="13.9" customHeight="1" x14ac:dyDescent="0.3">
      <c r="B26" s="329" t="s">
        <v>33</v>
      </c>
      <c r="C26" s="339">
        <v>180</v>
      </c>
      <c r="D26" s="155"/>
      <c r="E26" s="5" t="s">
        <v>33</v>
      </c>
      <c r="G26" s="233"/>
      <c r="H26" s="346">
        <v>180</v>
      </c>
      <c r="I26" s="234">
        <v>540</v>
      </c>
      <c r="J26" s="257"/>
      <c r="K26" s="233"/>
      <c r="V26" s="155"/>
    </row>
    <row r="27" spans="2:37" x14ac:dyDescent="0.3">
      <c r="B27" s="329" t="s">
        <v>34</v>
      </c>
      <c r="C27" s="339">
        <v>630</v>
      </c>
      <c r="E27" s="5" t="s">
        <v>34</v>
      </c>
      <c r="G27" s="233">
        <v>630</v>
      </c>
      <c r="H27" s="346"/>
      <c r="I27" s="234">
        <v>450</v>
      </c>
      <c r="J27" s="257"/>
      <c r="K27" s="233"/>
      <c r="V27" s="155"/>
    </row>
    <row r="28" spans="2:37" x14ac:dyDescent="0.3">
      <c r="B28" s="329" t="s">
        <v>35</v>
      </c>
      <c r="C28" s="339"/>
      <c r="E28" s="5" t="s">
        <v>35</v>
      </c>
      <c r="G28" s="233"/>
      <c r="H28" s="234"/>
      <c r="I28" s="234"/>
      <c r="J28" s="257"/>
      <c r="K28" s="233"/>
      <c r="L28">
        <v>90</v>
      </c>
      <c r="V28" s="155"/>
    </row>
    <row r="29" spans="2:37" ht="13.9" customHeight="1" x14ac:dyDescent="0.3">
      <c r="B29" s="329" t="s">
        <v>1</v>
      </c>
      <c r="C29" s="339">
        <v>288</v>
      </c>
      <c r="E29" s="5" t="s">
        <v>1</v>
      </c>
      <c r="G29" s="233">
        <v>672</v>
      </c>
      <c r="H29" s="233">
        <v>288</v>
      </c>
      <c r="I29" s="238">
        <v>1440</v>
      </c>
      <c r="J29" s="258">
        <v>3168</v>
      </c>
      <c r="K29" s="233">
        <v>3936</v>
      </c>
      <c r="L29" s="233">
        <v>672</v>
      </c>
      <c r="V29" s="155"/>
    </row>
    <row r="30" spans="2:37" ht="15.6" customHeight="1" x14ac:dyDescent="0.3">
      <c r="B30" s="329" t="s">
        <v>2</v>
      </c>
      <c r="C30" s="339">
        <v>6336</v>
      </c>
      <c r="E30" s="5" t="s">
        <v>2</v>
      </c>
      <c r="G30" s="235">
        <v>3648</v>
      </c>
      <c r="H30" s="235">
        <v>6336</v>
      </c>
      <c r="I30" s="233">
        <v>4320</v>
      </c>
      <c r="J30" s="345">
        <v>6624</v>
      </c>
      <c r="K30" s="236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71"/>
    </row>
    <row r="31" spans="2:37" ht="15.6" customHeight="1" x14ac:dyDescent="0.3">
      <c r="B31" s="329" t="s">
        <v>3</v>
      </c>
      <c r="C31" s="339">
        <v>5184</v>
      </c>
      <c r="E31" s="5" t="s">
        <v>3</v>
      </c>
      <c r="G31" s="235">
        <v>3456</v>
      </c>
      <c r="H31" s="235">
        <v>5184</v>
      </c>
      <c r="I31" s="233">
        <v>4224</v>
      </c>
      <c r="J31" s="345">
        <v>6816</v>
      </c>
      <c r="K31" s="236"/>
      <c r="L31" s="344">
        <v>288</v>
      </c>
      <c r="M31" s="169"/>
      <c r="N31" s="169"/>
      <c r="O31" s="169"/>
      <c r="P31" s="169"/>
      <c r="Q31" s="169"/>
      <c r="R31" s="169"/>
      <c r="S31" s="169"/>
      <c r="T31" s="169"/>
      <c r="U31" s="169"/>
      <c r="V31" s="171"/>
    </row>
    <row r="32" spans="2:37" ht="15.6" customHeight="1" x14ac:dyDescent="0.3">
      <c r="B32" s="329" t="s">
        <v>50</v>
      </c>
      <c r="C32" s="339"/>
      <c r="E32" s="5" t="s">
        <v>50</v>
      </c>
      <c r="G32" s="235">
        <v>271</v>
      </c>
      <c r="H32" s="235">
        <v>864</v>
      </c>
      <c r="I32" s="233">
        <v>576</v>
      </c>
      <c r="J32" s="258">
        <v>288</v>
      </c>
      <c r="K32" s="233">
        <v>864</v>
      </c>
      <c r="L32" s="344">
        <v>768</v>
      </c>
      <c r="M32" s="169"/>
      <c r="N32" s="169"/>
      <c r="O32" s="169"/>
      <c r="P32" s="169"/>
      <c r="Q32" s="169"/>
      <c r="R32" s="169"/>
      <c r="S32" s="169"/>
      <c r="T32" s="169"/>
      <c r="U32" s="169"/>
      <c r="V32" s="171"/>
    </row>
    <row r="33" spans="2:22" ht="15.6" customHeight="1" x14ac:dyDescent="0.3">
      <c r="B33" s="329" t="s">
        <v>51</v>
      </c>
      <c r="C33" s="340"/>
      <c r="E33" s="5" t="s">
        <v>51</v>
      </c>
      <c r="F33" s="191"/>
      <c r="G33" s="235">
        <v>384</v>
      </c>
      <c r="H33" s="235"/>
      <c r="I33" s="237"/>
      <c r="J33" s="259"/>
      <c r="K33" s="236"/>
      <c r="L33" s="233">
        <v>672</v>
      </c>
      <c r="M33" s="169"/>
      <c r="N33" s="169"/>
      <c r="O33" s="169"/>
      <c r="P33" s="169"/>
      <c r="Q33" s="169"/>
      <c r="R33" s="169"/>
      <c r="S33" s="169"/>
      <c r="T33" s="169"/>
      <c r="U33" s="169"/>
      <c r="V33" s="171"/>
    </row>
    <row r="34" spans="2:22" ht="15.6" customHeight="1" x14ac:dyDescent="0.3">
      <c r="B34" s="330" t="s">
        <v>52</v>
      </c>
      <c r="C34" s="341"/>
      <c r="E34" s="5" t="s">
        <v>52</v>
      </c>
      <c r="F34" s="191"/>
      <c r="G34" s="235">
        <v>84</v>
      </c>
      <c r="H34" s="237"/>
      <c r="I34" s="237"/>
      <c r="J34" s="259"/>
      <c r="K34" s="236"/>
      <c r="L34" s="233">
        <v>84</v>
      </c>
      <c r="M34" s="169"/>
      <c r="N34" s="169"/>
      <c r="O34" s="169"/>
      <c r="P34" s="169"/>
      <c r="Q34" s="169"/>
      <c r="R34" s="169"/>
      <c r="S34" s="169"/>
      <c r="T34" s="169"/>
      <c r="U34" s="169"/>
      <c r="V34" s="171"/>
    </row>
    <row r="35" spans="2:22" x14ac:dyDescent="0.3">
      <c r="B35" s="330" t="s">
        <v>53</v>
      </c>
      <c r="C35" s="341"/>
      <c r="E35" s="5" t="s">
        <v>53</v>
      </c>
      <c r="G35" s="237"/>
      <c r="H35" s="234"/>
      <c r="I35" s="234"/>
      <c r="J35" s="257">
        <v>42</v>
      </c>
      <c r="K35" s="233"/>
      <c r="V35" s="155"/>
    </row>
    <row r="36" spans="2:22" x14ac:dyDescent="0.3">
      <c r="B36" s="330" t="s">
        <v>59</v>
      </c>
      <c r="C36" s="341"/>
      <c r="D36" s="155"/>
      <c r="E36" s="188" t="s">
        <v>59</v>
      </c>
      <c r="F36" s="192"/>
      <c r="G36" s="237"/>
      <c r="H36" s="234"/>
      <c r="I36" s="234">
        <v>1200</v>
      </c>
      <c r="J36" s="257"/>
      <c r="K36" s="233"/>
      <c r="L36" s="233">
        <v>1800</v>
      </c>
      <c r="V36" s="155"/>
    </row>
    <row r="37" spans="2:22" x14ac:dyDescent="0.3">
      <c r="B37" s="330" t="s">
        <v>60</v>
      </c>
      <c r="C37" s="341"/>
      <c r="E37" s="184" t="s">
        <v>60</v>
      </c>
      <c r="F37" s="192"/>
      <c r="G37" s="237"/>
      <c r="H37" s="234"/>
      <c r="I37" s="234">
        <v>600</v>
      </c>
      <c r="J37" s="257"/>
      <c r="K37" s="266"/>
      <c r="L37" s="233">
        <v>1980</v>
      </c>
      <c r="V37" s="155"/>
    </row>
    <row r="38" spans="2:22" x14ac:dyDescent="0.3">
      <c r="B38" s="330" t="s">
        <v>62</v>
      </c>
      <c r="C38" s="341">
        <v>1422</v>
      </c>
      <c r="E38" s="262" t="s">
        <v>62</v>
      </c>
      <c r="H38" s="346">
        <v>1664</v>
      </c>
      <c r="I38" s="154"/>
      <c r="J38" s="154"/>
      <c r="K38" s="263">
        <v>2048</v>
      </c>
      <c r="V38" s="155"/>
    </row>
    <row r="39" spans="2:22" ht="17.25" thickBot="1" x14ac:dyDescent="0.35">
      <c r="B39" s="331" t="s">
        <v>63</v>
      </c>
      <c r="C39" s="342">
        <v>1470</v>
      </c>
      <c r="E39" s="261" t="s">
        <v>63</v>
      </c>
      <c r="F39" s="2"/>
      <c r="G39" s="2"/>
      <c r="H39" s="347">
        <v>1664</v>
      </c>
      <c r="I39" s="172"/>
      <c r="J39" s="260"/>
      <c r="K39" s="2">
        <v>2432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173"/>
    </row>
    <row r="40" spans="2:22" x14ac:dyDescent="0.3">
      <c r="B40" s="332"/>
      <c r="C40" s="264"/>
      <c r="D40" s="264"/>
      <c r="E40" s="254"/>
      <c r="G40" s="154">
        <f>SUM(G25:G39)</f>
        <v>9505</v>
      </c>
      <c r="H40" s="154">
        <f>SUM(H25:H39)</f>
        <v>16990</v>
      </c>
      <c r="I40" s="154">
        <f>SUM(I25:I39)</f>
        <v>13350</v>
      </c>
      <c r="J40" s="154">
        <f>SUM(J25:J39)</f>
        <v>16938</v>
      </c>
      <c r="K40" s="154">
        <f>SUM(K25:K39)</f>
        <v>9280</v>
      </c>
      <c r="L40" s="154">
        <f>SUM(L25:L39)</f>
        <v>6354</v>
      </c>
    </row>
    <row r="41" spans="2:22" ht="18" thickBot="1" x14ac:dyDescent="0.35">
      <c r="B41" s="12"/>
      <c r="E41" s="2"/>
      <c r="G41" s="1"/>
      <c r="H41" s="1"/>
    </row>
    <row r="42" spans="2:22" ht="33.75" thickBot="1" x14ac:dyDescent="0.35">
      <c r="B42" s="151" t="s">
        <v>67</v>
      </c>
      <c r="C42" s="276">
        <v>45528</v>
      </c>
      <c r="D42" s="277"/>
      <c r="E42" s="190">
        <v>45559</v>
      </c>
      <c r="F42" s="153">
        <v>45589</v>
      </c>
      <c r="G42" s="152">
        <v>45620</v>
      </c>
      <c r="H42" s="178">
        <v>45650</v>
      </c>
      <c r="I42" s="161">
        <v>45316</v>
      </c>
      <c r="J42" s="153">
        <v>45347</v>
      </c>
      <c r="K42" s="152">
        <v>45376</v>
      </c>
      <c r="L42" s="153">
        <v>45407</v>
      </c>
      <c r="M42" s="163">
        <v>45437</v>
      </c>
      <c r="N42" s="164">
        <v>45468</v>
      </c>
      <c r="O42" s="165">
        <v>45498</v>
      </c>
      <c r="P42" s="152">
        <v>45529</v>
      </c>
      <c r="Q42" s="153">
        <v>45560</v>
      </c>
      <c r="R42" s="162">
        <v>45590</v>
      </c>
      <c r="S42" s="161">
        <v>45621</v>
      </c>
      <c r="T42" s="160">
        <v>45651</v>
      </c>
      <c r="U42" s="183" t="s">
        <v>8</v>
      </c>
      <c r="V42" s="177" t="s">
        <v>49</v>
      </c>
    </row>
    <row r="43" spans="2:22" ht="15.6" customHeight="1" x14ac:dyDescent="0.3">
      <c r="B43" s="274" t="s">
        <v>32</v>
      </c>
      <c r="C43" s="158" t="s">
        <v>48</v>
      </c>
      <c r="D43" s="193">
        <v>146</v>
      </c>
      <c r="E43" s="194">
        <v>86</v>
      </c>
      <c r="F43" s="195">
        <v>59</v>
      </c>
      <c r="G43" s="194">
        <v>54</v>
      </c>
      <c r="H43" s="196">
        <v>47</v>
      </c>
      <c r="I43" s="197">
        <v>54</v>
      </c>
      <c r="J43" s="198">
        <v>55</v>
      </c>
      <c r="K43" s="198">
        <v>55</v>
      </c>
      <c r="L43" s="198">
        <v>55</v>
      </c>
      <c r="M43" s="198">
        <v>55</v>
      </c>
      <c r="N43" s="198">
        <v>54</v>
      </c>
      <c r="O43" s="198">
        <v>53</v>
      </c>
      <c r="P43" s="198">
        <v>52</v>
      </c>
      <c r="Q43" s="198">
        <v>50</v>
      </c>
      <c r="R43" s="198">
        <v>50</v>
      </c>
      <c r="S43" s="198">
        <v>52</v>
      </c>
      <c r="T43" s="199">
        <v>52</v>
      </c>
      <c r="U43" s="174">
        <f>SUM(D43:T43)</f>
        <v>1029</v>
      </c>
      <c r="V43" s="272">
        <f>(U44-U43)/U43</f>
        <v>0.22690868023866212</v>
      </c>
    </row>
    <row r="44" spans="2:22" ht="17.25" thickBot="1" x14ac:dyDescent="0.35">
      <c r="B44" s="275"/>
      <c r="C44" s="156" t="s">
        <v>9</v>
      </c>
      <c r="D44" s="200">
        <v>212.01307833333331</v>
      </c>
      <c r="E44" s="201">
        <v>216.47595363225</v>
      </c>
      <c r="F44" s="202">
        <v>87</v>
      </c>
      <c r="G44" s="201">
        <v>57</v>
      </c>
      <c r="H44" s="203">
        <v>53</v>
      </c>
      <c r="I44" s="204">
        <v>54</v>
      </c>
      <c r="J44" s="205">
        <v>55</v>
      </c>
      <c r="K44" s="205">
        <v>55</v>
      </c>
      <c r="L44" s="205">
        <v>55</v>
      </c>
      <c r="M44" s="205">
        <v>55</v>
      </c>
      <c r="N44" s="205">
        <v>54</v>
      </c>
      <c r="O44" s="205">
        <v>53</v>
      </c>
      <c r="P44" s="205">
        <v>52</v>
      </c>
      <c r="Q44" s="205">
        <v>50</v>
      </c>
      <c r="R44" s="205">
        <v>50</v>
      </c>
      <c r="S44" s="205">
        <v>52</v>
      </c>
      <c r="T44" s="206">
        <v>52</v>
      </c>
      <c r="U44" s="175">
        <f t="shared" ref="U44:U63" si="0">SUM(D44:T44)</f>
        <v>1262.4890319655833</v>
      </c>
      <c r="V44" s="273"/>
    </row>
    <row r="45" spans="2:22" ht="14.45" customHeight="1" x14ac:dyDescent="0.3">
      <c r="B45" s="274" t="s">
        <v>33</v>
      </c>
      <c r="C45" s="158" t="s">
        <v>48</v>
      </c>
      <c r="D45" s="193">
        <v>139</v>
      </c>
      <c r="E45" s="194">
        <v>131</v>
      </c>
      <c r="F45" s="195">
        <v>186</v>
      </c>
      <c r="G45" s="194">
        <v>172</v>
      </c>
      <c r="H45" s="196">
        <v>153</v>
      </c>
      <c r="I45" s="197">
        <v>171</v>
      </c>
      <c r="J45" s="198">
        <v>172</v>
      </c>
      <c r="K45" s="198">
        <v>176</v>
      </c>
      <c r="L45" s="198">
        <v>179</v>
      </c>
      <c r="M45" s="198">
        <v>176</v>
      </c>
      <c r="N45" s="198">
        <v>174</v>
      </c>
      <c r="O45" s="198">
        <v>170</v>
      </c>
      <c r="P45" s="198">
        <v>165</v>
      </c>
      <c r="Q45" s="198">
        <v>159</v>
      </c>
      <c r="R45" s="198">
        <v>159</v>
      </c>
      <c r="S45" s="198">
        <v>160</v>
      </c>
      <c r="T45" s="199">
        <v>163</v>
      </c>
      <c r="U45" s="174">
        <f t="shared" si="0"/>
        <v>2805</v>
      </c>
      <c r="V45" s="272">
        <f>(U46-U45)/U45</f>
        <v>2.9031643676470643E-2</v>
      </c>
    </row>
    <row r="46" spans="2:22" ht="15" customHeight="1" thickBot="1" x14ac:dyDescent="0.35">
      <c r="B46" s="275"/>
      <c r="C46" s="156" t="s">
        <v>9</v>
      </c>
      <c r="D46" s="200">
        <v>187.12575000000001</v>
      </c>
      <c r="E46" s="201">
        <v>191.3080105125</v>
      </c>
      <c r="F46" s="202">
        <v>132</v>
      </c>
      <c r="G46" s="201">
        <v>183</v>
      </c>
      <c r="H46" s="203">
        <v>169</v>
      </c>
      <c r="I46" s="204">
        <v>171</v>
      </c>
      <c r="J46" s="205">
        <v>172</v>
      </c>
      <c r="K46" s="205">
        <v>176</v>
      </c>
      <c r="L46" s="205">
        <v>179</v>
      </c>
      <c r="M46" s="205">
        <v>176</v>
      </c>
      <c r="N46" s="205">
        <v>174</v>
      </c>
      <c r="O46" s="205">
        <v>170</v>
      </c>
      <c r="P46" s="205">
        <v>165</v>
      </c>
      <c r="Q46" s="205">
        <v>159</v>
      </c>
      <c r="R46" s="205">
        <v>159</v>
      </c>
      <c r="S46" s="205">
        <v>160</v>
      </c>
      <c r="T46" s="206">
        <v>163</v>
      </c>
      <c r="U46" s="175">
        <f t="shared" si="0"/>
        <v>2886.4337605125002</v>
      </c>
      <c r="V46" s="273"/>
    </row>
    <row r="47" spans="2:22" ht="14.45" customHeight="1" x14ac:dyDescent="0.3">
      <c r="B47" s="274" t="s">
        <v>34</v>
      </c>
      <c r="C47" s="158" t="s">
        <v>48</v>
      </c>
      <c r="D47" s="193">
        <v>205</v>
      </c>
      <c r="E47" s="194">
        <v>144</v>
      </c>
      <c r="F47" s="195">
        <v>114</v>
      </c>
      <c r="G47" s="194">
        <v>130</v>
      </c>
      <c r="H47" s="196">
        <v>96</v>
      </c>
      <c r="I47" s="197">
        <v>132</v>
      </c>
      <c r="J47" s="198">
        <v>133</v>
      </c>
      <c r="K47" s="198">
        <v>136</v>
      </c>
      <c r="L47" s="198">
        <v>137</v>
      </c>
      <c r="M47" s="198">
        <v>137</v>
      </c>
      <c r="N47" s="198">
        <v>134</v>
      </c>
      <c r="O47" s="198">
        <v>131</v>
      </c>
      <c r="P47" s="198">
        <v>128</v>
      </c>
      <c r="Q47" s="198">
        <v>124</v>
      </c>
      <c r="R47" s="198">
        <v>124</v>
      </c>
      <c r="S47" s="198">
        <v>125</v>
      </c>
      <c r="T47" s="199">
        <v>128</v>
      </c>
      <c r="U47" s="174">
        <f t="shared" si="0"/>
        <v>2258</v>
      </c>
      <c r="V47" s="272">
        <f>(U48-U47)/U47</f>
        <v>0.10002114697556841</v>
      </c>
    </row>
    <row r="48" spans="2:22" ht="15" customHeight="1" thickBot="1" x14ac:dyDescent="0.35">
      <c r="B48" s="275"/>
      <c r="C48" s="156" t="s">
        <v>9</v>
      </c>
      <c r="D48" s="200">
        <v>261.68551666666667</v>
      </c>
      <c r="E48" s="201">
        <v>268.16223320416668</v>
      </c>
      <c r="F48" s="202">
        <v>146</v>
      </c>
      <c r="G48" s="201">
        <v>110</v>
      </c>
      <c r="H48" s="203">
        <v>129</v>
      </c>
      <c r="I48" s="204">
        <v>132</v>
      </c>
      <c r="J48" s="205">
        <v>133</v>
      </c>
      <c r="K48" s="205">
        <v>136</v>
      </c>
      <c r="L48" s="205">
        <v>137</v>
      </c>
      <c r="M48" s="205">
        <v>137</v>
      </c>
      <c r="N48" s="205">
        <v>134</v>
      </c>
      <c r="O48" s="205">
        <v>131</v>
      </c>
      <c r="P48" s="205">
        <v>128</v>
      </c>
      <c r="Q48" s="205">
        <v>124</v>
      </c>
      <c r="R48" s="205">
        <v>124</v>
      </c>
      <c r="S48" s="205">
        <v>125</v>
      </c>
      <c r="T48" s="206">
        <v>128</v>
      </c>
      <c r="U48" s="175">
        <f t="shared" si="0"/>
        <v>2483.8477498708335</v>
      </c>
      <c r="V48" s="273"/>
    </row>
    <row r="49" spans="2:22" ht="15" customHeight="1" x14ac:dyDescent="0.3">
      <c r="B49" s="274" t="s">
        <v>35</v>
      </c>
      <c r="C49" s="158" t="s">
        <v>48</v>
      </c>
      <c r="D49" s="193">
        <v>25</v>
      </c>
      <c r="E49" s="194">
        <v>21</v>
      </c>
      <c r="F49" s="195">
        <v>32</v>
      </c>
      <c r="G49" s="194">
        <v>31</v>
      </c>
      <c r="H49" s="196">
        <v>41</v>
      </c>
      <c r="I49" s="197">
        <v>33</v>
      </c>
      <c r="J49" s="198">
        <v>34</v>
      </c>
      <c r="K49" s="198">
        <v>35</v>
      </c>
      <c r="L49" s="198">
        <v>35</v>
      </c>
      <c r="M49" s="198">
        <v>35</v>
      </c>
      <c r="N49" s="198">
        <v>34</v>
      </c>
      <c r="O49" s="198">
        <v>34</v>
      </c>
      <c r="P49" s="198">
        <v>33</v>
      </c>
      <c r="Q49" s="198">
        <v>33</v>
      </c>
      <c r="R49" s="198">
        <v>33</v>
      </c>
      <c r="S49" s="198">
        <v>33</v>
      </c>
      <c r="T49" s="199">
        <v>33</v>
      </c>
      <c r="U49" s="174">
        <f t="shared" si="0"/>
        <v>555</v>
      </c>
      <c r="V49" s="272">
        <f>(U50-U49)/U49</f>
        <v>-7.6375615427927233E-3</v>
      </c>
    </row>
    <row r="50" spans="2:22" ht="15" customHeight="1" thickBot="1" x14ac:dyDescent="0.35">
      <c r="B50" s="275"/>
      <c r="C50" s="156" t="s">
        <v>9</v>
      </c>
      <c r="D50" s="200">
        <v>30.433958333333333</v>
      </c>
      <c r="E50" s="201">
        <v>31.327195010416663</v>
      </c>
      <c r="F50" s="202">
        <v>21</v>
      </c>
      <c r="G50" s="201">
        <v>30</v>
      </c>
      <c r="H50" s="203">
        <v>33</v>
      </c>
      <c r="I50" s="204">
        <v>33</v>
      </c>
      <c r="J50" s="205">
        <v>34</v>
      </c>
      <c r="K50" s="205">
        <v>35</v>
      </c>
      <c r="L50" s="205">
        <v>35</v>
      </c>
      <c r="M50" s="205">
        <v>35</v>
      </c>
      <c r="N50" s="205">
        <v>34</v>
      </c>
      <c r="O50" s="205">
        <v>34</v>
      </c>
      <c r="P50" s="205">
        <v>33</v>
      </c>
      <c r="Q50" s="205">
        <v>33</v>
      </c>
      <c r="R50" s="205">
        <v>33</v>
      </c>
      <c r="S50" s="205">
        <v>33</v>
      </c>
      <c r="T50" s="206">
        <v>33</v>
      </c>
      <c r="U50" s="175">
        <f t="shared" si="0"/>
        <v>550.76115334375004</v>
      </c>
      <c r="V50" s="273"/>
    </row>
    <row r="51" spans="2:22" ht="18" customHeight="1" x14ac:dyDescent="0.3">
      <c r="B51" s="274" t="s">
        <v>1</v>
      </c>
      <c r="C51" s="158" t="s">
        <v>48</v>
      </c>
      <c r="D51" s="207">
        <v>1677</v>
      </c>
      <c r="E51" s="208">
        <v>1469</v>
      </c>
      <c r="F51" s="209">
        <v>1366</v>
      </c>
      <c r="G51" s="210">
        <v>1299</v>
      </c>
      <c r="H51" s="211">
        <v>1461</v>
      </c>
      <c r="I51" s="212">
        <v>1345</v>
      </c>
      <c r="J51" s="213">
        <v>1372</v>
      </c>
      <c r="K51" s="213">
        <v>1399</v>
      </c>
      <c r="L51" s="213">
        <v>1403</v>
      </c>
      <c r="M51" s="213">
        <v>1399</v>
      </c>
      <c r="N51" s="213">
        <v>1380</v>
      </c>
      <c r="O51" s="213">
        <v>1343</v>
      </c>
      <c r="P51" s="213">
        <v>1292</v>
      </c>
      <c r="Q51" s="213">
        <v>1241</v>
      </c>
      <c r="R51" s="213">
        <v>1246</v>
      </c>
      <c r="S51" s="213">
        <v>1253</v>
      </c>
      <c r="T51" s="214">
        <v>1277</v>
      </c>
      <c r="U51" s="174">
        <f t="shared" si="0"/>
        <v>23222</v>
      </c>
      <c r="V51" s="272">
        <f t="shared" ref="V51" si="1">(U52-U51)/U51</f>
        <v>1.7202885191307728E-2</v>
      </c>
    </row>
    <row r="52" spans="2:22" ht="15" customHeight="1" thickBot="1" x14ac:dyDescent="0.35">
      <c r="B52" s="275"/>
      <c r="C52" s="156" t="s">
        <v>9</v>
      </c>
      <c r="D52" s="215">
        <v>1728.1626175000001</v>
      </c>
      <c r="E52" s="216">
        <v>1767.3227824125502</v>
      </c>
      <c r="F52" s="217">
        <v>1491</v>
      </c>
      <c r="G52" s="218">
        <v>1380</v>
      </c>
      <c r="H52" s="219">
        <v>1305</v>
      </c>
      <c r="I52" s="220">
        <v>1345</v>
      </c>
      <c r="J52" s="221">
        <v>1372</v>
      </c>
      <c r="K52" s="221">
        <v>1399</v>
      </c>
      <c r="L52" s="221">
        <v>1403</v>
      </c>
      <c r="M52" s="221">
        <v>1399</v>
      </c>
      <c r="N52" s="221">
        <v>1380</v>
      </c>
      <c r="O52" s="221">
        <v>1343</v>
      </c>
      <c r="P52" s="221">
        <v>1292</v>
      </c>
      <c r="Q52" s="221">
        <v>1241</v>
      </c>
      <c r="R52" s="221">
        <v>1246</v>
      </c>
      <c r="S52" s="221">
        <v>1253</v>
      </c>
      <c r="T52" s="222">
        <v>1277</v>
      </c>
      <c r="U52" s="175">
        <f t="shared" si="0"/>
        <v>23621.485399912548</v>
      </c>
      <c r="V52" s="273"/>
    </row>
    <row r="53" spans="2:22" ht="18" customHeight="1" x14ac:dyDescent="0.3">
      <c r="B53" s="274" t="s">
        <v>2</v>
      </c>
      <c r="C53" s="158" t="s">
        <v>48</v>
      </c>
      <c r="D53" s="207">
        <v>2461</v>
      </c>
      <c r="E53" s="208">
        <v>2162</v>
      </c>
      <c r="F53" s="209">
        <v>2249</v>
      </c>
      <c r="G53" s="210">
        <v>2191</v>
      </c>
      <c r="H53" s="211">
        <v>2297</v>
      </c>
      <c r="I53" s="212">
        <v>2301</v>
      </c>
      <c r="J53" s="213">
        <v>2370</v>
      </c>
      <c r="K53" s="213">
        <v>2422</v>
      </c>
      <c r="L53" s="213">
        <v>2461</v>
      </c>
      <c r="M53" s="213">
        <v>2449</v>
      </c>
      <c r="N53" s="213">
        <v>2418</v>
      </c>
      <c r="O53" s="213">
        <v>2352</v>
      </c>
      <c r="P53" s="213">
        <v>2260</v>
      </c>
      <c r="Q53" s="213">
        <v>2186</v>
      </c>
      <c r="R53" s="213">
        <v>2208</v>
      </c>
      <c r="S53" s="213">
        <v>2209</v>
      </c>
      <c r="T53" s="214">
        <v>2249</v>
      </c>
      <c r="U53" s="174">
        <f t="shared" si="0"/>
        <v>39245</v>
      </c>
      <c r="V53" s="272">
        <f t="shared" ref="V53" si="2">(U54-U53)/U53</f>
        <v>2.4393364761294483E-2</v>
      </c>
    </row>
    <row r="54" spans="2:22" ht="15" customHeight="1" thickBot="1" x14ac:dyDescent="0.35">
      <c r="B54" s="275"/>
      <c r="C54" s="156" t="s">
        <v>9</v>
      </c>
      <c r="D54" s="215">
        <v>2787.38967</v>
      </c>
      <c r="E54" s="216">
        <v>2862.9279300570001</v>
      </c>
      <c r="F54" s="217">
        <v>2194</v>
      </c>
      <c r="G54" s="218">
        <v>2260</v>
      </c>
      <c r="H54" s="219">
        <v>2213</v>
      </c>
      <c r="I54" s="220">
        <v>2301</v>
      </c>
      <c r="J54" s="221">
        <v>2370</v>
      </c>
      <c r="K54" s="221">
        <v>2422</v>
      </c>
      <c r="L54" s="221">
        <v>2461</v>
      </c>
      <c r="M54" s="221">
        <v>2449</v>
      </c>
      <c r="N54" s="221">
        <v>2418</v>
      </c>
      <c r="O54" s="221">
        <v>2352</v>
      </c>
      <c r="P54" s="221">
        <v>2260</v>
      </c>
      <c r="Q54" s="221">
        <v>2186</v>
      </c>
      <c r="R54" s="221">
        <v>2208</v>
      </c>
      <c r="S54" s="221">
        <v>2209</v>
      </c>
      <c r="T54" s="222">
        <v>2249</v>
      </c>
      <c r="U54" s="175">
        <f t="shared" si="0"/>
        <v>40202.317600057002</v>
      </c>
      <c r="V54" s="273"/>
    </row>
    <row r="55" spans="2:22" ht="14.45" customHeight="1" x14ac:dyDescent="0.3">
      <c r="B55" s="274" t="s">
        <v>3</v>
      </c>
      <c r="C55" s="158" t="s">
        <v>48</v>
      </c>
      <c r="D55" s="207">
        <v>2952</v>
      </c>
      <c r="E55" s="208">
        <v>2332</v>
      </c>
      <c r="F55" s="209">
        <v>2202</v>
      </c>
      <c r="G55" s="210">
        <v>2215</v>
      </c>
      <c r="H55" s="211">
        <v>2302</v>
      </c>
      <c r="I55" s="212">
        <v>2327</v>
      </c>
      <c r="J55" s="213">
        <v>2420</v>
      </c>
      <c r="K55" s="213">
        <v>2484</v>
      </c>
      <c r="L55" s="213">
        <v>2489</v>
      </c>
      <c r="M55" s="213">
        <v>2469</v>
      </c>
      <c r="N55" s="213">
        <v>2433</v>
      </c>
      <c r="O55" s="213">
        <v>2362</v>
      </c>
      <c r="P55" s="213">
        <v>2285</v>
      </c>
      <c r="Q55" s="213">
        <v>2207</v>
      </c>
      <c r="R55" s="213">
        <v>2218</v>
      </c>
      <c r="S55" s="213">
        <v>2232</v>
      </c>
      <c r="T55" s="214">
        <v>2297</v>
      </c>
      <c r="U55" s="174">
        <f t="shared" si="0"/>
        <v>40226</v>
      </c>
      <c r="V55" s="272">
        <f t="shared" ref="V55" si="3">(U56-U55)/U55</f>
        <v>1.5520675952742062E-2</v>
      </c>
    </row>
    <row r="56" spans="2:22" ht="15" customHeight="1" thickBot="1" x14ac:dyDescent="0.35">
      <c r="B56" s="275"/>
      <c r="C56" s="156" t="s">
        <v>9</v>
      </c>
      <c r="D56" s="215">
        <v>2842.1156249999999</v>
      </c>
      <c r="E56" s="216">
        <v>2925.219085875</v>
      </c>
      <c r="F56" s="217">
        <v>2379</v>
      </c>
      <c r="G56" s="218">
        <v>2222</v>
      </c>
      <c r="H56" s="219">
        <v>2259</v>
      </c>
      <c r="I56" s="220">
        <v>2327</v>
      </c>
      <c r="J56" s="221">
        <v>2420</v>
      </c>
      <c r="K56" s="221">
        <v>2484</v>
      </c>
      <c r="L56" s="221">
        <v>2489</v>
      </c>
      <c r="M56" s="221">
        <v>2469</v>
      </c>
      <c r="N56" s="221">
        <v>2433</v>
      </c>
      <c r="O56" s="221">
        <v>2362</v>
      </c>
      <c r="P56" s="221">
        <v>2285</v>
      </c>
      <c r="Q56" s="221">
        <v>2207</v>
      </c>
      <c r="R56" s="221">
        <v>2218</v>
      </c>
      <c r="S56" s="221">
        <v>2232</v>
      </c>
      <c r="T56" s="222">
        <v>2297</v>
      </c>
      <c r="U56" s="175">
        <f t="shared" si="0"/>
        <v>40850.334710875002</v>
      </c>
      <c r="V56" s="273"/>
    </row>
    <row r="57" spans="2:22" ht="14.45" customHeight="1" x14ac:dyDescent="0.3">
      <c r="B57" s="274" t="s">
        <v>50</v>
      </c>
      <c r="C57" s="158" t="s">
        <v>48</v>
      </c>
      <c r="D57" s="207">
        <v>299</v>
      </c>
      <c r="E57" s="208">
        <v>226</v>
      </c>
      <c r="F57" s="209">
        <v>0</v>
      </c>
      <c r="G57" s="210">
        <v>294</v>
      </c>
      <c r="H57" s="211">
        <v>393</v>
      </c>
      <c r="I57" s="212">
        <v>357</v>
      </c>
      <c r="J57" s="213">
        <v>373</v>
      </c>
      <c r="K57" s="213">
        <v>383</v>
      </c>
      <c r="L57" s="213">
        <v>385</v>
      </c>
      <c r="M57" s="213">
        <v>382</v>
      </c>
      <c r="N57" s="213">
        <v>377</v>
      </c>
      <c r="O57" s="213">
        <v>367</v>
      </c>
      <c r="P57" s="213">
        <v>355</v>
      </c>
      <c r="Q57" s="213">
        <v>342</v>
      </c>
      <c r="R57" s="213">
        <v>343</v>
      </c>
      <c r="S57" s="213">
        <v>347</v>
      </c>
      <c r="T57" s="214">
        <v>355</v>
      </c>
      <c r="U57" s="174">
        <f t="shared" si="0"/>
        <v>5578</v>
      </c>
      <c r="V57" s="272">
        <f t="shared" ref="V57" si="4">(U58-U57)/U57</f>
        <v>-1.0063183712374543E-2</v>
      </c>
    </row>
    <row r="58" spans="2:22" ht="15" customHeight="1" thickBot="1" x14ac:dyDescent="0.35">
      <c r="B58" s="275"/>
      <c r="C58" s="156" t="s">
        <v>9</v>
      </c>
      <c r="D58" s="215">
        <v>296.04261250000002</v>
      </c>
      <c r="E58" s="216">
        <v>302.82494875237501</v>
      </c>
      <c r="F58" s="217">
        <v>0</v>
      </c>
      <c r="G58" s="218">
        <v>220</v>
      </c>
      <c r="H58" s="219">
        <v>337</v>
      </c>
      <c r="I58" s="220">
        <v>357</v>
      </c>
      <c r="J58" s="221">
        <v>373</v>
      </c>
      <c r="K58" s="221">
        <v>383</v>
      </c>
      <c r="L58" s="221">
        <v>385</v>
      </c>
      <c r="M58" s="221">
        <v>382</v>
      </c>
      <c r="N58" s="221">
        <v>377</v>
      </c>
      <c r="O58" s="221">
        <v>367</v>
      </c>
      <c r="P58" s="221">
        <v>355</v>
      </c>
      <c r="Q58" s="221">
        <v>342</v>
      </c>
      <c r="R58" s="221">
        <v>343</v>
      </c>
      <c r="S58" s="221">
        <v>347</v>
      </c>
      <c r="T58" s="222">
        <v>355</v>
      </c>
      <c r="U58" s="175">
        <f t="shared" si="0"/>
        <v>5521.8675612523748</v>
      </c>
      <c r="V58" s="273"/>
    </row>
    <row r="59" spans="2:22" ht="14.45" customHeight="1" x14ac:dyDescent="0.3">
      <c r="B59" s="274" t="s">
        <v>51</v>
      </c>
      <c r="C59" s="158" t="s">
        <v>48</v>
      </c>
      <c r="D59" s="207"/>
      <c r="E59" s="208"/>
      <c r="F59" s="209"/>
      <c r="G59" s="210"/>
      <c r="H59" s="211">
        <v>12</v>
      </c>
      <c r="I59" s="212"/>
      <c r="J59" s="213"/>
      <c r="K59" s="213"/>
      <c r="L59" s="213"/>
      <c r="M59" s="213"/>
      <c r="N59" s="213"/>
      <c r="O59" s="213"/>
      <c r="P59" s="213"/>
      <c r="Q59" s="213"/>
      <c r="R59" s="213"/>
      <c r="S59" s="213"/>
      <c r="T59" s="214"/>
      <c r="U59" s="176">
        <f t="shared" si="0"/>
        <v>12</v>
      </c>
      <c r="V59" s="301">
        <f t="shared" ref="V59" si="5">(U60-U59)/U59</f>
        <v>-1</v>
      </c>
    </row>
    <row r="60" spans="2:22" ht="15" customHeight="1" thickBot="1" x14ac:dyDescent="0.35">
      <c r="B60" s="275"/>
      <c r="C60" s="156" t="s">
        <v>9</v>
      </c>
      <c r="D60" s="215"/>
      <c r="E60" s="216"/>
      <c r="F60" s="217"/>
      <c r="G60" s="218"/>
      <c r="H60" s="219"/>
      <c r="I60" s="220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2"/>
      <c r="U60" s="175">
        <f>SUM(D60:T60)</f>
        <v>0</v>
      </c>
      <c r="V60" s="273"/>
    </row>
    <row r="61" spans="2:22" ht="14.45" customHeight="1" x14ac:dyDescent="0.3">
      <c r="B61" s="274" t="s">
        <v>52</v>
      </c>
      <c r="C61" s="158" t="s">
        <v>48</v>
      </c>
      <c r="D61" s="207">
        <v>13</v>
      </c>
      <c r="E61" s="208">
        <v>16</v>
      </c>
      <c r="F61" s="209">
        <v>15</v>
      </c>
      <c r="G61" s="210">
        <v>20</v>
      </c>
      <c r="H61" s="211">
        <v>27</v>
      </c>
      <c r="I61" s="212">
        <v>19</v>
      </c>
      <c r="J61" s="213">
        <v>20</v>
      </c>
      <c r="K61" s="213">
        <v>22</v>
      </c>
      <c r="L61" s="213">
        <v>22</v>
      </c>
      <c r="M61" s="213">
        <v>22</v>
      </c>
      <c r="N61" s="213">
        <v>20</v>
      </c>
      <c r="O61" s="213">
        <v>20</v>
      </c>
      <c r="P61" s="213">
        <v>19</v>
      </c>
      <c r="Q61" s="213">
        <v>19</v>
      </c>
      <c r="R61" s="213">
        <v>19</v>
      </c>
      <c r="S61" s="213">
        <v>19</v>
      </c>
      <c r="T61" s="214">
        <v>20</v>
      </c>
      <c r="U61" s="174">
        <f t="shared" si="0"/>
        <v>332</v>
      </c>
      <c r="V61" s="272">
        <f t="shared" ref="V61" si="6">(U62-U61)/U61</f>
        <v>-3.0120481927710843E-2</v>
      </c>
    </row>
    <row r="62" spans="2:22" ht="15" customHeight="1" thickBot="1" x14ac:dyDescent="0.35">
      <c r="B62" s="275"/>
      <c r="C62" s="156" t="s">
        <v>9</v>
      </c>
      <c r="D62" s="215">
        <v>14</v>
      </c>
      <c r="E62" s="216">
        <v>15</v>
      </c>
      <c r="F62" s="217">
        <v>15</v>
      </c>
      <c r="G62" s="218">
        <v>18</v>
      </c>
      <c r="H62" s="219">
        <v>19</v>
      </c>
      <c r="I62" s="220">
        <v>19</v>
      </c>
      <c r="J62" s="221">
        <v>20</v>
      </c>
      <c r="K62" s="221">
        <v>22</v>
      </c>
      <c r="L62" s="221">
        <v>22</v>
      </c>
      <c r="M62" s="221">
        <v>22</v>
      </c>
      <c r="N62" s="221">
        <v>20</v>
      </c>
      <c r="O62" s="221">
        <v>20</v>
      </c>
      <c r="P62" s="221">
        <v>19</v>
      </c>
      <c r="Q62" s="221">
        <v>19</v>
      </c>
      <c r="R62" s="221">
        <v>19</v>
      </c>
      <c r="S62" s="221">
        <v>19</v>
      </c>
      <c r="T62" s="222">
        <v>20</v>
      </c>
      <c r="U62" s="175">
        <f t="shared" si="0"/>
        <v>322</v>
      </c>
      <c r="V62" s="273"/>
    </row>
    <row r="63" spans="2:22" ht="14.45" customHeight="1" x14ac:dyDescent="0.3">
      <c r="B63" s="300" t="s">
        <v>53</v>
      </c>
      <c r="C63" s="159" t="s">
        <v>48</v>
      </c>
      <c r="D63" s="223">
        <v>5</v>
      </c>
      <c r="E63" s="224">
        <v>5</v>
      </c>
      <c r="F63" s="225">
        <v>7</v>
      </c>
      <c r="G63" s="226">
        <v>6</v>
      </c>
      <c r="H63" s="227">
        <v>4</v>
      </c>
      <c r="I63" s="228">
        <v>9</v>
      </c>
      <c r="J63" s="229">
        <v>9</v>
      </c>
      <c r="K63" s="229">
        <v>9</v>
      </c>
      <c r="L63" s="229">
        <v>9</v>
      </c>
      <c r="M63" s="229">
        <v>9</v>
      </c>
      <c r="N63" s="229">
        <v>9</v>
      </c>
      <c r="O63" s="229">
        <v>9</v>
      </c>
      <c r="P63" s="229">
        <v>9</v>
      </c>
      <c r="Q63" s="229">
        <v>9</v>
      </c>
      <c r="R63" s="229">
        <v>9</v>
      </c>
      <c r="S63" s="229">
        <v>9</v>
      </c>
      <c r="T63" s="230">
        <v>9</v>
      </c>
      <c r="U63" s="176">
        <f t="shared" si="0"/>
        <v>135</v>
      </c>
      <c r="V63" s="301">
        <f t="shared" ref="V63" si="7">(U64-U63)/U63</f>
        <v>5.8356945733333353E-2</v>
      </c>
    </row>
    <row r="64" spans="2:22" ht="15" customHeight="1" thickBot="1" x14ac:dyDescent="0.35">
      <c r="B64" s="275"/>
      <c r="C64" s="156" t="s">
        <v>9</v>
      </c>
      <c r="D64" s="215">
        <v>5.8641499999999995</v>
      </c>
      <c r="E64" s="216">
        <v>6.0140376739999999</v>
      </c>
      <c r="F64" s="217">
        <v>6</v>
      </c>
      <c r="G64" s="218">
        <v>8</v>
      </c>
      <c r="H64" s="219">
        <v>9</v>
      </c>
      <c r="I64" s="220">
        <v>9</v>
      </c>
      <c r="J64" s="221">
        <v>9</v>
      </c>
      <c r="K64" s="221">
        <v>9</v>
      </c>
      <c r="L64" s="221">
        <v>9</v>
      </c>
      <c r="M64" s="221">
        <v>9</v>
      </c>
      <c r="N64" s="221">
        <v>9</v>
      </c>
      <c r="O64" s="221">
        <v>9</v>
      </c>
      <c r="P64" s="221">
        <v>9</v>
      </c>
      <c r="Q64" s="221">
        <v>9</v>
      </c>
      <c r="R64" s="221">
        <v>9</v>
      </c>
      <c r="S64" s="221">
        <v>9</v>
      </c>
      <c r="T64" s="222">
        <v>9</v>
      </c>
      <c r="U64" s="175">
        <f>SUM(D64:T64)</f>
        <v>142.878187674</v>
      </c>
      <c r="V64" s="273"/>
    </row>
    <row r="65" spans="2:22" ht="14.45" customHeight="1" x14ac:dyDescent="0.3">
      <c r="B65" s="300" t="s">
        <v>59</v>
      </c>
      <c r="C65" s="159" t="s">
        <v>48</v>
      </c>
      <c r="D65" s="223"/>
      <c r="E65" s="224"/>
      <c r="F65" s="225"/>
      <c r="G65" s="226"/>
      <c r="H65" s="227"/>
      <c r="I65" s="228"/>
      <c r="J65" s="229"/>
      <c r="K65" s="229"/>
      <c r="L65" s="229"/>
      <c r="M65" s="229"/>
      <c r="N65" s="229"/>
      <c r="O65" s="229"/>
      <c r="P65" s="229"/>
      <c r="Q65" s="229"/>
      <c r="R65" s="229"/>
      <c r="S65" s="229"/>
      <c r="T65" s="230"/>
      <c r="U65" s="176">
        <f t="shared" ref="U65" si="8">SUM(D65:T65)</f>
        <v>0</v>
      </c>
      <c r="V65" s="301" t="e">
        <f t="shared" ref="V65" si="9">(U66-U65)/U65</f>
        <v>#DIV/0!</v>
      </c>
    </row>
    <row r="66" spans="2:22" ht="15" customHeight="1" thickBot="1" x14ac:dyDescent="0.35">
      <c r="B66" s="275"/>
      <c r="C66" s="156" t="s">
        <v>9</v>
      </c>
      <c r="D66" s="215"/>
      <c r="E66" s="216"/>
      <c r="F66" s="217"/>
      <c r="G66" s="218"/>
      <c r="H66" s="219"/>
      <c r="I66" s="220"/>
      <c r="J66" s="221"/>
      <c r="K66" s="221"/>
      <c r="L66" s="221"/>
      <c r="M66" s="221"/>
      <c r="N66" s="221"/>
      <c r="O66" s="221"/>
      <c r="P66" s="221"/>
      <c r="Q66" s="221"/>
      <c r="R66" s="221"/>
      <c r="S66" s="221"/>
      <c r="T66" s="222"/>
      <c r="U66" s="175">
        <f>SUM(D66:T66)</f>
        <v>0</v>
      </c>
      <c r="V66" s="273"/>
    </row>
    <row r="67" spans="2:22" ht="14.45" customHeight="1" x14ac:dyDescent="0.3">
      <c r="B67" s="300" t="s">
        <v>60</v>
      </c>
      <c r="C67" s="159" t="s">
        <v>48</v>
      </c>
      <c r="D67" s="223"/>
      <c r="E67" s="224"/>
      <c r="F67" s="225"/>
      <c r="G67" s="226"/>
      <c r="H67" s="227"/>
      <c r="I67" s="228"/>
      <c r="J67" s="229"/>
      <c r="K67" s="229"/>
      <c r="L67" s="229"/>
      <c r="M67" s="229"/>
      <c r="N67" s="229"/>
      <c r="O67" s="229"/>
      <c r="P67" s="229"/>
      <c r="Q67" s="229"/>
      <c r="R67" s="229"/>
      <c r="S67" s="229"/>
      <c r="T67" s="230"/>
      <c r="U67" s="176">
        <f t="shared" ref="U67" si="10">SUM(D67:T67)</f>
        <v>0</v>
      </c>
      <c r="V67" s="301" t="e">
        <f t="shared" ref="V67" si="11">(U68-U67)/U67</f>
        <v>#DIV/0!</v>
      </c>
    </row>
    <row r="68" spans="2:22" ht="15" customHeight="1" thickBot="1" x14ac:dyDescent="0.35">
      <c r="B68" s="275"/>
      <c r="C68" s="156" t="s">
        <v>9</v>
      </c>
      <c r="D68" s="215"/>
      <c r="E68" s="216"/>
      <c r="F68" s="217"/>
      <c r="G68" s="218"/>
      <c r="H68" s="219"/>
      <c r="I68" s="220"/>
      <c r="J68" s="221"/>
      <c r="K68" s="221"/>
      <c r="L68" s="221"/>
      <c r="M68" s="221"/>
      <c r="N68" s="221"/>
      <c r="O68" s="221"/>
      <c r="P68" s="221"/>
      <c r="Q68" s="221"/>
      <c r="R68" s="221"/>
      <c r="S68" s="221"/>
      <c r="T68" s="222"/>
      <c r="U68" s="175">
        <f>SUM(D68:T68)</f>
        <v>0</v>
      </c>
      <c r="V68" s="273"/>
    </row>
    <row r="69" spans="2:22" ht="14.45" customHeight="1" x14ac:dyDescent="0.3">
      <c r="B69" s="300" t="s">
        <v>62</v>
      </c>
      <c r="C69" s="159" t="s">
        <v>48</v>
      </c>
      <c r="D69" s="223"/>
      <c r="E69" s="224"/>
      <c r="F69" s="225"/>
      <c r="G69" s="226"/>
      <c r="H69" s="227">
        <v>60</v>
      </c>
      <c r="I69" s="228"/>
      <c r="J69" s="229"/>
      <c r="K69" s="229"/>
      <c r="L69" s="229"/>
      <c r="M69" s="229"/>
      <c r="N69" s="229"/>
      <c r="O69" s="229"/>
      <c r="P69" s="229"/>
      <c r="Q69" s="229"/>
      <c r="R69" s="229"/>
      <c r="S69" s="229"/>
      <c r="T69" s="230"/>
      <c r="U69" s="176">
        <f t="shared" ref="U69" si="12">SUM(D69:T69)</f>
        <v>60</v>
      </c>
      <c r="V69" s="301">
        <f t="shared" ref="V69" si="13">(U70-U69)/U69</f>
        <v>-1</v>
      </c>
    </row>
    <row r="70" spans="2:22" ht="15" customHeight="1" thickBot="1" x14ac:dyDescent="0.35">
      <c r="B70" s="275"/>
      <c r="C70" s="156" t="s">
        <v>9</v>
      </c>
      <c r="D70" s="215"/>
      <c r="E70" s="216"/>
      <c r="F70" s="217"/>
      <c r="G70" s="218"/>
      <c r="H70" s="219"/>
      <c r="I70" s="220"/>
      <c r="J70" s="221"/>
      <c r="K70" s="221"/>
      <c r="L70" s="221"/>
      <c r="M70" s="221"/>
      <c r="N70" s="221"/>
      <c r="O70" s="221"/>
      <c r="P70" s="221"/>
      <c r="Q70" s="221"/>
      <c r="R70" s="221"/>
      <c r="S70" s="221"/>
      <c r="T70" s="222"/>
      <c r="U70" s="175">
        <f>SUM(D70:T70)</f>
        <v>0</v>
      </c>
      <c r="V70" s="273"/>
    </row>
    <row r="71" spans="2:22" ht="14.45" customHeight="1" x14ac:dyDescent="0.3">
      <c r="B71" s="300" t="s">
        <v>63</v>
      </c>
      <c r="C71" s="159" t="s">
        <v>48</v>
      </c>
      <c r="D71" s="223"/>
      <c r="E71" s="224"/>
      <c r="F71" s="225"/>
      <c r="G71" s="226"/>
      <c r="H71" s="227">
        <v>31</v>
      </c>
      <c r="I71" s="228"/>
      <c r="J71" s="229"/>
      <c r="K71" s="229"/>
      <c r="L71" s="229"/>
      <c r="M71" s="229"/>
      <c r="N71" s="229"/>
      <c r="O71" s="229"/>
      <c r="P71" s="229"/>
      <c r="Q71" s="229"/>
      <c r="R71" s="229"/>
      <c r="S71" s="229"/>
      <c r="T71" s="230"/>
      <c r="U71" s="176">
        <f t="shared" ref="U71" si="14">SUM(D71:T71)</f>
        <v>31</v>
      </c>
      <c r="V71" s="301">
        <f t="shared" ref="V71" si="15">(U72-U71)/U71</f>
        <v>-1</v>
      </c>
    </row>
    <row r="72" spans="2:22" ht="15" customHeight="1" thickBot="1" x14ac:dyDescent="0.35">
      <c r="B72" s="275"/>
      <c r="C72" s="156" t="s">
        <v>9</v>
      </c>
      <c r="D72" s="215"/>
      <c r="E72" s="216"/>
      <c r="F72" s="217"/>
      <c r="G72" s="218"/>
      <c r="H72" s="219"/>
      <c r="I72" s="220"/>
      <c r="J72" s="221"/>
      <c r="K72" s="221"/>
      <c r="L72" s="221"/>
      <c r="M72" s="221"/>
      <c r="N72" s="221"/>
      <c r="O72" s="221"/>
      <c r="P72" s="221"/>
      <c r="Q72" s="221"/>
      <c r="R72" s="221"/>
      <c r="S72" s="221"/>
      <c r="T72" s="222"/>
      <c r="U72" s="175">
        <f>SUM(D72:T72)</f>
        <v>0</v>
      </c>
      <c r="V72" s="273"/>
    </row>
  </sheetData>
  <mergeCells count="53">
    <mergeCell ref="B71:B72"/>
    <mergeCell ref="V71:V72"/>
    <mergeCell ref="B59:B60"/>
    <mergeCell ref="V59:V60"/>
    <mergeCell ref="B61:B62"/>
    <mergeCell ref="V61:V62"/>
    <mergeCell ref="B63:B64"/>
    <mergeCell ref="V63:V64"/>
    <mergeCell ref="B67:B68"/>
    <mergeCell ref="V67:V68"/>
    <mergeCell ref="B69:B70"/>
    <mergeCell ref="V69:V70"/>
    <mergeCell ref="B65:B66"/>
    <mergeCell ref="V65:V66"/>
    <mergeCell ref="B53:B54"/>
    <mergeCell ref="V53:V54"/>
    <mergeCell ref="B55:B56"/>
    <mergeCell ref="V55:V56"/>
    <mergeCell ref="B57:B58"/>
    <mergeCell ref="V57:V58"/>
    <mergeCell ref="AJ4:AK4"/>
    <mergeCell ref="B1:D2"/>
    <mergeCell ref="Z4:AA4"/>
    <mergeCell ref="AB4:AC4"/>
    <mergeCell ref="AD4:AE4"/>
    <mergeCell ref="AF4:AG4"/>
    <mergeCell ref="AH4:AI4"/>
    <mergeCell ref="M4:M19"/>
    <mergeCell ref="B4:B5"/>
    <mergeCell ref="C4:D4"/>
    <mergeCell ref="E4:F4"/>
    <mergeCell ref="G4:H4"/>
    <mergeCell ref="X4:Y4"/>
    <mergeCell ref="C42:D42"/>
    <mergeCell ref="R4:S4"/>
    <mergeCell ref="V4:W4"/>
    <mergeCell ref="T4:U4"/>
    <mergeCell ref="N4:O4"/>
    <mergeCell ref="P4:Q4"/>
    <mergeCell ref="I4:J4"/>
    <mergeCell ref="K4:L4"/>
    <mergeCell ref="B21:J21"/>
    <mergeCell ref="K21:W21"/>
    <mergeCell ref="B51:B52"/>
    <mergeCell ref="B43:B44"/>
    <mergeCell ref="B45:B46"/>
    <mergeCell ref="B47:B48"/>
    <mergeCell ref="B49:B50"/>
    <mergeCell ref="V49:V50"/>
    <mergeCell ref="V51:V52"/>
    <mergeCell ref="V43:V44"/>
    <mergeCell ref="V45:V46"/>
    <mergeCell ref="V47:V48"/>
  </mergeCells>
  <phoneticPr fontId="37" type="noConversion"/>
  <conditionalFormatting sqref="D5:D20 F5:F20 H5:H20 J5:J20 L5:L20 O5:O20 Q5:Q20 S5:S20 U5:U20 W5:W20 Y5:Y20 AA5:AA20 AC5:AC20 AE5:AE20 AG5:AG20 AI5:AI20 AK5:AK20">
    <cfRule type="cellIs" priority="1" stopIfTrue="1" operator="equal">
      <formula>0</formula>
    </cfRule>
    <cfRule type="cellIs" dxfId="1" priority="2" stopIfTrue="1" operator="lessThan">
      <formula>2.5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91C3-6DB6-4B21-9585-B4C0144B4891}">
  <dimension ref="A2:G18"/>
  <sheetViews>
    <sheetView workbookViewId="0">
      <selection activeCell="D4" sqref="D4"/>
    </sheetView>
  </sheetViews>
  <sheetFormatPr defaultRowHeight="16.5" x14ac:dyDescent="0.3"/>
  <cols>
    <col min="1" max="1" width="34.375" bestFit="1" customWidth="1"/>
    <col min="2" max="2" width="14.75" customWidth="1"/>
    <col min="3" max="3" width="13.75" bestFit="1" customWidth="1"/>
    <col min="6" max="6" width="34.375" bestFit="1" customWidth="1"/>
  </cols>
  <sheetData>
    <row r="2" spans="1:7" ht="17.25" thickBot="1" x14ac:dyDescent="0.35"/>
    <row r="3" spans="1:7" ht="17.25" thickBot="1" x14ac:dyDescent="0.35">
      <c r="F3" s="335" t="s">
        <v>73</v>
      </c>
      <c r="G3" s="337">
        <v>810</v>
      </c>
    </row>
    <row r="4" spans="1:7" ht="17.25" thickBot="1" x14ac:dyDescent="0.35">
      <c r="A4" s="335" t="s">
        <v>73</v>
      </c>
      <c r="B4" s="337">
        <v>810</v>
      </c>
      <c r="C4" s="328" t="s">
        <v>32</v>
      </c>
      <c r="D4">
        <f>B4</f>
        <v>810</v>
      </c>
      <c r="F4" s="333" t="s">
        <v>73</v>
      </c>
      <c r="G4" s="343">
        <v>360</v>
      </c>
    </row>
    <row r="5" spans="1:7" ht="17.25" thickBot="1" x14ac:dyDescent="0.35">
      <c r="A5" s="335" t="s">
        <v>72</v>
      </c>
      <c r="B5" s="337">
        <v>180</v>
      </c>
      <c r="C5" s="329" t="s">
        <v>33</v>
      </c>
      <c r="D5">
        <f>B5</f>
        <v>180</v>
      </c>
      <c r="F5" s="335" t="s">
        <v>72</v>
      </c>
      <c r="G5" s="337">
        <v>180</v>
      </c>
    </row>
    <row r="6" spans="1:7" ht="17.25" thickBot="1" x14ac:dyDescent="0.35">
      <c r="C6" s="329" t="s">
        <v>34</v>
      </c>
      <c r="F6" s="335" t="s">
        <v>75</v>
      </c>
      <c r="G6" s="337">
        <v>630</v>
      </c>
    </row>
    <row r="7" spans="1:7" ht="17.25" thickBot="1" x14ac:dyDescent="0.35">
      <c r="C7" s="329" t="s">
        <v>35</v>
      </c>
    </row>
    <row r="8" spans="1:7" ht="17.25" thickBot="1" x14ac:dyDescent="0.35">
      <c r="A8" s="335" t="s">
        <v>74</v>
      </c>
      <c r="B8" s="337">
        <v>288</v>
      </c>
      <c r="C8" s="329" t="s">
        <v>1</v>
      </c>
      <c r="D8">
        <f>B8</f>
        <v>288</v>
      </c>
      <c r="F8" s="335" t="s">
        <v>74</v>
      </c>
      <c r="G8" s="337">
        <v>288</v>
      </c>
    </row>
    <row r="9" spans="1:7" ht="17.25" thickBot="1" x14ac:dyDescent="0.35">
      <c r="A9" s="335" t="s">
        <v>68</v>
      </c>
      <c r="B9" s="336">
        <v>2016</v>
      </c>
      <c r="C9" s="329" t="s">
        <v>2</v>
      </c>
      <c r="D9" s="187">
        <f>B9+B10+B11</f>
        <v>6336</v>
      </c>
      <c r="F9" s="335" t="s">
        <v>68</v>
      </c>
      <c r="G9" s="336">
        <v>2112</v>
      </c>
    </row>
    <row r="10" spans="1:7" ht="17.25" thickBot="1" x14ac:dyDescent="0.35">
      <c r="A10" s="333" t="s">
        <v>68</v>
      </c>
      <c r="B10" s="334">
        <v>2112</v>
      </c>
      <c r="C10" s="329" t="s">
        <v>3</v>
      </c>
      <c r="D10" s="187">
        <f>B12+B13+B14</f>
        <v>5184</v>
      </c>
      <c r="F10" s="335" t="s">
        <v>68</v>
      </c>
      <c r="G10" s="336">
        <v>2208</v>
      </c>
    </row>
    <row r="11" spans="1:7" ht="17.25" thickBot="1" x14ac:dyDescent="0.35">
      <c r="A11" s="335" t="s">
        <v>68</v>
      </c>
      <c r="B11" s="336">
        <v>2208</v>
      </c>
      <c r="C11" s="329" t="s">
        <v>50</v>
      </c>
      <c r="F11" s="335" t="s">
        <v>68</v>
      </c>
      <c r="G11" s="336">
        <v>2016</v>
      </c>
    </row>
    <row r="12" spans="1:7" ht="17.25" thickBot="1" x14ac:dyDescent="0.35">
      <c r="A12" s="335" t="s">
        <v>69</v>
      </c>
      <c r="B12" s="336">
        <v>1152</v>
      </c>
      <c r="C12" s="329" t="s">
        <v>51</v>
      </c>
      <c r="F12" s="335" t="s">
        <v>69</v>
      </c>
      <c r="G12" s="336">
        <v>1920</v>
      </c>
    </row>
    <row r="13" spans="1:7" ht="17.25" thickBot="1" x14ac:dyDescent="0.35">
      <c r="A13" s="335" t="s">
        <v>69</v>
      </c>
      <c r="B13" s="336">
        <v>2112</v>
      </c>
      <c r="C13" s="330" t="s">
        <v>52</v>
      </c>
      <c r="F13" s="335" t="s">
        <v>69</v>
      </c>
      <c r="G13" s="336">
        <v>1152</v>
      </c>
    </row>
    <row r="14" spans="1:7" ht="17.25" thickBot="1" x14ac:dyDescent="0.35">
      <c r="A14" s="335" t="s">
        <v>69</v>
      </c>
      <c r="B14" s="336">
        <v>1920</v>
      </c>
      <c r="C14" s="330" t="s">
        <v>53</v>
      </c>
      <c r="F14" s="335" t="s">
        <v>69</v>
      </c>
      <c r="G14" s="336">
        <v>2112</v>
      </c>
    </row>
    <row r="15" spans="1:7" ht="17.25" thickBot="1" x14ac:dyDescent="0.35">
      <c r="A15" s="335"/>
      <c r="B15" s="336"/>
      <c r="C15" s="330" t="s">
        <v>59</v>
      </c>
    </row>
    <row r="16" spans="1:7" ht="17.25" thickBot="1" x14ac:dyDescent="0.35">
      <c r="C16" s="330" t="s">
        <v>60</v>
      </c>
    </row>
    <row r="17" spans="1:7" ht="17.25" thickBot="1" x14ac:dyDescent="0.35">
      <c r="A17" s="335" t="s">
        <v>70</v>
      </c>
      <c r="B17" s="336">
        <v>1422</v>
      </c>
      <c r="C17" s="330" t="s">
        <v>62</v>
      </c>
      <c r="D17" s="187">
        <f>B17</f>
        <v>1422</v>
      </c>
      <c r="F17" s="335" t="s">
        <v>70</v>
      </c>
      <c r="G17" s="336">
        <v>1422</v>
      </c>
    </row>
    <row r="18" spans="1:7" ht="17.25" thickBot="1" x14ac:dyDescent="0.35">
      <c r="A18" s="335" t="s">
        <v>71</v>
      </c>
      <c r="B18" s="336">
        <v>1470</v>
      </c>
      <c r="C18" s="331" t="s">
        <v>63</v>
      </c>
      <c r="D18" s="187">
        <f>B18</f>
        <v>1470</v>
      </c>
      <c r="F18" s="335" t="s">
        <v>71</v>
      </c>
      <c r="G18" s="336">
        <v>1470</v>
      </c>
    </row>
  </sheetData>
  <phoneticPr fontId="3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B5F6C-4F6E-409E-ADF6-068B7D012CE5}">
  <dimension ref="A1:AI55"/>
  <sheetViews>
    <sheetView zoomScale="70" zoomScaleNormal="70" workbookViewId="0">
      <selection activeCell="Y19" sqref="Y19"/>
    </sheetView>
  </sheetViews>
  <sheetFormatPr defaultRowHeight="16.5" x14ac:dyDescent="0.3"/>
  <cols>
    <col min="2" max="2" width="13" customWidth="1"/>
    <col min="3" max="3" width="11" bestFit="1" customWidth="1"/>
    <col min="9" max="9" width="9.625" bestFit="1" customWidth="1"/>
    <col min="10" max="10" width="8.375" bestFit="1" customWidth="1"/>
    <col min="21" max="21" width="9.625" bestFit="1" customWidth="1"/>
    <col min="28" max="28" width="9.625" bestFit="1" customWidth="1"/>
    <col min="29" max="29" width="10.875" bestFit="1" customWidth="1"/>
    <col min="31" max="31" width="9.625" bestFit="1" customWidth="1"/>
    <col min="32" max="32" width="10.875" bestFit="1" customWidth="1"/>
  </cols>
  <sheetData>
    <row r="1" spans="1:35" ht="17.25" thickBot="1" x14ac:dyDescent="0.35">
      <c r="A1" s="13"/>
      <c r="B1" s="13"/>
      <c r="C1" s="13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3"/>
      <c r="AC1" s="13"/>
      <c r="AD1" s="13"/>
      <c r="AE1" s="13"/>
      <c r="AF1" s="13"/>
      <c r="AG1" s="13"/>
      <c r="AH1" s="13"/>
      <c r="AI1" s="13"/>
    </row>
    <row r="2" spans="1:35" ht="30" x14ac:dyDescent="0.4">
      <c r="A2" s="15"/>
      <c r="B2" s="318" t="s">
        <v>10</v>
      </c>
      <c r="C2" s="319"/>
      <c r="D2" s="320" t="s">
        <v>11</v>
      </c>
      <c r="E2" s="320"/>
      <c r="F2" s="320"/>
      <c r="G2" s="320"/>
      <c r="H2" s="320"/>
      <c r="I2" s="320"/>
      <c r="J2" s="320"/>
      <c r="K2" s="320"/>
      <c r="L2" s="320"/>
      <c r="M2" s="320"/>
      <c r="N2" s="320"/>
      <c r="O2" s="321"/>
      <c r="P2" s="322" t="s">
        <v>12</v>
      </c>
      <c r="Q2" s="323"/>
      <c r="R2" s="323"/>
      <c r="S2" s="323"/>
      <c r="T2" s="323"/>
      <c r="U2" s="323"/>
      <c r="V2" s="323"/>
      <c r="W2" s="323"/>
      <c r="X2" s="323"/>
      <c r="Y2" s="323"/>
      <c r="Z2" s="323"/>
      <c r="AA2" s="324"/>
      <c r="AB2" s="325" t="s">
        <v>13</v>
      </c>
      <c r="AC2" s="326"/>
      <c r="AD2" s="327"/>
      <c r="AE2" s="304" t="s">
        <v>14</v>
      </c>
      <c r="AF2" s="305"/>
      <c r="AG2" s="306"/>
      <c r="AH2" s="13"/>
      <c r="AI2" s="13"/>
    </row>
    <row r="3" spans="1:35" ht="18" thickBot="1" x14ac:dyDescent="0.35">
      <c r="A3" s="13"/>
      <c r="B3" s="317" t="s">
        <v>15</v>
      </c>
      <c r="C3" s="136" t="s">
        <v>16</v>
      </c>
      <c r="D3" s="16" t="s">
        <v>17</v>
      </c>
      <c r="E3" s="16" t="s">
        <v>18</v>
      </c>
      <c r="F3" s="16" t="s">
        <v>19</v>
      </c>
      <c r="G3" s="16" t="s">
        <v>20</v>
      </c>
      <c r="H3" s="16" t="s">
        <v>21</v>
      </c>
      <c r="I3" s="16" t="s">
        <v>22</v>
      </c>
      <c r="J3" s="16" t="s">
        <v>23</v>
      </c>
      <c r="K3" s="16" t="s">
        <v>24</v>
      </c>
      <c r="L3" s="16" t="s">
        <v>25</v>
      </c>
      <c r="M3" s="16" t="s">
        <v>26</v>
      </c>
      <c r="N3" s="16" t="s">
        <v>27</v>
      </c>
      <c r="O3" s="17" t="s">
        <v>28</v>
      </c>
      <c r="P3" s="18" t="s">
        <v>17</v>
      </c>
      <c r="Q3" s="16" t="s">
        <v>18</v>
      </c>
      <c r="R3" s="16" t="s">
        <v>19</v>
      </c>
      <c r="S3" s="16" t="s">
        <v>20</v>
      </c>
      <c r="T3" s="16" t="s">
        <v>21</v>
      </c>
      <c r="U3" s="16" t="s">
        <v>22</v>
      </c>
      <c r="V3" s="16" t="s">
        <v>23</v>
      </c>
      <c r="W3" s="16" t="s">
        <v>24</v>
      </c>
      <c r="X3" s="16" t="s">
        <v>25</v>
      </c>
      <c r="Y3" s="16" t="s">
        <v>26</v>
      </c>
      <c r="Z3" s="16" t="s">
        <v>27</v>
      </c>
      <c r="AA3" s="19" t="s">
        <v>28</v>
      </c>
      <c r="AB3" s="20" t="s">
        <v>29</v>
      </c>
      <c r="AC3" s="16" t="s">
        <v>30</v>
      </c>
      <c r="AD3" s="17" t="s">
        <v>31</v>
      </c>
      <c r="AE3" s="18" t="s">
        <v>29</v>
      </c>
      <c r="AF3" s="16" t="s">
        <v>30</v>
      </c>
      <c r="AG3" s="19" t="s">
        <v>31</v>
      </c>
      <c r="AH3" s="13"/>
      <c r="AI3" s="13"/>
    </row>
    <row r="4" spans="1:35" ht="18" thickTop="1" x14ac:dyDescent="0.3">
      <c r="A4" s="13"/>
      <c r="B4" s="317"/>
      <c r="C4" s="137" t="s">
        <v>32</v>
      </c>
      <c r="D4" s="21">
        <v>1</v>
      </c>
      <c r="E4" s="21">
        <v>9</v>
      </c>
      <c r="F4" s="21">
        <v>0</v>
      </c>
      <c r="G4" s="21">
        <v>2</v>
      </c>
      <c r="H4" s="21">
        <v>24</v>
      </c>
      <c r="I4" s="21">
        <v>29</v>
      </c>
      <c r="J4" s="21">
        <v>0</v>
      </c>
      <c r="K4" s="22"/>
      <c r="L4" s="23"/>
      <c r="M4" s="24"/>
      <c r="N4" s="24"/>
      <c r="O4" s="25"/>
      <c r="P4" s="26"/>
      <c r="Q4" s="27"/>
      <c r="R4" s="27"/>
      <c r="S4" s="27"/>
      <c r="T4" s="27"/>
      <c r="U4" s="27"/>
      <c r="V4" s="27"/>
      <c r="W4" s="27"/>
      <c r="X4" s="27"/>
      <c r="Y4" s="27"/>
      <c r="Z4" s="27"/>
      <c r="AA4" s="28"/>
      <c r="AB4" s="29">
        <f t="shared" ref="AB4:AB12" si="0">SUM(D4:O4)</f>
        <v>65</v>
      </c>
      <c r="AC4" s="30">
        <f>AB4*6</f>
        <v>390</v>
      </c>
      <c r="AD4" s="31">
        <f>AC4*800/1000000</f>
        <v>0.312</v>
      </c>
      <c r="AE4" s="32">
        <f>SUM(P4:AA4)</f>
        <v>0</v>
      </c>
      <c r="AF4" s="30">
        <f>AE4*6</f>
        <v>0</v>
      </c>
      <c r="AG4" s="33">
        <f>AF4*800/1000000</f>
        <v>0</v>
      </c>
      <c r="AH4" s="13"/>
      <c r="AI4" s="14"/>
    </row>
    <row r="5" spans="1:35" ht="17.25" x14ac:dyDescent="0.3">
      <c r="A5" s="13"/>
      <c r="B5" s="317"/>
      <c r="C5" s="137" t="s">
        <v>33</v>
      </c>
      <c r="D5" s="21">
        <v>16</v>
      </c>
      <c r="E5" s="21">
        <v>42</v>
      </c>
      <c r="F5" s="21">
        <v>13</v>
      </c>
      <c r="G5" s="21">
        <v>28</v>
      </c>
      <c r="H5" s="21">
        <v>100</v>
      </c>
      <c r="I5" s="21">
        <v>2</v>
      </c>
      <c r="J5" s="21">
        <v>0</v>
      </c>
      <c r="K5" s="22"/>
      <c r="L5" s="23"/>
      <c r="M5" s="24"/>
      <c r="N5" s="24"/>
      <c r="O5" s="25"/>
      <c r="P5" s="26"/>
      <c r="Q5" s="27"/>
      <c r="R5" s="27"/>
      <c r="S5" s="27"/>
      <c r="T5" s="27"/>
      <c r="U5" s="27"/>
      <c r="V5" s="27"/>
      <c r="W5" s="27"/>
      <c r="X5" s="27"/>
      <c r="Y5" s="27"/>
      <c r="Z5" s="27"/>
      <c r="AA5" s="28"/>
      <c r="AB5" s="29">
        <f t="shared" si="0"/>
        <v>201</v>
      </c>
      <c r="AC5" s="30">
        <f>AB5*6</f>
        <v>1206</v>
      </c>
      <c r="AD5" s="31">
        <f t="shared" ref="AD5:AD12" si="1">AC5*800/1000000</f>
        <v>0.96479999999999999</v>
      </c>
      <c r="AE5" s="32">
        <f t="shared" ref="AE5:AE12" si="2">SUM(P5:AA5)</f>
        <v>0</v>
      </c>
      <c r="AF5" s="30">
        <f>AE5*6</f>
        <v>0</v>
      </c>
      <c r="AG5" s="33">
        <f t="shared" ref="AG5:AG12" si="3">AF5*800/1000000</f>
        <v>0</v>
      </c>
      <c r="AH5" s="13"/>
      <c r="AI5" s="14"/>
    </row>
    <row r="6" spans="1:35" ht="17.25" x14ac:dyDescent="0.3">
      <c r="A6" s="13"/>
      <c r="B6" s="317"/>
      <c r="C6" s="137" t="s">
        <v>34</v>
      </c>
      <c r="D6" s="34">
        <v>22</v>
      </c>
      <c r="E6" s="21">
        <v>57</v>
      </c>
      <c r="F6" s="21">
        <v>10</v>
      </c>
      <c r="G6" s="21">
        <v>13</v>
      </c>
      <c r="H6" s="21">
        <v>121</v>
      </c>
      <c r="I6" s="21">
        <v>46</v>
      </c>
      <c r="J6" s="21">
        <v>0</v>
      </c>
      <c r="K6" s="22"/>
      <c r="L6" s="23"/>
      <c r="M6" s="24"/>
      <c r="N6" s="24"/>
      <c r="O6" s="25"/>
      <c r="P6" s="26"/>
      <c r="Q6" s="27"/>
      <c r="R6" s="27"/>
      <c r="S6" s="27"/>
      <c r="T6" s="27"/>
      <c r="U6" s="27"/>
      <c r="V6" s="27"/>
      <c r="W6" s="27"/>
      <c r="X6" s="27"/>
      <c r="Y6" s="27"/>
      <c r="Z6" s="27"/>
      <c r="AA6" s="28"/>
      <c r="AB6" s="29">
        <f t="shared" si="0"/>
        <v>269</v>
      </c>
      <c r="AC6" s="30">
        <f>AB6*6</f>
        <v>1614</v>
      </c>
      <c r="AD6" s="31">
        <f t="shared" si="1"/>
        <v>1.2911999999999999</v>
      </c>
      <c r="AE6" s="32">
        <f t="shared" si="2"/>
        <v>0</v>
      </c>
      <c r="AF6" s="30">
        <f>AE6*6</f>
        <v>0</v>
      </c>
      <c r="AG6" s="33">
        <f t="shared" si="3"/>
        <v>0</v>
      </c>
      <c r="AH6" s="13"/>
      <c r="AI6" s="14"/>
    </row>
    <row r="7" spans="1:35" ht="17.25" x14ac:dyDescent="0.3">
      <c r="A7" s="35"/>
      <c r="B7" s="317"/>
      <c r="C7" s="137" t="s">
        <v>35</v>
      </c>
      <c r="D7" s="34">
        <v>1</v>
      </c>
      <c r="E7" s="21">
        <v>9</v>
      </c>
      <c r="F7" s="21">
        <v>0</v>
      </c>
      <c r="G7" s="21">
        <v>2</v>
      </c>
      <c r="H7" s="21">
        <v>24</v>
      </c>
      <c r="I7" s="21">
        <v>29</v>
      </c>
      <c r="J7" s="21">
        <v>0</v>
      </c>
      <c r="K7" s="22">
        <v>11</v>
      </c>
      <c r="L7" s="23"/>
      <c r="M7" s="24"/>
      <c r="N7" s="24"/>
      <c r="O7" s="25"/>
      <c r="P7" s="26"/>
      <c r="Q7" s="27"/>
      <c r="R7" s="27"/>
      <c r="S7" s="27"/>
      <c r="T7" s="27"/>
      <c r="U7" s="27"/>
      <c r="V7" s="27"/>
      <c r="W7" s="27"/>
      <c r="X7" s="27"/>
      <c r="Y7" s="27"/>
      <c r="Z7" s="27"/>
      <c r="AA7" s="28"/>
      <c r="AB7" s="29">
        <f t="shared" si="0"/>
        <v>76</v>
      </c>
      <c r="AC7" s="30">
        <f>AB7*6</f>
        <v>456</v>
      </c>
      <c r="AD7" s="31">
        <f t="shared" si="1"/>
        <v>0.36480000000000001</v>
      </c>
      <c r="AE7" s="32">
        <f t="shared" si="2"/>
        <v>0</v>
      </c>
      <c r="AF7" s="30">
        <f>AE7*6</f>
        <v>0</v>
      </c>
      <c r="AG7" s="33">
        <f t="shared" si="3"/>
        <v>0</v>
      </c>
      <c r="AH7" s="35"/>
      <c r="AI7" s="14"/>
    </row>
    <row r="8" spans="1:35" ht="17.25" x14ac:dyDescent="0.3">
      <c r="A8" s="35"/>
      <c r="B8" s="317"/>
      <c r="C8" s="137" t="s">
        <v>1</v>
      </c>
      <c r="D8" s="21">
        <v>861</v>
      </c>
      <c r="E8" s="21">
        <v>1939</v>
      </c>
      <c r="F8" s="21">
        <v>684</v>
      </c>
      <c r="G8" s="21">
        <v>562</v>
      </c>
      <c r="H8" s="21">
        <v>828</v>
      </c>
      <c r="I8" s="21">
        <v>3186</v>
      </c>
      <c r="J8" s="21">
        <v>454</v>
      </c>
      <c r="K8" s="22">
        <v>488</v>
      </c>
      <c r="L8" s="23">
        <v>1727</v>
      </c>
      <c r="M8" s="24">
        <v>2000</v>
      </c>
      <c r="N8" s="24">
        <v>900</v>
      </c>
      <c r="O8" s="25">
        <v>900</v>
      </c>
      <c r="P8" s="26">
        <v>700</v>
      </c>
      <c r="Q8" s="27">
        <v>800</v>
      </c>
      <c r="R8" s="27">
        <v>700</v>
      </c>
      <c r="S8" s="27">
        <v>700</v>
      </c>
      <c r="T8" s="27">
        <v>800</v>
      </c>
      <c r="U8" s="27">
        <v>2000</v>
      </c>
      <c r="V8" s="27">
        <v>900</v>
      </c>
      <c r="W8" s="27">
        <v>900</v>
      </c>
      <c r="X8" s="27">
        <v>1000</v>
      </c>
      <c r="Y8" s="27">
        <v>2000</v>
      </c>
      <c r="Z8" s="27">
        <v>1000</v>
      </c>
      <c r="AA8" s="28">
        <v>1000</v>
      </c>
      <c r="AB8" s="29">
        <f t="shared" si="0"/>
        <v>14529</v>
      </c>
      <c r="AC8" s="30">
        <f>AB8*4</f>
        <v>58116</v>
      </c>
      <c r="AD8" s="31">
        <f t="shared" si="1"/>
        <v>46.492800000000003</v>
      </c>
      <c r="AE8" s="32">
        <f t="shared" si="2"/>
        <v>12500</v>
      </c>
      <c r="AF8" s="30">
        <f>AE8*4</f>
        <v>50000</v>
      </c>
      <c r="AG8" s="33">
        <f t="shared" si="3"/>
        <v>40</v>
      </c>
      <c r="AH8" s="35"/>
      <c r="AI8" s="14"/>
    </row>
    <row r="9" spans="1:35" ht="17.25" x14ac:dyDescent="0.3">
      <c r="A9" s="35"/>
      <c r="B9" s="317"/>
      <c r="C9" s="137" t="s">
        <v>2</v>
      </c>
      <c r="D9" s="21">
        <v>1373</v>
      </c>
      <c r="E9" s="21">
        <v>3157</v>
      </c>
      <c r="F9" s="21">
        <v>2370</v>
      </c>
      <c r="G9" s="21">
        <v>1449</v>
      </c>
      <c r="H9" s="21">
        <v>1005</v>
      </c>
      <c r="I9" s="21">
        <v>1549</v>
      </c>
      <c r="J9" s="21">
        <v>1068</v>
      </c>
      <c r="K9" s="22">
        <v>961</v>
      </c>
      <c r="L9" s="23">
        <v>2493</v>
      </c>
      <c r="M9" s="24">
        <v>4000</v>
      </c>
      <c r="N9" s="24">
        <v>1400</v>
      </c>
      <c r="O9" s="25">
        <v>1400</v>
      </c>
      <c r="P9" s="26">
        <v>900</v>
      </c>
      <c r="Q9" s="27">
        <v>1200</v>
      </c>
      <c r="R9" s="27">
        <v>1000</v>
      </c>
      <c r="S9" s="27">
        <v>1000</v>
      </c>
      <c r="T9" s="27">
        <v>1200</v>
      </c>
      <c r="U9" s="27">
        <v>4000</v>
      </c>
      <c r="V9" s="27">
        <v>1300</v>
      </c>
      <c r="W9" s="27">
        <v>1300</v>
      </c>
      <c r="X9" s="27">
        <v>1400</v>
      </c>
      <c r="Y9" s="27">
        <v>4000</v>
      </c>
      <c r="Z9" s="27">
        <v>1400</v>
      </c>
      <c r="AA9" s="28">
        <v>1400</v>
      </c>
      <c r="AB9" s="29">
        <f t="shared" si="0"/>
        <v>22225</v>
      </c>
      <c r="AC9" s="30">
        <f>AB9*4</f>
        <v>88900</v>
      </c>
      <c r="AD9" s="31">
        <f t="shared" si="1"/>
        <v>71.12</v>
      </c>
      <c r="AE9" s="32">
        <f t="shared" si="2"/>
        <v>20100</v>
      </c>
      <c r="AF9" s="30">
        <f>AE9*4</f>
        <v>80400</v>
      </c>
      <c r="AG9" s="33">
        <f t="shared" si="3"/>
        <v>64.319999999999993</v>
      </c>
      <c r="AH9" s="35"/>
      <c r="AI9" s="36"/>
    </row>
    <row r="10" spans="1:35" ht="17.25" x14ac:dyDescent="0.3">
      <c r="A10" s="35"/>
      <c r="B10" s="317"/>
      <c r="C10" s="137" t="s">
        <v>3</v>
      </c>
      <c r="D10" s="21">
        <v>2119</v>
      </c>
      <c r="E10" s="21">
        <v>4916</v>
      </c>
      <c r="F10" s="21">
        <v>3119</v>
      </c>
      <c r="G10" s="21">
        <v>2779</v>
      </c>
      <c r="H10" s="21">
        <v>3805</v>
      </c>
      <c r="I10" s="21">
        <v>8099</v>
      </c>
      <c r="J10" s="21">
        <v>1527</v>
      </c>
      <c r="K10" s="22">
        <v>1462</v>
      </c>
      <c r="L10" s="23">
        <v>4620</v>
      </c>
      <c r="M10" s="24">
        <v>6000</v>
      </c>
      <c r="N10" s="24">
        <v>3200</v>
      </c>
      <c r="O10" s="25">
        <v>3200</v>
      </c>
      <c r="P10" s="26">
        <v>2400</v>
      </c>
      <c r="Q10" s="27">
        <v>3000</v>
      </c>
      <c r="R10" s="27">
        <v>2400</v>
      </c>
      <c r="S10" s="27">
        <v>2400</v>
      </c>
      <c r="T10" s="27">
        <v>3000</v>
      </c>
      <c r="U10" s="27">
        <v>6500</v>
      </c>
      <c r="V10" s="27">
        <v>2600</v>
      </c>
      <c r="W10" s="27">
        <v>2600</v>
      </c>
      <c r="X10" s="27">
        <v>3000</v>
      </c>
      <c r="Y10" s="27">
        <v>7500</v>
      </c>
      <c r="Z10" s="27">
        <v>3000</v>
      </c>
      <c r="AA10" s="28">
        <v>3000</v>
      </c>
      <c r="AB10" s="29">
        <f t="shared" si="0"/>
        <v>44846</v>
      </c>
      <c r="AC10" s="30">
        <f>AB10*4</f>
        <v>179384</v>
      </c>
      <c r="AD10" s="31">
        <f t="shared" si="1"/>
        <v>143.50720000000001</v>
      </c>
      <c r="AE10" s="32">
        <f t="shared" si="2"/>
        <v>41400</v>
      </c>
      <c r="AF10" s="30">
        <f>AE10*4</f>
        <v>165600</v>
      </c>
      <c r="AG10" s="33">
        <f t="shared" si="3"/>
        <v>132.47999999999999</v>
      </c>
      <c r="AH10" s="35"/>
      <c r="AI10" s="36"/>
    </row>
    <row r="11" spans="1:35" ht="17.25" x14ac:dyDescent="0.3">
      <c r="A11" s="35"/>
      <c r="B11" s="317"/>
      <c r="C11" s="137" t="s">
        <v>4</v>
      </c>
      <c r="D11" s="21">
        <v>0</v>
      </c>
      <c r="E11" s="21">
        <v>1</v>
      </c>
      <c r="F11" s="21">
        <v>17</v>
      </c>
      <c r="G11" s="21">
        <v>52</v>
      </c>
      <c r="H11" s="21">
        <v>112</v>
      </c>
      <c r="I11" s="21">
        <v>297</v>
      </c>
      <c r="J11" s="21">
        <v>206</v>
      </c>
      <c r="K11" s="22">
        <v>83</v>
      </c>
      <c r="L11" s="23">
        <v>59</v>
      </c>
      <c r="M11" s="24">
        <v>300</v>
      </c>
      <c r="N11" s="24">
        <v>100</v>
      </c>
      <c r="O11" s="25">
        <v>110</v>
      </c>
      <c r="P11" s="26">
        <v>80</v>
      </c>
      <c r="Q11" s="27">
        <v>140</v>
      </c>
      <c r="R11" s="27">
        <v>100</v>
      </c>
      <c r="S11" s="27">
        <v>110</v>
      </c>
      <c r="T11" s="27">
        <v>150</v>
      </c>
      <c r="U11" s="27">
        <v>300</v>
      </c>
      <c r="V11" s="27">
        <v>120</v>
      </c>
      <c r="W11" s="27">
        <v>120</v>
      </c>
      <c r="X11" s="27">
        <v>150</v>
      </c>
      <c r="Y11" s="27">
        <v>300</v>
      </c>
      <c r="Z11" s="27">
        <v>150</v>
      </c>
      <c r="AA11" s="28">
        <v>150</v>
      </c>
      <c r="AB11" s="29">
        <f t="shared" si="0"/>
        <v>1337</v>
      </c>
      <c r="AC11" s="30">
        <f t="shared" ref="AC11:AC12" si="4">AB11*4</f>
        <v>5348</v>
      </c>
      <c r="AD11" s="31">
        <f t="shared" si="1"/>
        <v>4.2784000000000004</v>
      </c>
      <c r="AE11" s="32">
        <f t="shared" si="2"/>
        <v>1870</v>
      </c>
      <c r="AF11" s="30">
        <f t="shared" ref="AF11:AF12" si="5">AE11*4</f>
        <v>7480</v>
      </c>
      <c r="AG11" s="33">
        <f t="shared" si="3"/>
        <v>5.984</v>
      </c>
      <c r="AH11" s="35"/>
      <c r="AI11" s="36"/>
    </row>
    <row r="12" spans="1:35" ht="17.25" x14ac:dyDescent="0.3">
      <c r="A12" s="35"/>
      <c r="B12" s="317"/>
      <c r="C12" s="138" t="s">
        <v>5</v>
      </c>
      <c r="D12" s="37">
        <v>0</v>
      </c>
      <c r="E12" s="37">
        <v>0</v>
      </c>
      <c r="F12" s="37">
        <v>0</v>
      </c>
      <c r="G12" s="38">
        <v>0</v>
      </c>
      <c r="H12" s="37">
        <v>0</v>
      </c>
      <c r="I12" s="37">
        <v>0</v>
      </c>
      <c r="J12" s="37">
        <v>0</v>
      </c>
      <c r="K12" s="39"/>
      <c r="L12" s="40">
        <v>5</v>
      </c>
      <c r="M12" s="41">
        <v>30</v>
      </c>
      <c r="N12" s="41">
        <v>20</v>
      </c>
      <c r="O12" s="42">
        <v>20</v>
      </c>
      <c r="P12" s="43">
        <v>20</v>
      </c>
      <c r="Q12" s="44">
        <v>30</v>
      </c>
      <c r="R12" s="44">
        <v>25</v>
      </c>
      <c r="S12" s="44">
        <v>25</v>
      </c>
      <c r="T12" s="44">
        <v>40</v>
      </c>
      <c r="U12" s="44">
        <v>60</v>
      </c>
      <c r="V12" s="44">
        <v>30</v>
      </c>
      <c r="W12" s="44">
        <v>40</v>
      </c>
      <c r="X12" s="44">
        <v>40</v>
      </c>
      <c r="Y12" s="44">
        <v>60</v>
      </c>
      <c r="Z12" s="44">
        <v>40</v>
      </c>
      <c r="AA12" s="45">
        <v>40</v>
      </c>
      <c r="AB12" s="29">
        <f t="shared" si="0"/>
        <v>75</v>
      </c>
      <c r="AC12" s="30">
        <f t="shared" si="4"/>
        <v>300</v>
      </c>
      <c r="AD12" s="31">
        <f t="shared" si="1"/>
        <v>0.24</v>
      </c>
      <c r="AE12" s="32">
        <f t="shared" si="2"/>
        <v>450</v>
      </c>
      <c r="AF12" s="30">
        <f t="shared" si="5"/>
        <v>1800</v>
      </c>
      <c r="AG12" s="33">
        <f t="shared" si="3"/>
        <v>1.44</v>
      </c>
      <c r="AH12" s="35"/>
      <c r="AI12" s="36"/>
    </row>
    <row r="13" spans="1:35" ht="18" thickBot="1" x14ac:dyDescent="0.35">
      <c r="A13" s="35"/>
      <c r="B13" s="307" t="s">
        <v>36</v>
      </c>
      <c r="C13" s="308"/>
      <c r="D13" s="46">
        <f t="shared" ref="D13:AG13" si="6">SUM(D4:D12)</f>
        <v>4393</v>
      </c>
      <c r="E13" s="46">
        <f t="shared" si="6"/>
        <v>10130</v>
      </c>
      <c r="F13" s="46">
        <f t="shared" si="6"/>
        <v>6213</v>
      </c>
      <c r="G13" s="46">
        <f t="shared" si="6"/>
        <v>4887</v>
      </c>
      <c r="H13" s="46">
        <f t="shared" si="6"/>
        <v>6019</v>
      </c>
      <c r="I13" s="46">
        <f t="shared" si="6"/>
        <v>13237</v>
      </c>
      <c r="J13" s="46">
        <f t="shared" si="6"/>
        <v>3255</v>
      </c>
      <c r="K13" s="46">
        <f t="shared" si="6"/>
        <v>3005</v>
      </c>
      <c r="L13" s="46">
        <f t="shared" si="6"/>
        <v>8904</v>
      </c>
      <c r="M13" s="46">
        <f t="shared" si="6"/>
        <v>12330</v>
      </c>
      <c r="N13" s="46">
        <f t="shared" si="6"/>
        <v>5620</v>
      </c>
      <c r="O13" s="47">
        <f t="shared" si="6"/>
        <v>5630</v>
      </c>
      <c r="P13" s="48">
        <f t="shared" si="6"/>
        <v>4100</v>
      </c>
      <c r="Q13" s="46">
        <f t="shared" si="6"/>
        <v>5170</v>
      </c>
      <c r="R13" s="46">
        <f t="shared" si="6"/>
        <v>4225</v>
      </c>
      <c r="S13" s="46">
        <f t="shared" si="6"/>
        <v>4235</v>
      </c>
      <c r="T13" s="46">
        <f t="shared" si="6"/>
        <v>5190</v>
      </c>
      <c r="U13" s="46">
        <f t="shared" si="6"/>
        <v>12860</v>
      </c>
      <c r="V13" s="46">
        <f t="shared" si="6"/>
        <v>4950</v>
      </c>
      <c r="W13" s="46">
        <f t="shared" si="6"/>
        <v>4960</v>
      </c>
      <c r="X13" s="46">
        <f t="shared" si="6"/>
        <v>5590</v>
      </c>
      <c r="Y13" s="46">
        <f t="shared" si="6"/>
        <v>13860</v>
      </c>
      <c r="Z13" s="46">
        <f t="shared" si="6"/>
        <v>5590</v>
      </c>
      <c r="AA13" s="49">
        <f t="shared" si="6"/>
        <v>5590</v>
      </c>
      <c r="AB13" s="50">
        <f t="shared" si="6"/>
        <v>83623</v>
      </c>
      <c r="AC13" s="46">
        <f t="shared" si="6"/>
        <v>335714</v>
      </c>
      <c r="AD13" s="47">
        <f t="shared" si="6"/>
        <v>268.57120000000003</v>
      </c>
      <c r="AE13" s="48">
        <f t="shared" si="6"/>
        <v>76320</v>
      </c>
      <c r="AF13" s="46">
        <f t="shared" si="6"/>
        <v>305280</v>
      </c>
      <c r="AG13" s="49">
        <f t="shared" si="6"/>
        <v>244.22399999999999</v>
      </c>
      <c r="AH13" s="35"/>
      <c r="AI13" s="35"/>
    </row>
    <row r="14" spans="1:35" x14ac:dyDescent="0.3">
      <c r="A14" s="35"/>
      <c r="B14" s="139"/>
      <c r="C14" s="139"/>
      <c r="D14" s="36"/>
      <c r="E14" s="51"/>
      <c r="F14" s="51"/>
      <c r="G14" s="51"/>
      <c r="H14" s="51"/>
      <c r="I14" s="52"/>
      <c r="J14" s="52"/>
      <c r="K14" s="52"/>
      <c r="L14" s="36"/>
      <c r="M14" s="52"/>
      <c r="N14" s="52"/>
      <c r="O14" s="52"/>
      <c r="P14" s="52">
        <f>+P13*800/1000000*4</f>
        <v>13.12</v>
      </c>
      <c r="Q14" s="52">
        <f t="shared" ref="Q14:AA14" si="7">+Q13*800/1000000*4</f>
        <v>16.544</v>
      </c>
      <c r="R14" s="52">
        <f t="shared" si="7"/>
        <v>13.52</v>
      </c>
      <c r="S14" s="52">
        <f t="shared" si="7"/>
        <v>13.552</v>
      </c>
      <c r="T14" s="52">
        <f t="shared" si="7"/>
        <v>16.608000000000001</v>
      </c>
      <c r="U14" s="52">
        <f t="shared" si="7"/>
        <v>41.152000000000001</v>
      </c>
      <c r="V14" s="52">
        <f t="shared" si="7"/>
        <v>15.84</v>
      </c>
      <c r="W14" s="52">
        <f t="shared" si="7"/>
        <v>15.872</v>
      </c>
      <c r="X14" s="52">
        <f t="shared" si="7"/>
        <v>17.888000000000002</v>
      </c>
      <c r="Y14" s="52">
        <f t="shared" si="7"/>
        <v>44.351999999999997</v>
      </c>
      <c r="Z14" s="52">
        <f t="shared" si="7"/>
        <v>17.888000000000002</v>
      </c>
      <c r="AA14" s="52">
        <f t="shared" si="7"/>
        <v>17.888000000000002</v>
      </c>
      <c r="AB14" s="35"/>
      <c r="AC14" s="35"/>
      <c r="AD14" s="35"/>
      <c r="AE14" s="35"/>
      <c r="AF14" s="35"/>
      <c r="AG14" s="35"/>
      <c r="AH14" s="35"/>
      <c r="AI14" s="35"/>
    </row>
    <row r="15" spans="1:35" ht="21" thickBot="1" x14ac:dyDescent="0.35">
      <c r="A15" s="53"/>
      <c r="B15" s="139"/>
      <c r="C15" s="139"/>
      <c r="D15" s="51"/>
      <c r="E15" s="51"/>
      <c r="F15" s="51"/>
      <c r="G15" s="51"/>
      <c r="H15" s="54"/>
      <c r="I15" s="54"/>
      <c r="J15" s="54"/>
      <c r="K15" s="52"/>
      <c r="L15" s="52"/>
      <c r="M15" s="52"/>
      <c r="N15" s="52"/>
      <c r="O15" s="52"/>
      <c r="P15" s="52"/>
      <c r="Q15" s="52"/>
      <c r="R15" s="52"/>
      <c r="S15" s="14"/>
      <c r="T15" s="36"/>
      <c r="U15" s="36"/>
      <c r="V15" s="36"/>
      <c r="W15" s="36"/>
      <c r="X15" s="36"/>
      <c r="Y15" s="36"/>
      <c r="Z15" s="36"/>
      <c r="AA15" s="35"/>
      <c r="AB15" s="35"/>
      <c r="AC15" s="35"/>
      <c r="AD15" s="35"/>
      <c r="AE15" s="35"/>
      <c r="AF15" s="35"/>
      <c r="AG15" s="35"/>
      <c r="AH15" s="35"/>
      <c r="AI15" s="35"/>
    </row>
    <row r="16" spans="1:35" ht="21.75" thickTop="1" thickBot="1" x14ac:dyDescent="0.35">
      <c r="A16" s="53"/>
      <c r="B16" s="140" t="s">
        <v>37</v>
      </c>
      <c r="C16" s="141" t="s">
        <v>16</v>
      </c>
      <c r="D16" s="55" t="s">
        <v>17</v>
      </c>
      <c r="E16" s="56" t="s">
        <v>18</v>
      </c>
      <c r="F16" s="55" t="s">
        <v>19</v>
      </c>
      <c r="G16" s="56" t="s">
        <v>20</v>
      </c>
      <c r="H16" s="55" t="s">
        <v>21</v>
      </c>
      <c r="I16" s="56" t="s">
        <v>22</v>
      </c>
      <c r="J16" s="55" t="s">
        <v>23</v>
      </c>
      <c r="K16" s="56" t="s">
        <v>38</v>
      </c>
      <c r="L16" s="55" t="s">
        <v>39</v>
      </c>
      <c r="M16" s="56" t="s">
        <v>40</v>
      </c>
      <c r="N16" s="55" t="s">
        <v>41</v>
      </c>
      <c r="O16" s="56" t="s">
        <v>42</v>
      </c>
      <c r="P16" s="57">
        <v>45316</v>
      </c>
      <c r="Q16" s="57">
        <v>45347</v>
      </c>
      <c r="R16" s="57">
        <v>45376</v>
      </c>
      <c r="S16" s="57">
        <v>45407</v>
      </c>
      <c r="T16" s="57">
        <v>45437</v>
      </c>
      <c r="U16" s="57">
        <v>45468</v>
      </c>
      <c r="V16" s="57">
        <v>45498</v>
      </c>
      <c r="W16" s="57">
        <v>45529</v>
      </c>
      <c r="X16" s="57">
        <v>45560</v>
      </c>
      <c r="Y16" s="57">
        <v>45590</v>
      </c>
      <c r="Z16" s="57">
        <v>45621</v>
      </c>
      <c r="AA16" s="58">
        <v>45651</v>
      </c>
      <c r="AB16" s="35"/>
      <c r="AC16" s="35"/>
      <c r="AD16" s="35"/>
      <c r="AE16" s="35"/>
      <c r="AF16" s="35"/>
      <c r="AG16" s="35"/>
      <c r="AH16" s="35"/>
      <c r="AI16" s="35"/>
    </row>
    <row r="17" spans="1:35" ht="21" thickTop="1" x14ac:dyDescent="0.3">
      <c r="A17" s="53"/>
      <c r="B17" s="309" t="s">
        <v>43</v>
      </c>
      <c r="C17" s="142" t="s">
        <v>32</v>
      </c>
      <c r="D17" s="59">
        <v>70</v>
      </c>
      <c r="E17" s="60">
        <v>61</v>
      </c>
      <c r="F17" s="60">
        <v>61</v>
      </c>
      <c r="G17" s="60">
        <v>59</v>
      </c>
      <c r="H17" s="60">
        <v>35</v>
      </c>
      <c r="I17" s="60">
        <v>6</v>
      </c>
      <c r="J17" s="60">
        <v>0</v>
      </c>
      <c r="K17" s="61">
        <v>0</v>
      </c>
      <c r="L17" s="61"/>
      <c r="M17" s="61">
        <f t="shared" ref="M17:O25" si="8">L17+M26-M4</f>
        <v>0</v>
      </c>
      <c r="N17" s="61">
        <f t="shared" si="8"/>
        <v>0</v>
      </c>
      <c r="O17" s="61">
        <f t="shared" si="8"/>
        <v>0</v>
      </c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3"/>
      <c r="AB17" s="35"/>
      <c r="AC17" s="13"/>
      <c r="AD17" s="13"/>
      <c r="AE17" s="13"/>
      <c r="AF17" s="13"/>
      <c r="AG17" s="13"/>
      <c r="AH17" s="13"/>
      <c r="AI17" s="13"/>
    </row>
    <row r="18" spans="1:35" ht="20.25" x14ac:dyDescent="0.3">
      <c r="A18" s="53"/>
      <c r="B18" s="310"/>
      <c r="C18" s="142" t="s">
        <v>33</v>
      </c>
      <c r="D18" s="64">
        <v>187</v>
      </c>
      <c r="E18" s="65">
        <v>145</v>
      </c>
      <c r="F18" s="65">
        <v>132</v>
      </c>
      <c r="G18" s="65">
        <v>104</v>
      </c>
      <c r="H18" s="65">
        <v>4</v>
      </c>
      <c r="I18" s="65">
        <v>2</v>
      </c>
      <c r="J18" s="65">
        <v>117</v>
      </c>
      <c r="K18" s="66">
        <v>0</v>
      </c>
      <c r="L18" s="61"/>
      <c r="M18" s="61">
        <f t="shared" si="8"/>
        <v>0</v>
      </c>
      <c r="N18" s="61">
        <f t="shared" si="8"/>
        <v>0</v>
      </c>
      <c r="O18" s="61">
        <f t="shared" si="8"/>
        <v>0</v>
      </c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8"/>
      <c r="AB18" s="35"/>
      <c r="AC18" s="13"/>
      <c r="AD18" s="13"/>
      <c r="AE18" s="13"/>
      <c r="AF18" s="13"/>
      <c r="AG18" s="13"/>
      <c r="AH18" s="13"/>
      <c r="AI18" s="13"/>
    </row>
    <row r="19" spans="1:35" ht="20.25" x14ac:dyDescent="0.3">
      <c r="A19" s="53"/>
      <c r="B19" s="310"/>
      <c r="C19" s="142" t="s">
        <v>34</v>
      </c>
      <c r="D19" s="64">
        <v>249</v>
      </c>
      <c r="E19" s="65">
        <v>192</v>
      </c>
      <c r="F19" s="65">
        <v>182</v>
      </c>
      <c r="G19" s="65">
        <v>169</v>
      </c>
      <c r="H19" s="65">
        <v>48</v>
      </c>
      <c r="I19" s="65">
        <v>2</v>
      </c>
      <c r="J19" s="65">
        <v>0</v>
      </c>
      <c r="K19" s="66">
        <v>0</v>
      </c>
      <c r="L19" s="61"/>
      <c r="M19" s="61">
        <f t="shared" si="8"/>
        <v>0</v>
      </c>
      <c r="N19" s="61">
        <f t="shared" si="8"/>
        <v>0</v>
      </c>
      <c r="O19" s="61">
        <f t="shared" si="8"/>
        <v>0</v>
      </c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8"/>
      <c r="AB19" s="35"/>
      <c r="AC19" s="13"/>
      <c r="AD19" s="13"/>
      <c r="AE19" s="13"/>
      <c r="AF19" s="13"/>
      <c r="AG19" s="13"/>
      <c r="AH19" s="13"/>
      <c r="AI19" s="13"/>
    </row>
    <row r="20" spans="1:35" ht="20.25" x14ac:dyDescent="0.3">
      <c r="A20" s="53"/>
      <c r="B20" s="310"/>
      <c r="C20" s="142" t="s">
        <v>35</v>
      </c>
      <c r="D20" s="64">
        <v>230</v>
      </c>
      <c r="E20" s="65">
        <v>222</v>
      </c>
      <c r="F20" s="65">
        <v>216</v>
      </c>
      <c r="G20" s="65">
        <v>209</v>
      </c>
      <c r="H20" s="65">
        <v>159</v>
      </c>
      <c r="I20" s="65">
        <v>101</v>
      </c>
      <c r="J20" s="65">
        <v>37</v>
      </c>
      <c r="K20" s="66">
        <v>0</v>
      </c>
      <c r="L20" s="61"/>
      <c r="M20" s="61">
        <f t="shared" si="8"/>
        <v>0</v>
      </c>
      <c r="N20" s="61">
        <f t="shared" si="8"/>
        <v>0</v>
      </c>
      <c r="O20" s="61">
        <f t="shared" si="8"/>
        <v>0</v>
      </c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8"/>
      <c r="AB20" s="35"/>
      <c r="AC20" s="13"/>
      <c r="AD20" s="13"/>
      <c r="AE20" s="13"/>
      <c r="AF20" s="13"/>
      <c r="AG20" s="13"/>
      <c r="AH20" s="13"/>
      <c r="AI20" s="13"/>
    </row>
    <row r="21" spans="1:35" ht="20.25" x14ac:dyDescent="0.3">
      <c r="A21" s="53"/>
      <c r="B21" s="310"/>
      <c r="C21" s="142" t="s">
        <v>1</v>
      </c>
      <c r="D21" s="64">
        <v>7181</v>
      </c>
      <c r="E21" s="65">
        <v>5626</v>
      </c>
      <c r="F21" s="65">
        <v>5710</v>
      </c>
      <c r="G21" s="65">
        <v>4092</v>
      </c>
      <c r="H21" s="65">
        <v>3264</v>
      </c>
      <c r="I21" s="65">
        <v>462</v>
      </c>
      <c r="J21" s="65">
        <v>8</v>
      </c>
      <c r="K21" s="66">
        <v>0</v>
      </c>
      <c r="L21" s="61">
        <v>193</v>
      </c>
      <c r="M21" s="61">
        <v>1692</v>
      </c>
      <c r="N21" s="61">
        <f t="shared" si="8"/>
        <v>2424</v>
      </c>
      <c r="O21" s="61">
        <f t="shared" si="8"/>
        <v>2868</v>
      </c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8"/>
      <c r="AB21" s="35"/>
      <c r="AC21" s="13"/>
      <c r="AD21" s="13"/>
      <c r="AE21" s="13"/>
      <c r="AF21" s="13"/>
      <c r="AG21" s="13"/>
      <c r="AH21" s="13"/>
      <c r="AI21" s="13"/>
    </row>
    <row r="22" spans="1:35" ht="20.25" x14ac:dyDescent="0.3">
      <c r="A22" s="53"/>
      <c r="B22" s="310"/>
      <c r="C22" s="142" t="s">
        <v>2</v>
      </c>
      <c r="D22" s="69">
        <v>8411</v>
      </c>
      <c r="E22" s="65">
        <v>5254</v>
      </c>
      <c r="F22" s="65">
        <v>2884</v>
      </c>
      <c r="G22" s="65">
        <v>1051</v>
      </c>
      <c r="H22" s="65">
        <v>46</v>
      </c>
      <c r="I22" s="65">
        <v>1185</v>
      </c>
      <c r="J22" s="65">
        <v>117</v>
      </c>
      <c r="K22" s="66">
        <v>2036</v>
      </c>
      <c r="L22" s="61">
        <v>3767</v>
      </c>
      <c r="M22" s="61">
        <v>2310</v>
      </c>
      <c r="N22" s="61">
        <f t="shared" si="8"/>
        <v>3790</v>
      </c>
      <c r="O22" s="61">
        <f t="shared" si="8"/>
        <v>4310</v>
      </c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8"/>
      <c r="AB22" s="35"/>
      <c r="AC22" s="13"/>
      <c r="AD22" s="13"/>
      <c r="AE22" s="13"/>
      <c r="AF22" s="13"/>
      <c r="AG22" s="13"/>
      <c r="AH22" s="13"/>
      <c r="AI22" s="13"/>
    </row>
    <row r="23" spans="1:35" ht="20.25" x14ac:dyDescent="0.3">
      <c r="A23" s="53"/>
      <c r="B23" s="310"/>
      <c r="C23" s="142" t="s">
        <v>3</v>
      </c>
      <c r="D23" s="69">
        <v>20752</v>
      </c>
      <c r="E23" s="65">
        <v>17852</v>
      </c>
      <c r="F23" s="65">
        <v>16747</v>
      </c>
      <c r="G23" s="65">
        <v>12144</v>
      </c>
      <c r="H23" s="65">
        <v>8339</v>
      </c>
      <c r="I23" s="65">
        <v>1527</v>
      </c>
      <c r="J23" s="65">
        <v>0</v>
      </c>
      <c r="K23" s="66">
        <v>1500</v>
      </c>
      <c r="L23" s="61">
        <v>5914</v>
      </c>
      <c r="M23" s="61">
        <v>2313</v>
      </c>
      <c r="N23" s="61">
        <f t="shared" si="8"/>
        <v>3817</v>
      </c>
      <c r="O23" s="61">
        <f t="shared" si="8"/>
        <v>3497</v>
      </c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8"/>
      <c r="AB23" s="35"/>
      <c r="AC23" s="13"/>
      <c r="AD23" s="13"/>
      <c r="AE23" s="13"/>
      <c r="AF23" s="13"/>
      <c r="AG23" s="13"/>
      <c r="AH23" s="13"/>
      <c r="AI23" s="13"/>
    </row>
    <row r="24" spans="1:35" ht="21" thickBot="1" x14ac:dyDescent="0.35">
      <c r="A24" s="53"/>
      <c r="B24" s="310"/>
      <c r="C24" s="142" t="s">
        <v>4</v>
      </c>
      <c r="D24" s="69">
        <v>0</v>
      </c>
      <c r="E24" s="65">
        <v>383</v>
      </c>
      <c r="F24" s="65">
        <v>366</v>
      </c>
      <c r="G24" s="65">
        <v>698</v>
      </c>
      <c r="H24" s="65">
        <v>586</v>
      </c>
      <c r="I24" s="65">
        <v>289</v>
      </c>
      <c r="J24" s="65">
        <v>83</v>
      </c>
      <c r="K24" s="66">
        <v>0</v>
      </c>
      <c r="L24" s="61">
        <v>37</v>
      </c>
      <c r="M24" s="61">
        <v>183</v>
      </c>
      <c r="N24" s="61">
        <f t="shared" si="8"/>
        <v>371</v>
      </c>
      <c r="O24" s="61">
        <f t="shared" si="8"/>
        <v>453</v>
      </c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8"/>
      <c r="AB24" s="35"/>
      <c r="AC24" s="13"/>
      <c r="AD24" s="13"/>
      <c r="AE24" s="13"/>
      <c r="AF24" s="13"/>
      <c r="AG24" s="13"/>
      <c r="AH24" s="13"/>
      <c r="AI24" s="13"/>
    </row>
    <row r="25" spans="1:35" ht="21" thickTop="1" x14ac:dyDescent="0.3">
      <c r="A25" s="53"/>
      <c r="B25" s="310"/>
      <c r="C25" s="142" t="s">
        <v>5</v>
      </c>
      <c r="D25" s="70">
        <v>0</v>
      </c>
      <c r="E25" s="71">
        <v>0</v>
      </c>
      <c r="F25" s="71">
        <v>0</v>
      </c>
      <c r="G25" s="71">
        <v>0</v>
      </c>
      <c r="H25" s="71">
        <v>0</v>
      </c>
      <c r="I25" s="71">
        <v>0</v>
      </c>
      <c r="J25" s="72">
        <v>0</v>
      </c>
      <c r="K25" s="73">
        <v>0</v>
      </c>
      <c r="L25" s="74">
        <v>360</v>
      </c>
      <c r="M25" s="74">
        <v>327</v>
      </c>
      <c r="N25" s="74">
        <f t="shared" si="8"/>
        <v>307</v>
      </c>
      <c r="O25" s="74">
        <f t="shared" si="8"/>
        <v>287</v>
      </c>
      <c r="P25" s="75"/>
      <c r="Q25" s="75"/>
      <c r="R25" s="75"/>
      <c r="S25" s="76"/>
      <c r="T25" s="76"/>
      <c r="U25" s="76"/>
      <c r="V25" s="76"/>
      <c r="W25" s="76"/>
      <c r="X25" s="76"/>
      <c r="Y25" s="76"/>
      <c r="Z25" s="76"/>
      <c r="AA25" s="77"/>
      <c r="AB25" s="78" t="s">
        <v>36</v>
      </c>
      <c r="AC25" s="14"/>
      <c r="AD25" s="14"/>
      <c r="AE25" s="36"/>
      <c r="AF25" s="36"/>
      <c r="AG25" s="36"/>
      <c r="AH25" s="36"/>
      <c r="AI25" s="14"/>
    </row>
    <row r="26" spans="1:35" ht="20.25" x14ac:dyDescent="0.3">
      <c r="A26" s="53"/>
      <c r="B26" s="311" t="s">
        <v>44</v>
      </c>
      <c r="C26" s="143" t="s">
        <v>32</v>
      </c>
      <c r="D26" s="59"/>
      <c r="E26" s="60"/>
      <c r="F26" s="60"/>
      <c r="G26" s="60"/>
      <c r="H26" s="60"/>
      <c r="I26" s="79"/>
      <c r="J26" s="79"/>
      <c r="K26" s="80"/>
      <c r="L26" s="80"/>
      <c r="M26" s="80"/>
      <c r="N26" s="80"/>
      <c r="O26" s="8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2"/>
      <c r="AB26" s="83">
        <f t="shared" ref="AB26:AB33" si="9">SUM(D26:O26)</f>
        <v>0</v>
      </c>
      <c r="AC26" s="14"/>
      <c r="AD26" s="14"/>
      <c r="AE26" s="14"/>
      <c r="AF26" s="14"/>
      <c r="AG26" s="14"/>
      <c r="AH26" s="14"/>
      <c r="AI26" s="14"/>
    </row>
    <row r="27" spans="1:35" ht="20.25" x14ac:dyDescent="0.3">
      <c r="A27" s="53"/>
      <c r="B27" s="312"/>
      <c r="C27" s="142" t="s">
        <v>33</v>
      </c>
      <c r="D27" s="64"/>
      <c r="E27" s="65"/>
      <c r="F27" s="65"/>
      <c r="G27" s="65"/>
      <c r="H27" s="65"/>
      <c r="I27" s="84"/>
      <c r="J27" s="84"/>
      <c r="K27" s="85"/>
      <c r="L27" s="85"/>
      <c r="M27" s="85"/>
      <c r="N27" s="85"/>
      <c r="O27" s="85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7"/>
      <c r="AB27" s="88">
        <f t="shared" si="9"/>
        <v>0</v>
      </c>
      <c r="AC27" s="36"/>
      <c r="AD27" s="36"/>
      <c r="AE27" s="36"/>
      <c r="AF27" s="36"/>
      <c r="AG27" s="14"/>
      <c r="AH27" s="14"/>
      <c r="AI27" s="14"/>
    </row>
    <row r="28" spans="1:35" ht="20.25" x14ac:dyDescent="0.3">
      <c r="A28" s="53"/>
      <c r="B28" s="313"/>
      <c r="C28" s="142" t="s">
        <v>34</v>
      </c>
      <c r="D28" s="64"/>
      <c r="E28" s="65"/>
      <c r="F28" s="65"/>
      <c r="G28" s="65"/>
      <c r="H28" s="65"/>
      <c r="I28" s="84"/>
      <c r="J28" s="84"/>
      <c r="K28" s="85"/>
      <c r="L28" s="85"/>
      <c r="M28" s="85"/>
      <c r="N28" s="85"/>
      <c r="O28" s="85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7"/>
      <c r="AB28" s="88">
        <f t="shared" si="9"/>
        <v>0</v>
      </c>
      <c r="AC28" s="36"/>
      <c r="AD28" s="36"/>
      <c r="AE28" s="36"/>
      <c r="AF28" s="36"/>
      <c r="AG28" s="14"/>
      <c r="AH28" s="14"/>
      <c r="AI28" s="14"/>
    </row>
    <row r="29" spans="1:35" ht="20.25" x14ac:dyDescent="0.3">
      <c r="A29" s="53"/>
      <c r="B29" s="313"/>
      <c r="C29" s="142" t="s">
        <v>35</v>
      </c>
      <c r="D29" s="64"/>
      <c r="E29" s="65"/>
      <c r="F29" s="65"/>
      <c r="G29" s="65"/>
      <c r="H29" s="65"/>
      <c r="I29" s="84"/>
      <c r="J29" s="84"/>
      <c r="K29" s="85"/>
      <c r="L29" s="85"/>
      <c r="M29" s="85"/>
      <c r="N29" s="85"/>
      <c r="O29" s="85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7"/>
      <c r="AB29" s="88">
        <f t="shared" si="9"/>
        <v>0</v>
      </c>
      <c r="AC29" s="36"/>
      <c r="AD29" s="36"/>
      <c r="AE29" s="36"/>
      <c r="AF29" s="36"/>
      <c r="AG29" s="14"/>
      <c r="AH29" s="14"/>
      <c r="AI29" s="14"/>
    </row>
    <row r="30" spans="1:35" ht="20.25" x14ac:dyDescent="0.3">
      <c r="A30" s="53"/>
      <c r="B30" s="313"/>
      <c r="C30" s="142" t="s">
        <v>1</v>
      </c>
      <c r="D30" s="64"/>
      <c r="E30" s="65"/>
      <c r="F30" s="65"/>
      <c r="G30" s="65"/>
      <c r="H30" s="65"/>
      <c r="I30" s="84"/>
      <c r="J30" s="84"/>
      <c r="K30" s="85"/>
      <c r="L30" s="85"/>
      <c r="M30" s="85">
        <f>2400+1728</f>
        <v>4128</v>
      </c>
      <c r="N30" s="85">
        <v>1632</v>
      </c>
      <c r="O30" s="85">
        <v>1344</v>
      </c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7"/>
      <c r="AB30" s="88">
        <f t="shared" si="9"/>
        <v>7104</v>
      </c>
      <c r="AC30" s="36"/>
      <c r="AD30" s="36"/>
      <c r="AE30" s="36"/>
      <c r="AF30" s="36"/>
      <c r="AG30" s="14"/>
      <c r="AH30" s="14"/>
      <c r="AI30" s="14"/>
    </row>
    <row r="31" spans="1:35" ht="20.25" x14ac:dyDescent="0.3">
      <c r="A31" s="53"/>
      <c r="B31" s="313"/>
      <c r="C31" s="142" t="s">
        <v>2</v>
      </c>
      <c r="D31" s="64"/>
      <c r="E31" s="65"/>
      <c r="F31" s="65"/>
      <c r="G31" s="65"/>
      <c r="H31" s="65"/>
      <c r="I31" s="84"/>
      <c r="J31" s="84"/>
      <c r="K31" s="85"/>
      <c r="L31" s="85"/>
      <c r="M31" s="85">
        <f>576+3072</f>
        <v>3648</v>
      </c>
      <c r="N31" s="85">
        <v>2880</v>
      </c>
      <c r="O31" s="85">
        <v>1920</v>
      </c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7"/>
      <c r="AB31" s="88">
        <f t="shared" si="9"/>
        <v>8448</v>
      </c>
      <c r="AC31" s="36"/>
      <c r="AD31" s="36"/>
      <c r="AE31" s="36"/>
      <c r="AF31" s="36"/>
      <c r="AG31" s="14"/>
      <c r="AH31" s="14"/>
      <c r="AI31" s="14"/>
    </row>
    <row r="32" spans="1:35" ht="20.25" x14ac:dyDescent="0.3">
      <c r="A32" s="53"/>
      <c r="B32" s="313"/>
      <c r="C32" s="144" t="s">
        <v>3</v>
      </c>
      <c r="D32" s="64"/>
      <c r="E32" s="65"/>
      <c r="F32" s="65"/>
      <c r="G32" s="65"/>
      <c r="H32" s="65"/>
      <c r="I32" s="84"/>
      <c r="J32" s="84"/>
      <c r="K32" s="85"/>
      <c r="L32" s="85"/>
      <c r="M32" s="85">
        <v>4704</v>
      </c>
      <c r="N32" s="85">
        <v>4704</v>
      </c>
      <c r="O32" s="85">
        <v>2880</v>
      </c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7"/>
      <c r="AB32" s="88">
        <f t="shared" si="9"/>
        <v>12288</v>
      </c>
      <c r="AC32" s="36"/>
      <c r="AD32" s="36"/>
      <c r="AE32" s="36"/>
      <c r="AF32" s="36"/>
      <c r="AG32" s="14"/>
      <c r="AH32" s="14"/>
      <c r="AI32" s="14"/>
    </row>
    <row r="33" spans="1:35" ht="20.25" x14ac:dyDescent="0.3">
      <c r="A33" s="89"/>
      <c r="B33" s="313"/>
      <c r="C33" s="142" t="s">
        <v>4</v>
      </c>
      <c r="D33" s="90"/>
      <c r="E33" s="65"/>
      <c r="F33" s="65"/>
      <c r="G33" s="65"/>
      <c r="H33" s="65"/>
      <c r="I33" s="84"/>
      <c r="J33" s="84"/>
      <c r="K33" s="85"/>
      <c r="L33" s="85"/>
      <c r="M33" s="85"/>
      <c r="N33" s="85">
        <v>288</v>
      </c>
      <c r="O33" s="85">
        <v>192</v>
      </c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7"/>
      <c r="AB33" s="88">
        <f t="shared" si="9"/>
        <v>480</v>
      </c>
      <c r="AC33" s="36"/>
      <c r="AD33" s="36"/>
      <c r="AE33" s="36"/>
      <c r="AF33" s="36"/>
      <c r="AG33" s="14"/>
      <c r="AH33" s="14"/>
      <c r="AI33" s="14"/>
    </row>
    <row r="34" spans="1:35" ht="21" thickBot="1" x14ac:dyDescent="0.35">
      <c r="A34" s="91"/>
      <c r="B34" s="314"/>
      <c r="C34" s="145" t="s">
        <v>5</v>
      </c>
      <c r="D34" s="92"/>
      <c r="E34" s="93"/>
      <c r="F34" s="94"/>
      <c r="G34" s="95"/>
      <c r="H34" s="95"/>
      <c r="I34" s="95"/>
      <c r="J34" s="95"/>
      <c r="K34" s="96"/>
      <c r="L34" s="96"/>
      <c r="M34" s="96"/>
      <c r="N34" s="96"/>
      <c r="O34" s="97"/>
      <c r="P34" s="97"/>
      <c r="Q34" s="97"/>
      <c r="R34" s="97"/>
      <c r="S34" s="98"/>
      <c r="T34" s="98"/>
      <c r="U34" s="98"/>
      <c r="V34" s="98"/>
      <c r="W34" s="98"/>
      <c r="X34" s="98"/>
      <c r="Y34" s="98"/>
      <c r="Z34" s="98"/>
      <c r="AA34" s="99"/>
      <c r="AB34" s="100" t="s">
        <v>45</v>
      </c>
      <c r="AC34" s="36"/>
      <c r="AD34" s="36"/>
      <c r="AE34" s="36"/>
      <c r="AF34" s="36"/>
      <c r="AG34" s="14"/>
      <c r="AH34" s="14"/>
      <c r="AI34" s="14"/>
    </row>
    <row r="35" spans="1:35" ht="21" thickTop="1" x14ac:dyDescent="0.3">
      <c r="A35" s="91"/>
      <c r="B35" s="315" t="s">
        <v>46</v>
      </c>
      <c r="C35" s="146" t="s">
        <v>32</v>
      </c>
      <c r="D35" s="101"/>
      <c r="E35" s="102"/>
      <c r="F35" s="103"/>
      <c r="G35" s="104"/>
      <c r="H35" s="104"/>
      <c r="I35" s="104"/>
      <c r="J35" s="104"/>
      <c r="K35" s="105"/>
      <c r="L35" s="105"/>
      <c r="M35" s="105"/>
      <c r="N35" s="105"/>
      <c r="O35" s="106"/>
      <c r="P35" s="106"/>
      <c r="Q35" s="107"/>
      <c r="R35" s="108"/>
      <c r="S35" s="108"/>
      <c r="T35" s="108"/>
      <c r="U35" s="108"/>
      <c r="V35" s="108"/>
      <c r="W35" s="108"/>
      <c r="X35" s="108"/>
      <c r="Y35" s="108"/>
      <c r="Z35" s="108"/>
      <c r="AA35" s="109"/>
      <c r="AB35" s="36"/>
      <c r="AC35" s="36"/>
      <c r="AD35" s="36"/>
      <c r="AE35" s="36"/>
      <c r="AF35" s="36"/>
      <c r="AG35" s="14"/>
      <c r="AH35" s="14"/>
      <c r="AI35" s="14"/>
    </row>
    <row r="36" spans="1:35" ht="20.25" x14ac:dyDescent="0.3">
      <c r="A36" s="91"/>
      <c r="B36" s="316"/>
      <c r="C36" s="146" t="s">
        <v>33</v>
      </c>
      <c r="D36" s="110"/>
      <c r="E36" s="111"/>
      <c r="F36" s="112"/>
      <c r="G36" s="113"/>
      <c r="H36" s="113"/>
      <c r="I36" s="113"/>
      <c r="J36" s="113"/>
      <c r="K36" s="114"/>
      <c r="L36" s="114"/>
      <c r="M36" s="114"/>
      <c r="N36" s="114"/>
      <c r="O36" s="115"/>
      <c r="P36" s="115"/>
      <c r="Q36" s="107"/>
      <c r="R36" s="108"/>
      <c r="S36" s="108"/>
      <c r="T36" s="108"/>
      <c r="U36" s="108"/>
      <c r="V36" s="108"/>
      <c r="W36" s="108"/>
      <c r="X36" s="108"/>
      <c r="Y36" s="108"/>
      <c r="Z36" s="108"/>
      <c r="AA36" s="109"/>
      <c r="AB36" s="36"/>
      <c r="AC36" s="36"/>
      <c r="AD36" s="36"/>
      <c r="AE36" s="36"/>
      <c r="AF36" s="36"/>
      <c r="AG36" s="14"/>
      <c r="AH36" s="14"/>
      <c r="AI36" s="14"/>
    </row>
    <row r="37" spans="1:35" ht="20.25" x14ac:dyDescent="0.3">
      <c r="A37" s="91"/>
      <c r="B37" s="316"/>
      <c r="C37" s="146" t="s">
        <v>34</v>
      </c>
      <c r="D37" s="110"/>
      <c r="E37" s="111"/>
      <c r="F37" s="112"/>
      <c r="G37" s="113"/>
      <c r="H37" s="113"/>
      <c r="I37" s="113"/>
      <c r="J37" s="113"/>
      <c r="K37" s="114"/>
      <c r="L37" s="114"/>
      <c r="M37" s="114"/>
      <c r="N37" s="114"/>
      <c r="O37" s="115"/>
      <c r="P37" s="115"/>
      <c r="Q37" s="107"/>
      <c r="R37" s="108"/>
      <c r="S37" s="108"/>
      <c r="T37" s="108"/>
      <c r="U37" s="108"/>
      <c r="V37" s="108"/>
      <c r="W37" s="108"/>
      <c r="X37" s="108"/>
      <c r="Y37" s="108"/>
      <c r="Z37" s="108"/>
      <c r="AA37" s="109"/>
      <c r="AB37" s="36"/>
      <c r="AC37" s="36"/>
      <c r="AD37" s="36"/>
      <c r="AE37" s="36"/>
      <c r="AF37" s="36"/>
      <c r="AG37" s="14"/>
      <c r="AH37" s="14"/>
      <c r="AI37" s="14"/>
    </row>
    <row r="38" spans="1:35" ht="20.25" x14ac:dyDescent="0.3">
      <c r="A38" s="91"/>
      <c r="B38" s="316"/>
      <c r="C38" s="146" t="s">
        <v>35</v>
      </c>
      <c r="D38" s="110"/>
      <c r="E38" s="111"/>
      <c r="F38" s="112"/>
      <c r="G38" s="113"/>
      <c r="H38" s="113"/>
      <c r="I38" s="113"/>
      <c r="J38" s="113"/>
      <c r="K38" s="114"/>
      <c r="L38" s="114"/>
      <c r="M38" s="114"/>
      <c r="N38" s="114"/>
      <c r="O38" s="115"/>
      <c r="P38" s="115"/>
      <c r="Q38" s="107"/>
      <c r="R38" s="108"/>
      <c r="S38" s="108"/>
      <c r="T38" s="108"/>
      <c r="U38" s="108"/>
      <c r="V38" s="108"/>
      <c r="W38" s="108"/>
      <c r="X38" s="108"/>
      <c r="Y38" s="108"/>
      <c r="Z38" s="108"/>
      <c r="AA38" s="109"/>
      <c r="AB38" s="36"/>
      <c r="AC38" s="36"/>
      <c r="AD38" s="36"/>
      <c r="AE38" s="36"/>
      <c r="AF38" s="36"/>
      <c r="AG38" s="14"/>
      <c r="AH38" s="14"/>
      <c r="AI38" s="14"/>
    </row>
    <row r="39" spans="1:35" ht="20.25" x14ac:dyDescent="0.3">
      <c r="A39" s="91"/>
      <c r="B39" s="316"/>
      <c r="C39" s="146" t="s">
        <v>1</v>
      </c>
      <c r="D39" s="110"/>
      <c r="E39" s="111"/>
      <c r="F39" s="112"/>
      <c r="G39" s="113"/>
      <c r="H39" s="113"/>
      <c r="I39" s="113"/>
      <c r="J39" s="113"/>
      <c r="K39" s="114"/>
      <c r="L39" s="114"/>
      <c r="M39" s="114"/>
      <c r="N39" s="114"/>
      <c r="O39" s="115"/>
      <c r="P39" s="115"/>
      <c r="Q39" s="107"/>
      <c r="R39" s="108"/>
      <c r="S39" s="108"/>
      <c r="T39" s="108"/>
      <c r="U39" s="108"/>
      <c r="V39" s="108"/>
      <c r="W39" s="108"/>
      <c r="X39" s="108"/>
      <c r="Y39" s="108"/>
      <c r="Z39" s="108"/>
      <c r="AA39" s="109"/>
      <c r="AB39" s="36"/>
      <c r="AC39" s="36"/>
      <c r="AD39" s="36"/>
      <c r="AE39" s="36"/>
      <c r="AF39" s="36"/>
      <c r="AG39" s="14"/>
      <c r="AH39" s="14"/>
      <c r="AI39" s="14"/>
    </row>
    <row r="40" spans="1:35" ht="20.25" x14ac:dyDescent="0.3">
      <c r="A40" s="91"/>
      <c r="B40" s="316"/>
      <c r="C40" s="146" t="s">
        <v>2</v>
      </c>
      <c r="D40" s="110"/>
      <c r="E40" s="111"/>
      <c r="F40" s="112"/>
      <c r="G40" s="113"/>
      <c r="H40" s="113"/>
      <c r="I40" s="113"/>
      <c r="J40" s="113"/>
      <c r="K40" s="114"/>
      <c r="L40" s="114"/>
      <c r="M40" s="114"/>
      <c r="N40" s="114"/>
      <c r="O40" s="115"/>
      <c r="P40" s="115"/>
      <c r="Q40" s="107"/>
      <c r="R40" s="108"/>
      <c r="S40" s="108"/>
      <c r="T40" s="108"/>
      <c r="U40" s="108"/>
      <c r="V40" s="108"/>
      <c r="W40" s="108"/>
      <c r="X40" s="108"/>
      <c r="Y40" s="108"/>
      <c r="Z40" s="108"/>
      <c r="AA40" s="109"/>
      <c r="AB40" s="36"/>
      <c r="AC40" s="36"/>
      <c r="AD40" s="36"/>
      <c r="AE40" s="36"/>
      <c r="AF40" s="36"/>
      <c r="AG40" s="14"/>
      <c r="AH40" s="14"/>
      <c r="AI40" s="14"/>
    </row>
    <row r="41" spans="1:35" ht="20.25" x14ac:dyDescent="0.3">
      <c r="A41" s="91"/>
      <c r="B41" s="316"/>
      <c r="C41" s="146" t="s">
        <v>3</v>
      </c>
      <c r="D41" s="110"/>
      <c r="E41" s="111"/>
      <c r="F41" s="112"/>
      <c r="G41" s="113"/>
      <c r="H41" s="113"/>
      <c r="I41" s="113"/>
      <c r="J41" s="113"/>
      <c r="K41" s="114"/>
      <c r="L41" s="114"/>
      <c r="M41" s="114"/>
      <c r="N41" s="114"/>
      <c r="O41" s="115"/>
      <c r="P41" s="115"/>
      <c r="Q41" s="107"/>
      <c r="R41" s="108"/>
      <c r="S41" s="108"/>
      <c r="T41" s="108"/>
      <c r="U41" s="108"/>
      <c r="V41" s="108"/>
      <c r="W41" s="108"/>
      <c r="X41" s="108"/>
      <c r="Y41" s="108"/>
      <c r="Z41" s="108"/>
      <c r="AA41" s="109"/>
      <c r="AB41" s="36"/>
      <c r="AC41" s="36"/>
      <c r="AD41" s="36"/>
      <c r="AE41" s="36"/>
      <c r="AF41" s="36"/>
      <c r="AG41" s="14"/>
      <c r="AH41" s="14"/>
      <c r="AI41" s="14"/>
    </row>
    <row r="42" spans="1:35" ht="20.25" x14ac:dyDescent="0.3">
      <c r="A42" s="91"/>
      <c r="B42" s="316"/>
      <c r="C42" s="146" t="s">
        <v>4</v>
      </c>
      <c r="D42" s="110"/>
      <c r="E42" s="111"/>
      <c r="F42" s="112"/>
      <c r="G42" s="113"/>
      <c r="H42" s="113"/>
      <c r="I42" s="113"/>
      <c r="J42" s="113"/>
      <c r="K42" s="114"/>
      <c r="L42" s="114"/>
      <c r="M42" s="114"/>
      <c r="N42" s="114"/>
      <c r="O42" s="115"/>
      <c r="P42" s="115"/>
      <c r="Q42" s="107"/>
      <c r="R42" s="108"/>
      <c r="S42" s="108"/>
      <c r="T42" s="108"/>
      <c r="U42" s="108"/>
      <c r="V42" s="108"/>
      <c r="W42" s="108"/>
      <c r="X42" s="108"/>
      <c r="Y42" s="108"/>
      <c r="Z42" s="108"/>
      <c r="AA42" s="109"/>
      <c r="AB42" s="36"/>
      <c r="AC42" s="36"/>
      <c r="AD42" s="36"/>
      <c r="AE42" s="36"/>
      <c r="AF42" s="36"/>
      <c r="AG42" s="14"/>
      <c r="AH42" s="14"/>
      <c r="AI42" s="14"/>
    </row>
    <row r="43" spans="1:35" ht="20.25" x14ac:dyDescent="0.3">
      <c r="A43" s="91"/>
      <c r="B43" s="316"/>
      <c r="C43" s="147" t="s">
        <v>5</v>
      </c>
      <c r="D43" s="116"/>
      <c r="E43" s="117"/>
      <c r="F43" s="118"/>
      <c r="G43" s="119"/>
      <c r="H43" s="119"/>
      <c r="I43" s="119"/>
      <c r="J43" s="119"/>
      <c r="K43" s="120"/>
      <c r="L43" s="120"/>
      <c r="M43" s="120"/>
      <c r="N43" s="120"/>
      <c r="O43" s="121"/>
      <c r="P43" s="121"/>
      <c r="Q43" s="122"/>
      <c r="R43" s="123"/>
      <c r="S43" s="123"/>
      <c r="T43" s="123"/>
      <c r="U43" s="123"/>
      <c r="V43" s="123"/>
      <c r="W43" s="123"/>
      <c r="X43" s="123"/>
      <c r="Y43" s="123"/>
      <c r="Z43" s="123"/>
      <c r="AA43" s="124"/>
      <c r="AB43" s="36"/>
      <c r="AC43" s="36"/>
      <c r="AD43" s="36"/>
      <c r="AE43" s="36"/>
      <c r="AF43" s="36"/>
      <c r="AG43" s="14"/>
      <c r="AH43" s="14"/>
      <c r="AI43" s="14"/>
    </row>
    <row r="44" spans="1:35" ht="20.25" x14ac:dyDescent="0.3">
      <c r="A44" s="91"/>
      <c r="B44" s="302" t="s">
        <v>47</v>
      </c>
      <c r="C44" s="148" t="s">
        <v>32</v>
      </c>
      <c r="D44" s="125">
        <f>IFERROR(D17/AVERAGE(D4:F4),"")</f>
        <v>21</v>
      </c>
      <c r="E44" s="79">
        <f t="shared" ref="E44:O52" si="10">IFERROR(E17/AVERAGE(E4:G4),"")</f>
        <v>16.636363636363637</v>
      </c>
      <c r="F44" s="79">
        <f t="shared" si="10"/>
        <v>7.0384615384615392</v>
      </c>
      <c r="G44" s="79">
        <f t="shared" si="10"/>
        <v>3.2181818181818183</v>
      </c>
      <c r="H44" s="79">
        <f t="shared" si="10"/>
        <v>1.9811320754716979</v>
      </c>
      <c r="I44" s="79">
        <f t="shared" si="10"/>
        <v>0.41379310344827586</v>
      </c>
      <c r="J44" s="79" t="str">
        <f t="shared" si="10"/>
        <v/>
      </c>
      <c r="K44" s="126" t="str">
        <f t="shared" si="10"/>
        <v/>
      </c>
      <c r="L44" s="126" t="str">
        <f t="shared" si="10"/>
        <v/>
      </c>
      <c r="M44" s="126" t="str">
        <f t="shared" si="10"/>
        <v/>
      </c>
      <c r="N44" s="126" t="str">
        <f t="shared" si="10"/>
        <v/>
      </c>
      <c r="O44" s="126" t="str">
        <f t="shared" si="10"/>
        <v/>
      </c>
      <c r="P44" s="81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127"/>
      <c r="AB44" s="35"/>
      <c r="AC44" s="13"/>
      <c r="AD44" s="13"/>
      <c r="AE44" s="13"/>
      <c r="AF44" s="13"/>
      <c r="AG44" s="13"/>
      <c r="AH44" s="13"/>
      <c r="AI44" s="13"/>
    </row>
    <row r="45" spans="1:35" ht="20.25" x14ac:dyDescent="0.3">
      <c r="A45" s="91"/>
      <c r="B45" s="302"/>
      <c r="C45" s="149" t="s">
        <v>33</v>
      </c>
      <c r="D45" s="69">
        <f t="shared" ref="D45:D52" si="11">IFERROR(D18/AVERAGE(D5:F5),"")</f>
        <v>7.901408450704225</v>
      </c>
      <c r="E45" s="84">
        <f t="shared" si="10"/>
        <v>5.2409638554216862</v>
      </c>
      <c r="F45" s="84">
        <f t="shared" si="10"/>
        <v>2.8085106382978724</v>
      </c>
      <c r="G45" s="84">
        <f t="shared" si="10"/>
        <v>2.4</v>
      </c>
      <c r="H45" s="84">
        <f t="shared" si="10"/>
        <v>0.11764705882352941</v>
      </c>
      <c r="I45" s="84">
        <f t="shared" si="10"/>
        <v>2</v>
      </c>
      <c r="J45" s="84" t="str">
        <f t="shared" si="10"/>
        <v/>
      </c>
      <c r="K45" s="128" t="str">
        <f t="shared" si="10"/>
        <v/>
      </c>
      <c r="L45" s="128" t="str">
        <f t="shared" si="10"/>
        <v/>
      </c>
      <c r="M45" s="128" t="str">
        <f t="shared" si="10"/>
        <v/>
      </c>
      <c r="N45" s="128" t="str">
        <f t="shared" si="10"/>
        <v/>
      </c>
      <c r="O45" s="128" t="str">
        <f t="shared" si="10"/>
        <v/>
      </c>
      <c r="P45" s="129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8"/>
      <c r="AB45" s="35"/>
      <c r="AC45" s="13"/>
      <c r="AD45" s="13"/>
      <c r="AE45" s="13"/>
      <c r="AF45" s="13"/>
      <c r="AG45" s="13"/>
      <c r="AH45" s="13"/>
      <c r="AI45" s="13"/>
    </row>
    <row r="46" spans="1:35" ht="20.25" x14ac:dyDescent="0.3">
      <c r="A46" s="91"/>
      <c r="B46" s="302"/>
      <c r="C46" s="149" t="s">
        <v>34</v>
      </c>
      <c r="D46" s="69">
        <f t="shared" si="11"/>
        <v>8.3932584269662911</v>
      </c>
      <c r="E46" s="84">
        <f t="shared" si="10"/>
        <v>7.1999999999999993</v>
      </c>
      <c r="F46" s="84">
        <f t="shared" si="10"/>
        <v>3.7916666666666665</v>
      </c>
      <c r="G46" s="84">
        <f t="shared" si="10"/>
        <v>2.8166666666666669</v>
      </c>
      <c r="H46" s="84">
        <f t="shared" si="10"/>
        <v>0.86227544910179643</v>
      </c>
      <c r="I46" s="84">
        <f t="shared" si="10"/>
        <v>8.6956521739130432E-2</v>
      </c>
      <c r="J46" s="84" t="str">
        <f t="shared" si="10"/>
        <v/>
      </c>
      <c r="K46" s="128" t="str">
        <f t="shared" si="10"/>
        <v/>
      </c>
      <c r="L46" s="128" t="str">
        <f t="shared" si="10"/>
        <v/>
      </c>
      <c r="M46" s="128" t="str">
        <f t="shared" si="10"/>
        <v/>
      </c>
      <c r="N46" s="128" t="str">
        <f t="shared" si="10"/>
        <v/>
      </c>
      <c r="O46" s="128" t="str">
        <f t="shared" si="10"/>
        <v/>
      </c>
      <c r="P46" s="129"/>
      <c r="Q46" s="67"/>
      <c r="R46" s="67"/>
      <c r="S46" s="67"/>
      <c r="T46" s="67"/>
      <c r="U46" s="67"/>
      <c r="V46" s="67"/>
      <c r="W46" s="67"/>
      <c r="X46" s="67"/>
      <c r="Y46" s="67"/>
      <c r="Z46" s="67"/>
      <c r="AA46" s="68"/>
      <c r="AB46" s="35"/>
      <c r="AC46" s="13"/>
      <c r="AD46" s="13"/>
      <c r="AE46" s="13"/>
      <c r="AF46" s="13"/>
      <c r="AG46" s="13"/>
      <c r="AH46" s="13"/>
      <c r="AI46" s="13"/>
    </row>
    <row r="47" spans="1:35" ht="20.25" x14ac:dyDescent="0.3">
      <c r="A47" s="91"/>
      <c r="B47" s="302"/>
      <c r="C47" s="149" t="s">
        <v>35</v>
      </c>
      <c r="D47" s="69">
        <f>IFERROR(D20/AVERAGE(D7:F7),"")</f>
        <v>69</v>
      </c>
      <c r="E47" s="84">
        <f t="shared" si="10"/>
        <v>60.545454545454547</v>
      </c>
      <c r="F47" s="84">
        <f t="shared" si="10"/>
        <v>24.923076923076923</v>
      </c>
      <c r="G47" s="84">
        <f t="shared" si="10"/>
        <v>11.4</v>
      </c>
      <c r="H47" s="84">
        <f t="shared" si="10"/>
        <v>9</v>
      </c>
      <c r="I47" s="84">
        <f t="shared" si="10"/>
        <v>7.5749999999999993</v>
      </c>
      <c r="J47" s="84">
        <f t="shared" si="10"/>
        <v>6.7272727272727275</v>
      </c>
      <c r="K47" s="128">
        <f t="shared" si="10"/>
        <v>0</v>
      </c>
      <c r="L47" s="128" t="str">
        <f t="shared" si="10"/>
        <v/>
      </c>
      <c r="M47" s="128" t="str">
        <f t="shared" si="10"/>
        <v/>
      </c>
      <c r="N47" s="128" t="str">
        <f t="shared" si="10"/>
        <v/>
      </c>
      <c r="O47" s="128" t="str">
        <f t="shared" si="10"/>
        <v/>
      </c>
      <c r="P47" s="129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8"/>
      <c r="AB47" s="35"/>
      <c r="AC47" s="13"/>
      <c r="AD47" s="13"/>
      <c r="AE47" s="13"/>
      <c r="AF47" s="13"/>
      <c r="AG47" s="13"/>
      <c r="AH47" s="13"/>
      <c r="AI47" s="13"/>
    </row>
    <row r="48" spans="1:35" ht="20.25" x14ac:dyDescent="0.3">
      <c r="A48" s="91"/>
      <c r="B48" s="302"/>
      <c r="C48" s="149" t="s">
        <v>1</v>
      </c>
      <c r="D48" s="69">
        <f t="shared" si="11"/>
        <v>6.1834098737083814</v>
      </c>
      <c r="E48" s="84">
        <f t="shared" si="10"/>
        <v>5.2992150706436414</v>
      </c>
      <c r="F48" s="84">
        <f t="shared" si="10"/>
        <v>8.2594021215043387</v>
      </c>
      <c r="G48" s="84">
        <f t="shared" si="10"/>
        <v>2.6826923076923079</v>
      </c>
      <c r="H48" s="84">
        <f t="shared" si="10"/>
        <v>2.1915846016114595</v>
      </c>
      <c r="I48" s="84">
        <f t="shared" si="10"/>
        <v>0.33575581395348836</v>
      </c>
      <c r="J48" s="84">
        <f t="shared" si="10"/>
        <v>8.9921318846009745E-3</v>
      </c>
      <c r="K48" s="128">
        <f t="shared" si="10"/>
        <v>0</v>
      </c>
      <c r="L48" s="128">
        <f t="shared" si="10"/>
        <v>0.12513507672357899</v>
      </c>
      <c r="M48" s="128">
        <f t="shared" si="10"/>
        <v>1.3357894736842104</v>
      </c>
      <c r="N48" s="128">
        <f t="shared" si="10"/>
        <v>2.9087999999999998</v>
      </c>
      <c r="O48" s="128">
        <f t="shared" si="10"/>
        <v>3.585</v>
      </c>
      <c r="P48" s="129"/>
      <c r="Q48" s="67"/>
      <c r="R48" s="67"/>
      <c r="S48" s="67"/>
      <c r="T48" s="67"/>
      <c r="U48" s="67"/>
      <c r="V48" s="67"/>
      <c r="W48" s="67"/>
      <c r="X48" s="67"/>
      <c r="Y48" s="67"/>
      <c r="Z48" s="67"/>
      <c r="AA48" s="68"/>
      <c r="AB48" s="35"/>
      <c r="AC48" s="13"/>
      <c r="AD48" s="13"/>
      <c r="AE48" s="13"/>
      <c r="AF48" s="13"/>
      <c r="AG48" s="13"/>
      <c r="AH48" s="13"/>
      <c r="AI48" s="13"/>
    </row>
    <row r="49" spans="1:35" ht="20.25" x14ac:dyDescent="0.3">
      <c r="A49" s="91"/>
      <c r="B49" s="302"/>
      <c r="C49" s="149" t="s">
        <v>2</v>
      </c>
      <c r="D49" s="69">
        <f t="shared" si="11"/>
        <v>3.6569565217391302</v>
      </c>
      <c r="E49" s="84">
        <f t="shared" si="10"/>
        <v>2.2594610091743119</v>
      </c>
      <c r="F49" s="84">
        <f t="shared" si="10"/>
        <v>1.7935323383084578</v>
      </c>
      <c r="G49" s="84">
        <f t="shared" si="10"/>
        <v>0.78765925555833127</v>
      </c>
      <c r="H49" s="84">
        <f t="shared" si="10"/>
        <v>3.8100496963003869E-2</v>
      </c>
      <c r="I49" s="84">
        <f t="shared" si="10"/>
        <v>0.99357182783678022</v>
      </c>
      <c r="J49" s="84">
        <f t="shared" si="10"/>
        <v>7.7620521892967712E-2</v>
      </c>
      <c r="K49" s="128">
        <f t="shared" si="10"/>
        <v>0.81942581164475459</v>
      </c>
      <c r="L49" s="128">
        <f t="shared" si="10"/>
        <v>1.4317749904979096</v>
      </c>
      <c r="M49" s="128">
        <f t="shared" si="10"/>
        <v>1.0191176470588237</v>
      </c>
      <c r="N49" s="128">
        <f t="shared" si="10"/>
        <v>3.0729729729729733</v>
      </c>
      <c r="O49" s="128">
        <f t="shared" si="10"/>
        <v>3.694285714285714</v>
      </c>
      <c r="P49" s="129"/>
      <c r="Q49" s="67"/>
      <c r="R49" s="67"/>
      <c r="S49" s="67"/>
      <c r="T49" s="67"/>
      <c r="U49" s="67"/>
      <c r="V49" s="67"/>
      <c r="W49" s="67"/>
      <c r="X49" s="67"/>
      <c r="Y49" s="67"/>
      <c r="Z49" s="67"/>
      <c r="AA49" s="68"/>
      <c r="AB49" s="35"/>
      <c r="AC49" s="13"/>
      <c r="AD49" s="13"/>
      <c r="AE49" s="13"/>
      <c r="AF49" s="13"/>
      <c r="AG49" s="13"/>
      <c r="AH49" s="13"/>
      <c r="AI49" s="13"/>
    </row>
    <row r="50" spans="1:35" ht="20.25" x14ac:dyDescent="0.3">
      <c r="A50" s="91"/>
      <c r="B50" s="302"/>
      <c r="C50" s="149" t="s">
        <v>3</v>
      </c>
      <c r="D50" s="69">
        <f t="shared" si="11"/>
        <v>6.1311798306086276</v>
      </c>
      <c r="E50" s="84">
        <f t="shared" si="10"/>
        <v>4.9524690216386169</v>
      </c>
      <c r="F50" s="84">
        <f t="shared" si="10"/>
        <v>5.1778831289291967</v>
      </c>
      <c r="G50" s="84">
        <f t="shared" si="10"/>
        <v>2.481236804467752</v>
      </c>
      <c r="H50" s="84">
        <f t="shared" si="10"/>
        <v>1.8626312262675899</v>
      </c>
      <c r="I50" s="84">
        <f t="shared" si="10"/>
        <v>0.41314935064935066</v>
      </c>
      <c r="J50" s="84">
        <f t="shared" si="10"/>
        <v>0</v>
      </c>
      <c r="K50" s="128">
        <f t="shared" si="10"/>
        <v>0.37245489157424266</v>
      </c>
      <c r="L50" s="128">
        <f t="shared" si="10"/>
        <v>1.2837916063675832</v>
      </c>
      <c r="M50" s="128">
        <f t="shared" si="10"/>
        <v>0.55959677419354847</v>
      </c>
      <c r="N50" s="128">
        <f t="shared" si="10"/>
        <v>1.30125</v>
      </c>
      <c r="O50" s="128">
        <f t="shared" si="10"/>
        <v>1.2198837209302327</v>
      </c>
      <c r="P50" s="129"/>
      <c r="Q50" s="67"/>
      <c r="R50" s="67"/>
      <c r="S50" s="67"/>
      <c r="T50" s="67"/>
      <c r="U50" s="67"/>
      <c r="V50" s="67"/>
      <c r="W50" s="67"/>
      <c r="X50" s="67"/>
      <c r="Y50" s="67"/>
      <c r="Z50" s="67"/>
      <c r="AA50" s="68"/>
      <c r="AB50" s="35"/>
      <c r="AC50" s="13"/>
      <c r="AD50" s="13"/>
      <c r="AE50" s="13"/>
      <c r="AF50" s="13"/>
      <c r="AG50" s="13"/>
      <c r="AH50" s="13"/>
      <c r="AI50" s="13"/>
    </row>
    <row r="51" spans="1:35" x14ac:dyDescent="0.3">
      <c r="A51" s="13"/>
      <c r="B51" s="302"/>
      <c r="C51" s="149" t="s">
        <v>4</v>
      </c>
      <c r="D51" s="69">
        <f t="shared" si="11"/>
        <v>0</v>
      </c>
      <c r="E51" s="84">
        <f t="shared" si="10"/>
        <v>16.414285714285715</v>
      </c>
      <c r="F51" s="84">
        <f t="shared" si="10"/>
        <v>6.0662983425414359</v>
      </c>
      <c r="G51" s="84">
        <f t="shared" si="10"/>
        <v>4.542299349240781</v>
      </c>
      <c r="H51" s="84">
        <f t="shared" si="10"/>
        <v>2.8585365853658535</v>
      </c>
      <c r="I51" s="84">
        <f t="shared" si="10"/>
        <v>1.4795221843003412</v>
      </c>
      <c r="J51" s="84">
        <f t="shared" si="10"/>
        <v>0.71551724137931039</v>
      </c>
      <c r="K51" s="128">
        <f t="shared" si="10"/>
        <v>0</v>
      </c>
      <c r="L51" s="128">
        <f t="shared" si="10"/>
        <v>0.24183006535947713</v>
      </c>
      <c r="M51" s="128">
        <f t="shared" si="10"/>
        <v>1.0764705882352941</v>
      </c>
      <c r="N51" s="128">
        <f t="shared" si="10"/>
        <v>3.8379310344827586</v>
      </c>
      <c r="O51" s="128">
        <f t="shared" si="10"/>
        <v>4.1181818181818182</v>
      </c>
      <c r="P51" s="129"/>
      <c r="Q51" s="67"/>
      <c r="R51" s="67"/>
      <c r="S51" s="67"/>
      <c r="T51" s="67"/>
      <c r="U51" s="67"/>
      <c r="V51" s="67"/>
      <c r="W51" s="67"/>
      <c r="X51" s="67"/>
      <c r="Y51" s="67"/>
      <c r="Z51" s="67"/>
      <c r="AA51" s="68"/>
      <c r="AB51" s="35"/>
      <c r="AC51" s="13"/>
      <c r="AD51" s="13"/>
      <c r="AE51" s="13"/>
      <c r="AF51" s="13"/>
      <c r="AG51" s="13"/>
      <c r="AH51" s="13"/>
      <c r="AI51" s="13"/>
    </row>
    <row r="52" spans="1:35" ht="17.25" thickBot="1" x14ac:dyDescent="0.35">
      <c r="A52" s="13"/>
      <c r="B52" s="303"/>
      <c r="C52" s="150" t="s">
        <v>5</v>
      </c>
      <c r="D52" s="130" t="str">
        <f t="shared" si="11"/>
        <v/>
      </c>
      <c r="E52" s="131" t="str">
        <f t="shared" si="10"/>
        <v/>
      </c>
      <c r="F52" s="131" t="str">
        <f t="shared" si="10"/>
        <v/>
      </c>
      <c r="G52" s="131" t="str">
        <f t="shared" si="10"/>
        <v/>
      </c>
      <c r="H52" s="131" t="str">
        <f t="shared" si="10"/>
        <v/>
      </c>
      <c r="I52" s="131" t="str">
        <f t="shared" si="10"/>
        <v/>
      </c>
      <c r="J52" s="131">
        <f t="shared" si="10"/>
        <v>0</v>
      </c>
      <c r="K52" s="132">
        <f t="shared" si="10"/>
        <v>0</v>
      </c>
      <c r="L52" s="132">
        <f t="shared" si="10"/>
        <v>19.636363636363637</v>
      </c>
      <c r="M52" s="132">
        <f t="shared" si="10"/>
        <v>14.014285714285714</v>
      </c>
      <c r="N52" s="132">
        <f t="shared" si="10"/>
        <v>15.35</v>
      </c>
      <c r="O52" s="132">
        <f t="shared" si="10"/>
        <v>12.3</v>
      </c>
      <c r="P52" s="133"/>
      <c r="Q52" s="134"/>
      <c r="R52" s="134"/>
      <c r="S52" s="134"/>
      <c r="T52" s="134"/>
      <c r="U52" s="134"/>
      <c r="V52" s="134"/>
      <c r="W52" s="134"/>
      <c r="X52" s="134"/>
      <c r="Y52" s="134"/>
      <c r="Z52" s="134"/>
      <c r="AA52" s="135"/>
      <c r="AB52" s="35"/>
      <c r="AC52" s="13"/>
      <c r="AD52" s="13"/>
      <c r="AE52" s="13"/>
      <c r="AF52" s="13"/>
      <c r="AG52" s="13"/>
      <c r="AH52" s="13"/>
      <c r="AI52" s="13"/>
    </row>
    <row r="53" spans="1:35" ht="17.25" thickTop="1" x14ac:dyDescent="0.3">
      <c r="A53" s="13"/>
      <c r="B53" s="13"/>
      <c r="C53" s="13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36"/>
      <c r="P53" s="36"/>
      <c r="Q53" s="36"/>
      <c r="R53" s="36"/>
      <c r="S53" s="36"/>
      <c r="T53" s="14"/>
      <c r="U53" s="14"/>
      <c r="V53" s="14"/>
      <c r="W53" s="14"/>
      <c r="X53" s="14"/>
      <c r="Y53" s="14"/>
      <c r="Z53" s="14"/>
      <c r="AA53" s="14"/>
      <c r="AB53" s="13"/>
      <c r="AC53" s="13"/>
      <c r="AD53" s="13"/>
      <c r="AE53" s="13"/>
      <c r="AF53" s="13"/>
      <c r="AG53" s="13"/>
      <c r="AH53" s="13"/>
      <c r="AI53" s="13"/>
    </row>
    <row r="54" spans="1:35" x14ac:dyDescent="0.3">
      <c r="A54" s="13"/>
      <c r="B54" s="13"/>
      <c r="C54" s="13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36"/>
      <c r="P54" s="36"/>
      <c r="Q54" s="36"/>
      <c r="R54" s="36"/>
      <c r="S54" s="36"/>
      <c r="T54" s="14"/>
      <c r="U54" s="14"/>
      <c r="V54" s="14"/>
      <c r="W54" s="14"/>
      <c r="X54" s="14"/>
      <c r="Y54" s="14"/>
      <c r="Z54" s="14"/>
      <c r="AA54" s="14"/>
      <c r="AB54" s="13"/>
      <c r="AC54" s="13"/>
      <c r="AD54" s="13"/>
      <c r="AE54" s="13"/>
      <c r="AF54" s="13"/>
      <c r="AG54" s="13"/>
      <c r="AH54" s="13"/>
      <c r="AI54" s="13"/>
    </row>
    <row r="55" spans="1:35" x14ac:dyDescent="0.3">
      <c r="A55" s="13"/>
      <c r="B55" s="13"/>
      <c r="C55" s="13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36"/>
      <c r="P55" s="36"/>
      <c r="Q55" s="36"/>
      <c r="R55" s="36"/>
      <c r="S55" s="36"/>
      <c r="T55" s="14"/>
      <c r="U55" s="14"/>
      <c r="V55" s="14"/>
      <c r="W55" s="14"/>
      <c r="X55" s="14"/>
      <c r="Y55" s="14"/>
      <c r="Z55" s="14"/>
      <c r="AA55" s="14"/>
      <c r="AB55" s="13"/>
      <c r="AC55" s="13"/>
      <c r="AD55" s="13"/>
      <c r="AE55" s="13"/>
      <c r="AF55" s="13"/>
      <c r="AG55" s="13"/>
      <c r="AH55" s="13"/>
      <c r="AI55" s="13"/>
    </row>
  </sheetData>
  <mergeCells count="11">
    <mergeCell ref="B44:B52"/>
    <mergeCell ref="AE2:AG2"/>
    <mergeCell ref="B13:C13"/>
    <mergeCell ref="B17:B25"/>
    <mergeCell ref="B26:B34"/>
    <mergeCell ref="B35:B43"/>
    <mergeCell ref="B3:B12"/>
    <mergeCell ref="B2:C2"/>
    <mergeCell ref="D2:O2"/>
    <mergeCell ref="P2:AA2"/>
    <mergeCell ref="AB2:AD2"/>
  </mergeCells>
  <phoneticPr fontId="37" type="noConversion"/>
  <conditionalFormatting sqref="K44:O46 L47:O47 K48:O52">
    <cfRule type="cellIs" dxfId="0" priority="1" operator="lessThan">
      <formula>2.5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PLANNING</vt:lpstr>
      <vt:lpstr>Sheet1</vt:lpstr>
      <vt:lpstr>기존 템플릿</vt:lpstr>
    </vt:vector>
  </TitlesOfParts>
  <Company>Danone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Valerie</dc:creator>
  <cp:lastModifiedBy>SCM</cp:lastModifiedBy>
  <dcterms:created xsi:type="dcterms:W3CDTF">2024-11-05T13:48:16Z</dcterms:created>
  <dcterms:modified xsi:type="dcterms:W3CDTF">2025-01-08T06:16:11Z</dcterms:modified>
</cp:coreProperties>
</file>
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utricia\99. Sales\박효진\발주\"/>
    </mc:Choice>
  </mc:AlternateContent>
  <xr:revisionPtr revIDLastSave="0" documentId="13_ncr:1_{E453FF1C-9B12-4006-A9AA-57628D23AF54}" xr6:coauthVersionLast="47" xr6:coauthVersionMax="47" xr10:uidLastSave="{00000000-0000-0000-0000-000000000000}"/>
  <bookViews>
    <workbookView xWindow="-120" yWindow="-120" windowWidth="29040" windowHeight="15840" xr2:uid="{67E5AAA5-4FDE-4CE7-8CD6-CD36AEE311F7}"/>
  </bookViews>
  <sheets>
    <sheet name="아이베" sheetId="1" r:id="rId1"/>
    <sheet name="내수 판매량" sheetId="3" r:id="rId2"/>
    <sheet name="Sheet1" sheetId="7" r:id="rId3"/>
    <sheet name="크로네" sheetId="6" r:id="rId4"/>
    <sheet name="직구 판매량" sheetId="5" r:id="rId5"/>
    <sheet name="단가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" l="1"/>
  <c r="M10" i="1"/>
  <c r="N10" i="1"/>
  <c r="O10" i="1"/>
  <c r="P10" i="1"/>
  <c r="Q10" i="1"/>
  <c r="R13" i="5"/>
  <c r="S13" i="5" s="1"/>
  <c r="T13" i="5" s="1"/>
  <c r="R12" i="5"/>
  <c r="S12" i="5" s="1"/>
  <c r="T12" i="5" s="1"/>
  <c r="R11" i="5"/>
  <c r="S11" i="5" s="1"/>
  <c r="T11" i="5" s="1"/>
  <c r="R10" i="5"/>
  <c r="S10" i="5" s="1"/>
  <c r="T10" i="5" s="1"/>
  <c r="R9" i="5"/>
  <c r="S9" i="5" s="1"/>
  <c r="T9" i="5" s="1"/>
  <c r="R8" i="5"/>
  <c r="S8" i="5" s="1"/>
  <c r="T8" i="5" s="1"/>
  <c r="R7" i="5"/>
  <c r="S7" i="5" s="1"/>
  <c r="T7" i="5" s="1"/>
  <c r="R6" i="5"/>
  <c r="S6" i="5" s="1"/>
  <c r="T6" i="5" s="1"/>
  <c r="R5" i="5"/>
  <c r="S5" i="5" s="1"/>
  <c r="T5" i="5" s="1"/>
  <c r="R4" i="5"/>
  <c r="S4" i="5" s="1"/>
  <c r="T4" i="5" s="1"/>
  <c r="E33" i="7" l="1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68" i="1"/>
  <c r="E67" i="1"/>
  <c r="H60" i="1"/>
  <c r="G60" i="1"/>
  <c r="G59" i="1"/>
  <c r="L15" i="5"/>
  <c r="M15" i="5"/>
  <c r="N15" i="5"/>
  <c r="T14" i="5"/>
  <c r="T15" i="5" s="1"/>
  <c r="S14" i="5"/>
  <c r="S15" i="5" s="1"/>
  <c r="R14" i="5"/>
  <c r="R15" i="5" s="1"/>
  <c r="Q14" i="5"/>
  <c r="Q15" i="5" s="1"/>
  <c r="P14" i="5"/>
  <c r="P15" i="5" s="1"/>
  <c r="O14" i="5"/>
  <c r="O15" i="5" s="1"/>
  <c r="N14" i="5"/>
  <c r="M14" i="5"/>
  <c r="L14" i="5"/>
  <c r="K14" i="5"/>
  <c r="J14" i="5"/>
  <c r="I14" i="5"/>
  <c r="H14" i="5"/>
  <c r="G14" i="5"/>
  <c r="F14" i="5"/>
  <c r="E14" i="5"/>
  <c r="D14" i="5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H34" i="3"/>
  <c r="G34" i="3"/>
  <c r="F34" i="3"/>
  <c r="E34" i="3"/>
  <c r="I34" i="3"/>
  <c r="U11" i="3"/>
  <c r="T11" i="3"/>
  <c r="S11" i="3"/>
  <c r="R11" i="3"/>
  <c r="Q11" i="3"/>
  <c r="P11" i="3"/>
  <c r="O11" i="3"/>
  <c r="N11" i="3"/>
  <c r="H11" i="3"/>
  <c r="G11" i="3"/>
  <c r="F11" i="3"/>
  <c r="E11" i="3"/>
  <c r="D11" i="3"/>
  <c r="M11" i="3"/>
  <c r="L11" i="3"/>
  <c r="K11" i="3"/>
  <c r="J11" i="3"/>
  <c r="I11" i="3"/>
  <c r="H62" i="1"/>
  <c r="G62" i="1"/>
  <c r="F62" i="1"/>
  <c r="E62" i="1"/>
  <c r="D62" i="1"/>
  <c r="C62" i="1"/>
  <c r="H82" i="6"/>
  <c r="G82" i="6"/>
  <c r="F82" i="6"/>
  <c r="E82" i="6"/>
  <c r="D82" i="6"/>
  <c r="C82" i="6"/>
  <c r="H14" i="6" l="1"/>
  <c r="G14" i="6"/>
  <c r="F14" i="6"/>
  <c r="E14" i="6"/>
  <c r="Q57" i="6"/>
  <c r="P57" i="6"/>
  <c r="O57" i="6"/>
  <c r="N57" i="6"/>
  <c r="M57" i="6"/>
  <c r="L57" i="6"/>
  <c r="K57" i="6"/>
  <c r="Q56" i="6"/>
  <c r="P56" i="6"/>
  <c r="O56" i="6"/>
  <c r="N56" i="6"/>
  <c r="M56" i="6"/>
  <c r="L56" i="6"/>
  <c r="K56" i="6"/>
  <c r="Q55" i="6"/>
  <c r="P55" i="6"/>
  <c r="O55" i="6"/>
  <c r="N55" i="6"/>
  <c r="M55" i="6"/>
  <c r="L55" i="6"/>
  <c r="K55" i="6"/>
  <c r="Q54" i="6"/>
  <c r="P54" i="6"/>
  <c r="O54" i="6"/>
  <c r="N54" i="6"/>
  <c r="M54" i="6"/>
  <c r="L54" i="6"/>
  <c r="K54" i="6"/>
  <c r="Q53" i="6"/>
  <c r="P53" i="6"/>
  <c r="O53" i="6"/>
  <c r="N53" i="6"/>
  <c r="M53" i="6"/>
  <c r="L53" i="6"/>
  <c r="K53" i="6"/>
  <c r="Q52" i="6"/>
  <c r="P52" i="6"/>
  <c r="O52" i="6"/>
  <c r="N52" i="6"/>
  <c r="M52" i="6"/>
  <c r="L52" i="6"/>
  <c r="K52" i="6"/>
  <c r="Q51" i="6"/>
  <c r="P51" i="6"/>
  <c r="O51" i="6"/>
  <c r="N51" i="6"/>
  <c r="M51" i="6"/>
  <c r="L51" i="6"/>
  <c r="K51" i="6"/>
  <c r="Q50" i="6"/>
  <c r="P50" i="6"/>
  <c r="O50" i="6"/>
  <c r="N50" i="6"/>
  <c r="M50" i="6"/>
  <c r="L50" i="6"/>
  <c r="K50" i="6"/>
  <c r="Q49" i="6"/>
  <c r="P49" i="6"/>
  <c r="O49" i="6"/>
  <c r="N49" i="6"/>
  <c r="M49" i="6"/>
  <c r="L49" i="6"/>
  <c r="K49" i="6"/>
  <c r="J45" i="4"/>
  <c r="I45" i="4"/>
  <c r="H45" i="4"/>
  <c r="G45" i="4"/>
  <c r="F45" i="4"/>
  <c r="E45" i="4"/>
  <c r="D45" i="4"/>
  <c r="J44" i="4"/>
  <c r="I44" i="4"/>
  <c r="H44" i="4"/>
  <c r="G44" i="4"/>
  <c r="F44" i="4"/>
  <c r="E44" i="4"/>
  <c r="D44" i="4"/>
  <c r="J43" i="4"/>
  <c r="I43" i="4"/>
  <c r="H43" i="4"/>
  <c r="G43" i="4"/>
  <c r="F43" i="4"/>
  <c r="E43" i="4"/>
  <c r="D43" i="4"/>
  <c r="J42" i="4"/>
  <c r="I42" i="4"/>
  <c r="H42" i="4"/>
  <c r="G42" i="4"/>
  <c r="F42" i="4"/>
  <c r="E42" i="4"/>
  <c r="D42" i="4"/>
  <c r="J41" i="4"/>
  <c r="I41" i="4"/>
  <c r="H41" i="4"/>
  <c r="G41" i="4"/>
  <c r="F41" i="4"/>
  <c r="E41" i="4"/>
  <c r="D41" i="4"/>
  <c r="J40" i="4"/>
  <c r="I40" i="4"/>
  <c r="H40" i="4"/>
  <c r="G40" i="4"/>
  <c r="F40" i="4"/>
  <c r="E40" i="4"/>
  <c r="D40" i="4"/>
  <c r="J39" i="4"/>
  <c r="I39" i="4"/>
  <c r="H39" i="4"/>
  <c r="G39" i="4"/>
  <c r="F39" i="4"/>
  <c r="E39" i="4"/>
  <c r="D39" i="4"/>
  <c r="J38" i="4"/>
  <c r="I38" i="4"/>
  <c r="H38" i="4"/>
  <c r="G38" i="4"/>
  <c r="F38" i="4"/>
  <c r="E38" i="4"/>
  <c r="D38" i="4"/>
  <c r="J37" i="4"/>
  <c r="I37" i="4"/>
  <c r="H37" i="4"/>
  <c r="G37" i="4"/>
  <c r="F37" i="4"/>
  <c r="E37" i="4"/>
  <c r="D37" i="4"/>
  <c r="J36" i="4"/>
  <c r="I36" i="4"/>
  <c r="H36" i="4"/>
  <c r="G36" i="4"/>
  <c r="F36" i="4"/>
  <c r="E36" i="4"/>
  <c r="D36" i="4"/>
  <c r="E71" i="6"/>
  <c r="E70" i="6"/>
  <c r="E69" i="6"/>
  <c r="E68" i="6"/>
  <c r="E67" i="6"/>
  <c r="E66" i="6"/>
  <c r="E65" i="6"/>
  <c r="E64" i="6"/>
  <c r="E63" i="6"/>
  <c r="F27" i="6"/>
  <c r="G27" i="6" s="1"/>
  <c r="H27" i="6" s="1"/>
  <c r="F26" i="6"/>
  <c r="G26" i="6" s="1"/>
  <c r="H26" i="6" s="1"/>
  <c r="F25" i="6"/>
  <c r="G25" i="6" s="1"/>
  <c r="H25" i="6" s="1"/>
  <c r="F24" i="6"/>
  <c r="G24" i="6" s="1"/>
  <c r="H24" i="6" s="1"/>
  <c r="F23" i="6"/>
  <c r="G23" i="6" s="1"/>
  <c r="H23" i="6" s="1"/>
  <c r="F22" i="6"/>
  <c r="G22" i="6" s="1"/>
  <c r="H22" i="6" s="1"/>
  <c r="F21" i="6"/>
  <c r="G21" i="6" s="1"/>
  <c r="H21" i="6" s="1"/>
  <c r="F20" i="6"/>
  <c r="G20" i="6" s="1"/>
  <c r="H20" i="6" s="1"/>
  <c r="F19" i="6"/>
  <c r="G19" i="6" s="1"/>
  <c r="H19" i="6" s="1"/>
  <c r="F18" i="6"/>
  <c r="F62" i="6" s="1"/>
  <c r="D87" i="6"/>
  <c r="C87" i="6"/>
  <c r="K77" i="6"/>
  <c r="K78" i="6" s="1"/>
  <c r="J77" i="6"/>
  <c r="J78" i="6" s="1"/>
  <c r="I77" i="6"/>
  <c r="I78" i="6" s="1"/>
  <c r="H77" i="6"/>
  <c r="H78" i="6" s="1"/>
  <c r="G77" i="6"/>
  <c r="G78" i="6" s="1"/>
  <c r="F77" i="6"/>
  <c r="F78" i="6" s="1"/>
  <c r="E62" i="6"/>
  <c r="J58" i="6"/>
  <c r="I58" i="6"/>
  <c r="H58" i="6"/>
  <c r="G58" i="6"/>
  <c r="F58" i="6"/>
  <c r="E58" i="6"/>
  <c r="Q48" i="6"/>
  <c r="P48" i="6"/>
  <c r="O48" i="6"/>
  <c r="N48" i="6"/>
  <c r="M48" i="6"/>
  <c r="L48" i="6"/>
  <c r="K48" i="6"/>
  <c r="K42" i="6"/>
  <c r="J42" i="6"/>
  <c r="I42" i="6"/>
  <c r="H42" i="6"/>
  <c r="G42" i="6"/>
  <c r="F42" i="6"/>
  <c r="E42" i="6"/>
  <c r="E28" i="6"/>
  <c r="U10" i="5"/>
  <c r="V10" i="5" s="1"/>
  <c r="W10" i="5" s="1"/>
  <c r="X10" i="5" s="1"/>
  <c r="Y10" i="5" s="1"/>
  <c r="Z10" i="5" s="1"/>
  <c r="U9" i="5"/>
  <c r="V9" i="5" s="1"/>
  <c r="W9" i="5" s="1"/>
  <c r="X9" i="5" s="1"/>
  <c r="Y9" i="5" s="1"/>
  <c r="Z9" i="5" s="1"/>
  <c r="U8" i="5"/>
  <c r="V8" i="5" s="1"/>
  <c r="W8" i="5" s="1"/>
  <c r="X8" i="5" s="1"/>
  <c r="Y8" i="5" s="1"/>
  <c r="Z8" i="5" s="1"/>
  <c r="U7" i="5"/>
  <c r="V7" i="5" s="1"/>
  <c r="W7" i="5" s="1"/>
  <c r="X7" i="5" s="1"/>
  <c r="Y7" i="5" s="1"/>
  <c r="Z7" i="5" s="1"/>
  <c r="U6" i="5"/>
  <c r="V6" i="5" s="1"/>
  <c r="W6" i="5" s="1"/>
  <c r="X6" i="5" s="1"/>
  <c r="Y6" i="5" s="1"/>
  <c r="Z6" i="5" s="1"/>
  <c r="U5" i="5"/>
  <c r="V5" i="5" s="1"/>
  <c r="W5" i="5" s="1"/>
  <c r="X5" i="5" s="1"/>
  <c r="Y5" i="5" s="1"/>
  <c r="Z5" i="5" s="1"/>
  <c r="U4" i="5"/>
  <c r="U13" i="5"/>
  <c r="V13" i="5" s="1"/>
  <c r="W13" i="5" s="1"/>
  <c r="X13" i="5" s="1"/>
  <c r="Y13" i="5" s="1"/>
  <c r="Z13" i="5" s="1"/>
  <c r="U12" i="5"/>
  <c r="V12" i="5" s="1"/>
  <c r="W12" i="5" s="1"/>
  <c r="X12" i="5" s="1"/>
  <c r="Y12" i="5" s="1"/>
  <c r="Z12" i="5" s="1"/>
  <c r="U11" i="5"/>
  <c r="V11" i="5" s="1"/>
  <c r="W11" i="5" s="1"/>
  <c r="X11" i="5" s="1"/>
  <c r="Y11" i="5" s="1"/>
  <c r="Z11" i="5" s="1"/>
  <c r="Q28" i="5"/>
  <c r="P28" i="5"/>
  <c r="O28" i="5"/>
  <c r="N28" i="5"/>
  <c r="M28" i="5"/>
  <c r="L28" i="5"/>
  <c r="Q27" i="5"/>
  <c r="P27" i="5"/>
  <c r="O27" i="5"/>
  <c r="N27" i="5"/>
  <c r="M27" i="5"/>
  <c r="L27" i="5"/>
  <c r="P26" i="5"/>
  <c r="O26" i="5"/>
  <c r="N26" i="5"/>
  <c r="M26" i="5"/>
  <c r="L26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K30" i="1"/>
  <c r="D67" i="1"/>
  <c r="C67" i="1"/>
  <c r="J42" i="1"/>
  <c r="I42" i="1"/>
  <c r="H42" i="1"/>
  <c r="G42" i="1"/>
  <c r="F42" i="1"/>
  <c r="E42" i="1"/>
  <c r="J28" i="4"/>
  <c r="I28" i="4"/>
  <c r="H28" i="4"/>
  <c r="G28" i="4"/>
  <c r="F28" i="4"/>
  <c r="E28" i="4"/>
  <c r="D28" i="4"/>
  <c r="J27" i="4"/>
  <c r="I27" i="4"/>
  <c r="H27" i="4"/>
  <c r="G27" i="4"/>
  <c r="F27" i="4"/>
  <c r="E27" i="4"/>
  <c r="D27" i="4"/>
  <c r="J26" i="4"/>
  <c r="I26" i="4"/>
  <c r="H26" i="4"/>
  <c r="G26" i="4"/>
  <c r="F26" i="4"/>
  <c r="E26" i="4"/>
  <c r="D26" i="4"/>
  <c r="J25" i="4"/>
  <c r="I25" i="4"/>
  <c r="H25" i="4"/>
  <c r="G25" i="4"/>
  <c r="F25" i="4"/>
  <c r="E25" i="4"/>
  <c r="D25" i="4"/>
  <c r="J24" i="4"/>
  <c r="I24" i="4"/>
  <c r="H24" i="4"/>
  <c r="G24" i="4"/>
  <c r="F24" i="4"/>
  <c r="E24" i="4"/>
  <c r="D24" i="4"/>
  <c r="J23" i="4"/>
  <c r="I23" i="4"/>
  <c r="H23" i="4"/>
  <c r="G23" i="4"/>
  <c r="F23" i="4"/>
  <c r="E23" i="4"/>
  <c r="D23" i="4"/>
  <c r="K57" i="1"/>
  <c r="K58" i="1" s="1"/>
  <c r="J57" i="1"/>
  <c r="J58" i="1" s="1"/>
  <c r="I57" i="1"/>
  <c r="I58" i="1" s="1"/>
  <c r="H57" i="1"/>
  <c r="H58" i="1" s="1"/>
  <c r="G57" i="1"/>
  <c r="G58" i="1" s="1"/>
  <c r="F57" i="1"/>
  <c r="F58" i="1" s="1"/>
  <c r="K41" i="1"/>
  <c r="K40" i="1"/>
  <c r="K39" i="1"/>
  <c r="K38" i="1"/>
  <c r="K37" i="1"/>
  <c r="K36" i="1"/>
  <c r="E51" i="1"/>
  <c r="E50" i="1"/>
  <c r="E49" i="1"/>
  <c r="E48" i="1"/>
  <c r="E47" i="1"/>
  <c r="E46" i="1"/>
  <c r="F19" i="1"/>
  <c r="F51" i="1" s="1"/>
  <c r="F18" i="1"/>
  <c r="G18" i="1" s="1"/>
  <c r="G50" i="1" s="1"/>
  <c r="F17" i="1"/>
  <c r="G17" i="1" s="1"/>
  <c r="G49" i="1" s="1"/>
  <c r="F16" i="1"/>
  <c r="F48" i="1" s="1"/>
  <c r="F15" i="1"/>
  <c r="F47" i="1" s="1"/>
  <c r="F14" i="1"/>
  <c r="F46" i="1" s="1"/>
  <c r="Q41" i="1"/>
  <c r="P41" i="1"/>
  <c r="O41" i="1"/>
  <c r="N41" i="1"/>
  <c r="M41" i="1"/>
  <c r="L41" i="1"/>
  <c r="Q40" i="1"/>
  <c r="P40" i="1"/>
  <c r="O40" i="1"/>
  <c r="N40" i="1"/>
  <c r="M40" i="1"/>
  <c r="L40" i="1"/>
  <c r="Q39" i="1"/>
  <c r="P39" i="1"/>
  <c r="O39" i="1"/>
  <c r="N39" i="1"/>
  <c r="M39" i="1"/>
  <c r="L39" i="1"/>
  <c r="Q38" i="1"/>
  <c r="P38" i="1"/>
  <c r="O38" i="1"/>
  <c r="N38" i="1"/>
  <c r="M38" i="1"/>
  <c r="L38" i="1"/>
  <c r="Q37" i="1"/>
  <c r="P37" i="1"/>
  <c r="O37" i="1"/>
  <c r="N37" i="1"/>
  <c r="M37" i="1"/>
  <c r="L37" i="1"/>
  <c r="Q36" i="1"/>
  <c r="P36" i="1"/>
  <c r="O36" i="1"/>
  <c r="N36" i="1"/>
  <c r="M36" i="1"/>
  <c r="L36" i="1"/>
  <c r="J30" i="1"/>
  <c r="I30" i="1"/>
  <c r="H30" i="1"/>
  <c r="G30" i="1"/>
  <c r="F30" i="1"/>
  <c r="V4" i="5" l="1"/>
  <c r="U14" i="5"/>
  <c r="E46" i="4"/>
  <c r="E47" i="4" s="1"/>
  <c r="E48" i="4" s="1"/>
  <c r="F44" i="6" s="1"/>
  <c r="J46" i="4"/>
  <c r="J47" i="4" s="1"/>
  <c r="J48" i="4" s="1"/>
  <c r="K44" i="6" s="1"/>
  <c r="H66" i="6"/>
  <c r="F64" i="6"/>
  <c r="F66" i="6"/>
  <c r="G64" i="6"/>
  <c r="H64" i="6"/>
  <c r="F70" i="6"/>
  <c r="G70" i="6"/>
  <c r="H70" i="6"/>
  <c r="G66" i="6"/>
  <c r="F63" i="6"/>
  <c r="G63" i="6"/>
  <c r="F65" i="6"/>
  <c r="F67" i="6"/>
  <c r="F69" i="6"/>
  <c r="F71" i="6"/>
  <c r="G65" i="6"/>
  <c r="G67" i="6"/>
  <c r="G69" i="6"/>
  <c r="G71" i="6"/>
  <c r="H63" i="6"/>
  <c r="H65" i="6"/>
  <c r="H67" i="6"/>
  <c r="H69" i="6"/>
  <c r="H71" i="6"/>
  <c r="F68" i="6"/>
  <c r="G68" i="6"/>
  <c r="H68" i="6"/>
  <c r="H46" i="4"/>
  <c r="H47" i="4" s="1"/>
  <c r="I46" i="4"/>
  <c r="I47" i="4" s="1"/>
  <c r="G46" i="4"/>
  <c r="G47" i="4" s="1"/>
  <c r="F46" i="4"/>
  <c r="F47" i="4" s="1"/>
  <c r="D46" i="4"/>
  <c r="D47" i="4" s="1"/>
  <c r="Q58" i="6"/>
  <c r="E72" i="6"/>
  <c r="K58" i="6"/>
  <c r="L58" i="6"/>
  <c r="M58" i="6"/>
  <c r="N58" i="6"/>
  <c r="O58" i="6"/>
  <c r="P58" i="6"/>
  <c r="F28" i="6"/>
  <c r="G18" i="6"/>
  <c r="L42" i="1"/>
  <c r="K42" i="1"/>
  <c r="Q42" i="1"/>
  <c r="P42" i="1"/>
  <c r="O42" i="1"/>
  <c r="N42" i="1"/>
  <c r="M42" i="1"/>
  <c r="F50" i="1"/>
  <c r="E52" i="1"/>
  <c r="I29" i="4"/>
  <c r="I30" i="4" s="1"/>
  <c r="J29" i="4"/>
  <c r="J30" i="4" s="1"/>
  <c r="F49" i="1"/>
  <c r="F29" i="4"/>
  <c r="F30" i="4" s="1"/>
  <c r="D29" i="4"/>
  <c r="D30" i="4" s="1"/>
  <c r="G29" i="4"/>
  <c r="G30" i="4" s="1"/>
  <c r="H29" i="4"/>
  <c r="H30" i="4" s="1"/>
  <c r="E29" i="4"/>
  <c r="E30" i="4" s="1"/>
  <c r="H17" i="1"/>
  <c r="H49" i="1" s="1"/>
  <c r="H18" i="1"/>
  <c r="H50" i="1" s="1"/>
  <c r="G16" i="1"/>
  <c r="G48" i="1" s="1"/>
  <c r="G15" i="1"/>
  <c r="G47" i="1" s="1"/>
  <c r="G19" i="1"/>
  <c r="G51" i="1" s="1"/>
  <c r="G14" i="1"/>
  <c r="G46" i="1" s="1"/>
  <c r="E30" i="1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A32" i="3"/>
  <c r="Z32" i="3"/>
  <c r="Y32" i="3"/>
  <c r="X32" i="3"/>
  <c r="W32" i="3"/>
  <c r="V32" i="3"/>
  <c r="U32" i="3"/>
  <c r="T32" i="3"/>
  <c r="S32" i="3"/>
  <c r="R32" i="3"/>
  <c r="Q32" i="3"/>
  <c r="P32" i="3"/>
  <c r="AB32" i="3" s="1"/>
  <c r="AB9" i="3" s="1"/>
  <c r="AC9" i="3" s="1"/>
  <c r="AD9" i="3" s="1"/>
  <c r="AE9" i="3" s="1"/>
  <c r="AF9" i="3" s="1"/>
  <c r="AG9" i="3" s="1"/>
  <c r="O32" i="3"/>
  <c r="N32" i="3"/>
  <c r="M32" i="3"/>
  <c r="L32" i="3"/>
  <c r="K32" i="3"/>
  <c r="J32" i="3"/>
  <c r="I32" i="3"/>
  <c r="H32" i="3"/>
  <c r="G32" i="3"/>
  <c r="F32" i="3"/>
  <c r="E32" i="3"/>
  <c r="AA31" i="3"/>
  <c r="Z31" i="3"/>
  <c r="Y31" i="3"/>
  <c r="X31" i="3"/>
  <c r="W31" i="3"/>
  <c r="V31" i="3"/>
  <c r="U31" i="3"/>
  <c r="T31" i="3"/>
  <c r="S31" i="3"/>
  <c r="R31" i="3"/>
  <c r="Q31" i="3"/>
  <c r="P31" i="3"/>
  <c r="AB31" i="3" s="1"/>
  <c r="AB8" i="3" s="1"/>
  <c r="AC8" i="3" s="1"/>
  <c r="AD8" i="3" s="1"/>
  <c r="AE8" i="3" s="1"/>
  <c r="AF8" i="3" s="1"/>
  <c r="AG8" i="3" s="1"/>
  <c r="O31" i="3"/>
  <c r="N31" i="3"/>
  <c r="M31" i="3"/>
  <c r="L31" i="3"/>
  <c r="K31" i="3"/>
  <c r="J31" i="3"/>
  <c r="I31" i="3"/>
  <c r="H31" i="3"/>
  <c r="G31" i="3"/>
  <c r="F31" i="3"/>
  <c r="E31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A28" i="3"/>
  <c r="Z28" i="3"/>
  <c r="Y28" i="3"/>
  <c r="X28" i="3"/>
  <c r="W28" i="3"/>
  <c r="V28" i="3"/>
  <c r="U28" i="3"/>
  <c r="T28" i="3"/>
  <c r="S28" i="3"/>
  <c r="R28" i="3"/>
  <c r="Q28" i="3"/>
  <c r="P28" i="3"/>
  <c r="AB28" i="3" s="1"/>
  <c r="AB5" i="3" s="1"/>
  <c r="O28" i="3"/>
  <c r="N28" i="3"/>
  <c r="M28" i="3"/>
  <c r="L28" i="3"/>
  <c r="K28" i="3"/>
  <c r="J28" i="3"/>
  <c r="I28" i="3"/>
  <c r="H28" i="3"/>
  <c r="G28" i="3"/>
  <c r="F28" i="3"/>
  <c r="E28" i="3"/>
  <c r="O23" i="3"/>
  <c r="N23" i="3"/>
  <c r="M23" i="3"/>
  <c r="L23" i="3"/>
  <c r="K23" i="3"/>
  <c r="J23" i="3"/>
  <c r="I23" i="3"/>
  <c r="H23" i="3"/>
  <c r="G23" i="3"/>
  <c r="F23" i="3"/>
  <c r="E23" i="3"/>
  <c r="D23" i="3"/>
  <c r="O20" i="3"/>
  <c r="N20" i="3"/>
  <c r="M20" i="3"/>
  <c r="L20" i="3"/>
  <c r="K20" i="3"/>
  <c r="J20" i="3"/>
  <c r="I20" i="3"/>
  <c r="AA11" i="3"/>
  <c r="Z11" i="3"/>
  <c r="Y11" i="3"/>
  <c r="X11" i="3"/>
  <c r="W11" i="3"/>
  <c r="V11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W4" i="5" l="1"/>
  <c r="V14" i="5"/>
  <c r="AB29" i="3"/>
  <c r="AB6" i="3" s="1"/>
  <c r="AC6" i="3" s="1"/>
  <c r="AD6" i="3" s="1"/>
  <c r="AE6" i="3" s="1"/>
  <c r="AF6" i="3" s="1"/>
  <c r="AG6" i="3" s="1"/>
  <c r="AB33" i="3"/>
  <c r="AB10" i="3" s="1"/>
  <c r="AC10" i="3" s="1"/>
  <c r="AD10" i="3" s="1"/>
  <c r="AE10" i="3" s="1"/>
  <c r="AF10" i="3" s="1"/>
  <c r="AG10" i="3" s="1"/>
  <c r="AB30" i="3"/>
  <c r="AB7" i="3" s="1"/>
  <c r="AC7" i="3" s="1"/>
  <c r="AD7" i="3" s="1"/>
  <c r="AE7" i="3" s="1"/>
  <c r="AF7" i="3" s="1"/>
  <c r="AG7" i="3" s="1"/>
  <c r="D48" i="4"/>
  <c r="E44" i="6" s="1"/>
  <c r="E43" i="6"/>
  <c r="F48" i="4"/>
  <c r="G44" i="6" s="1"/>
  <c r="G43" i="6"/>
  <c r="D83" i="6" s="1"/>
  <c r="D84" i="6" s="1"/>
  <c r="F43" i="6"/>
  <c r="C83" i="6" s="1"/>
  <c r="K43" i="6"/>
  <c r="H83" i="6" s="1"/>
  <c r="H84" i="6" s="1"/>
  <c r="I48" i="4"/>
  <c r="J44" i="6" s="1"/>
  <c r="J43" i="6"/>
  <c r="G83" i="6" s="1"/>
  <c r="G84" i="6" s="1"/>
  <c r="H48" i="4"/>
  <c r="I44" i="6" s="1"/>
  <c r="I43" i="6"/>
  <c r="F83" i="6" s="1"/>
  <c r="G48" i="4"/>
  <c r="H44" i="6" s="1"/>
  <c r="H43" i="6"/>
  <c r="E83" i="6" s="1"/>
  <c r="E84" i="6" s="1"/>
  <c r="H31" i="1"/>
  <c r="E63" i="1" s="1"/>
  <c r="E31" i="1"/>
  <c r="I31" i="1"/>
  <c r="F63" i="1" s="1"/>
  <c r="F64" i="1" s="1"/>
  <c r="G31" i="1"/>
  <c r="D63" i="1" s="1"/>
  <c r="D64" i="1" s="1"/>
  <c r="J31" i="1"/>
  <c r="G63" i="1" s="1"/>
  <c r="G64" i="1" s="1"/>
  <c r="F31" i="1"/>
  <c r="C63" i="1" s="1"/>
  <c r="C64" i="1" s="1"/>
  <c r="F72" i="6"/>
  <c r="G62" i="6"/>
  <c r="G72" i="6" s="1"/>
  <c r="G28" i="6"/>
  <c r="F52" i="1"/>
  <c r="E64" i="1"/>
  <c r="I31" i="4"/>
  <c r="K31" i="1"/>
  <c r="H63" i="1" s="1"/>
  <c r="H64" i="1" s="1"/>
  <c r="G52" i="1"/>
  <c r="J31" i="4"/>
  <c r="E31" i="4"/>
  <c r="H31" i="4"/>
  <c r="G31" i="4"/>
  <c r="D31" i="4"/>
  <c r="F31" i="4"/>
  <c r="H14" i="1"/>
  <c r="H46" i="1" s="1"/>
  <c r="H19" i="1"/>
  <c r="H51" i="1" s="1"/>
  <c r="H15" i="1"/>
  <c r="H47" i="1" s="1"/>
  <c r="H16" i="1"/>
  <c r="H48" i="1" s="1"/>
  <c r="I18" i="1"/>
  <c r="I50" i="1" s="1"/>
  <c r="I17" i="1"/>
  <c r="I49" i="1" s="1"/>
  <c r="AB11" i="3"/>
  <c r="AC5" i="3"/>
  <c r="X4" i="5" l="1"/>
  <c r="W14" i="5"/>
  <c r="C88" i="6"/>
  <c r="C89" i="6" s="1"/>
  <c r="C84" i="6"/>
  <c r="D88" i="6"/>
  <c r="D89" i="6" s="1"/>
  <c r="F84" i="6"/>
  <c r="C68" i="1"/>
  <c r="C69" i="1" s="1"/>
  <c r="H28" i="6"/>
  <c r="H62" i="6"/>
  <c r="H72" i="6" s="1"/>
  <c r="D68" i="1"/>
  <c r="D69" i="1" s="1"/>
  <c r="H52" i="1"/>
  <c r="F32" i="1"/>
  <c r="K32" i="1"/>
  <c r="G32" i="1"/>
  <c r="E32" i="1"/>
  <c r="H32" i="1"/>
  <c r="I32" i="1"/>
  <c r="J32" i="1"/>
  <c r="J18" i="1"/>
  <c r="J50" i="1" s="1"/>
  <c r="J17" i="1"/>
  <c r="J49" i="1" s="1"/>
  <c r="I15" i="1"/>
  <c r="I47" i="1" s="1"/>
  <c r="I16" i="1"/>
  <c r="I48" i="1" s="1"/>
  <c r="I19" i="1"/>
  <c r="I51" i="1" s="1"/>
  <c r="I14" i="1"/>
  <c r="I46" i="1" s="1"/>
  <c r="AD5" i="3"/>
  <c r="AC11" i="3"/>
  <c r="Y4" i="5" l="1"/>
  <c r="X14" i="5"/>
  <c r="I52" i="1"/>
  <c r="J19" i="1"/>
  <c r="J51" i="1" s="1"/>
  <c r="J16" i="1"/>
  <c r="J48" i="1" s="1"/>
  <c r="J15" i="1"/>
  <c r="J47" i="1" s="1"/>
  <c r="J14" i="1"/>
  <c r="J46" i="1" s="1"/>
  <c r="K17" i="1"/>
  <c r="K49" i="1" s="1"/>
  <c r="K18" i="1"/>
  <c r="K50" i="1" s="1"/>
  <c r="AE5" i="3"/>
  <c r="AD11" i="3"/>
  <c r="Z4" i="5" l="1"/>
  <c r="Z14" i="5" s="1"/>
  <c r="Y14" i="5"/>
  <c r="J52" i="1"/>
  <c r="L18" i="1"/>
  <c r="L50" i="1" s="1"/>
  <c r="L17" i="1"/>
  <c r="L49" i="1" s="1"/>
  <c r="K15" i="1"/>
  <c r="K47" i="1" s="1"/>
  <c r="K14" i="1"/>
  <c r="K46" i="1" s="1"/>
  <c r="K16" i="1"/>
  <c r="K48" i="1" s="1"/>
  <c r="K19" i="1"/>
  <c r="K51" i="1" s="1"/>
  <c r="AF5" i="3"/>
  <c r="AE11" i="3"/>
  <c r="K52" i="1" l="1"/>
  <c r="L19" i="1"/>
  <c r="L51" i="1" s="1"/>
  <c r="L15" i="1"/>
  <c r="L47" i="1" s="1"/>
  <c r="L16" i="1"/>
  <c r="L48" i="1" s="1"/>
  <c r="M17" i="1"/>
  <c r="M49" i="1" s="1"/>
  <c r="L14" i="1"/>
  <c r="L46" i="1" s="1"/>
  <c r="M18" i="1"/>
  <c r="M50" i="1" s="1"/>
  <c r="AG5" i="3"/>
  <c r="AG11" i="3" s="1"/>
  <c r="AF11" i="3"/>
  <c r="L52" i="1" l="1"/>
  <c r="N18" i="1"/>
  <c r="N50" i="1" s="1"/>
  <c r="N17" i="1"/>
  <c r="N49" i="1" s="1"/>
  <c r="M14" i="1"/>
  <c r="M16" i="1"/>
  <c r="M48" i="1" s="1"/>
  <c r="M15" i="1"/>
  <c r="M47" i="1" s="1"/>
  <c r="M19" i="1"/>
  <c r="M51" i="1" s="1"/>
  <c r="N14" i="1" l="1"/>
  <c r="M46" i="1"/>
  <c r="M52" i="1" s="1"/>
  <c r="N15" i="1"/>
  <c r="N47" i="1" s="1"/>
  <c r="N19" i="1"/>
  <c r="N51" i="1" s="1"/>
  <c r="N16" i="1"/>
  <c r="N48" i="1" s="1"/>
  <c r="O17" i="1"/>
  <c r="O49" i="1" s="1"/>
  <c r="O18" i="1"/>
  <c r="O50" i="1" s="1"/>
  <c r="O14" i="1" l="1"/>
  <c r="N46" i="1"/>
  <c r="N52" i="1" s="1"/>
  <c r="P18" i="1"/>
  <c r="P50" i="1" s="1"/>
  <c r="P17" i="1"/>
  <c r="P49" i="1" s="1"/>
  <c r="O15" i="1"/>
  <c r="O47" i="1" s="1"/>
  <c r="O16" i="1"/>
  <c r="O48" i="1" s="1"/>
  <c r="O19" i="1"/>
  <c r="O51" i="1" s="1"/>
  <c r="K20" i="1"/>
  <c r="J20" i="1"/>
  <c r="I20" i="1"/>
  <c r="H20" i="1"/>
  <c r="G20" i="1"/>
  <c r="F20" i="1"/>
  <c r="E20" i="1"/>
  <c r="K10" i="1"/>
  <c r="J10" i="1"/>
  <c r="I10" i="1"/>
  <c r="H10" i="1"/>
  <c r="G10" i="1"/>
  <c r="F10" i="1"/>
  <c r="E10" i="1"/>
  <c r="P14" i="1" l="1"/>
  <c r="O46" i="1"/>
  <c r="O52" i="1" s="1"/>
  <c r="P15" i="1"/>
  <c r="P47" i="1" s="1"/>
  <c r="P16" i="1"/>
  <c r="P48" i="1" s="1"/>
  <c r="Q17" i="1"/>
  <c r="Q49" i="1" s="1"/>
  <c r="P19" i="1"/>
  <c r="P51" i="1" s="1"/>
  <c r="Q18" i="1"/>
  <c r="Q50" i="1" s="1"/>
  <c r="N20" i="1"/>
  <c r="M20" i="1"/>
  <c r="L20" i="1"/>
  <c r="Q14" i="1" l="1"/>
  <c r="Q46" i="1" s="1"/>
  <c r="P46" i="1"/>
  <c r="P52" i="1" s="1"/>
  <c r="Q16" i="1"/>
  <c r="Q48" i="1" s="1"/>
  <c r="Q15" i="1"/>
  <c r="Q47" i="1" s="1"/>
  <c r="Q19" i="1"/>
  <c r="Q51" i="1" s="1"/>
  <c r="O20" i="1"/>
  <c r="Q52" i="1" l="1"/>
  <c r="P20" i="1"/>
  <c r="Q20" i="1" l="1"/>
  <c r="J20" i="6"/>
  <c r="J64" i="6" s="1"/>
  <c r="Q14" i="6"/>
  <c r="N14" i="6"/>
  <c r="O14" i="6"/>
  <c r="P14" i="6"/>
  <c r="I14" i="6"/>
  <c r="J14" i="6"/>
  <c r="K14" i="6"/>
  <c r="I66" i="6"/>
  <c r="L14" i="6"/>
  <c r="M14" i="6"/>
  <c r="I27" i="6"/>
  <c r="I71" i="6" s="1"/>
  <c r="I26" i="6"/>
  <c r="I70" i="6" s="1"/>
  <c r="I25" i="6"/>
  <c r="I69" i="6" s="1"/>
  <c r="I24" i="6"/>
  <c r="J24" i="6" s="1"/>
  <c r="I23" i="6"/>
  <c r="I67" i="6" s="1"/>
  <c r="I22" i="6"/>
  <c r="J22" i="6" s="1"/>
  <c r="I21" i="6"/>
  <c r="I65" i="6" s="1"/>
  <c r="I20" i="6"/>
  <c r="I64" i="6" s="1"/>
  <c r="I19" i="6"/>
  <c r="J19" i="6" s="1"/>
  <c r="I18" i="6"/>
  <c r="J18" i="6" s="1"/>
  <c r="J63" i="6" l="1"/>
  <c r="K19" i="6"/>
  <c r="J62" i="6"/>
  <c r="K18" i="6"/>
  <c r="K22" i="6"/>
  <c r="J66" i="6"/>
  <c r="J68" i="6"/>
  <c r="K24" i="6"/>
  <c r="J25" i="6"/>
  <c r="J27" i="6"/>
  <c r="J21" i="6"/>
  <c r="J23" i="6"/>
  <c r="I62" i="6"/>
  <c r="I28" i="6"/>
  <c r="I68" i="6"/>
  <c r="I63" i="6"/>
  <c r="K20" i="6"/>
  <c r="J26" i="6"/>
  <c r="K25" i="6" l="1"/>
  <c r="J69" i="6"/>
  <c r="K21" i="6"/>
  <c r="K28" i="6" s="1"/>
  <c r="J65" i="6"/>
  <c r="L22" i="6"/>
  <c r="K66" i="6"/>
  <c r="L24" i="6"/>
  <c r="K68" i="6"/>
  <c r="L18" i="6"/>
  <c r="K62" i="6"/>
  <c r="J28" i="6"/>
  <c r="K27" i="6"/>
  <c r="J71" i="6"/>
  <c r="J70" i="6"/>
  <c r="K26" i="6"/>
  <c r="K64" i="6"/>
  <c r="L20" i="6"/>
  <c r="I72" i="6"/>
  <c r="L19" i="6"/>
  <c r="K63" i="6"/>
  <c r="J67" i="6"/>
  <c r="J72" i="6" s="1"/>
  <c r="K23" i="6"/>
  <c r="L23" i="6" l="1"/>
  <c r="K67" i="6"/>
  <c r="M24" i="6"/>
  <c r="L68" i="6"/>
  <c r="L27" i="6"/>
  <c r="K71" i="6"/>
  <c r="K72" i="6"/>
  <c r="M19" i="6"/>
  <c r="L63" i="6"/>
  <c r="L62" i="6"/>
  <c r="M18" i="6"/>
  <c r="M20" i="6"/>
  <c r="L64" i="6"/>
  <c r="K70" i="6"/>
  <c r="L26" i="6"/>
  <c r="M22" i="6"/>
  <c r="L66" i="6"/>
  <c r="K65" i="6"/>
  <c r="L21" i="6"/>
  <c r="L25" i="6"/>
  <c r="K69" i="6"/>
  <c r="L28" i="6" l="1"/>
  <c r="N20" i="6"/>
  <c r="M64" i="6"/>
  <c r="N19" i="6"/>
  <c r="M63" i="6"/>
  <c r="M66" i="6"/>
  <c r="N22" i="6"/>
  <c r="N18" i="6"/>
  <c r="M62" i="6"/>
  <c r="L65" i="6"/>
  <c r="L72" i="6" s="1"/>
  <c r="M21" i="6"/>
  <c r="L71" i="6"/>
  <c r="M27" i="6"/>
  <c r="M26" i="6"/>
  <c r="L70" i="6"/>
  <c r="M68" i="6"/>
  <c r="N24" i="6"/>
  <c r="M23" i="6"/>
  <c r="L67" i="6"/>
  <c r="L69" i="6"/>
  <c r="M25" i="6"/>
  <c r="M65" i="6" l="1"/>
  <c r="N21" i="6"/>
  <c r="N25" i="6"/>
  <c r="M69" i="6"/>
  <c r="N66" i="6"/>
  <c r="O22" i="6"/>
  <c r="N63" i="6"/>
  <c r="O19" i="6"/>
  <c r="N23" i="6"/>
  <c r="M67" i="6"/>
  <c r="N27" i="6"/>
  <c r="M71" i="6"/>
  <c r="M28" i="6"/>
  <c r="O18" i="6"/>
  <c r="N62" i="6"/>
  <c r="N68" i="6"/>
  <c r="O24" i="6"/>
  <c r="M70" i="6"/>
  <c r="N26" i="6"/>
  <c r="O20" i="6"/>
  <c r="N64" i="6"/>
  <c r="M72" i="6" l="1"/>
  <c r="N28" i="6"/>
  <c r="N70" i="6"/>
  <c r="O26" i="6"/>
  <c r="O23" i="6"/>
  <c r="N67" i="6"/>
  <c r="O62" i="6"/>
  <c r="P18" i="6"/>
  <c r="O64" i="6"/>
  <c r="P20" i="6"/>
  <c r="P19" i="6"/>
  <c r="O63" i="6"/>
  <c r="P24" i="6"/>
  <c r="O68" i="6"/>
  <c r="P22" i="6"/>
  <c r="O66" i="6"/>
  <c r="O25" i="6"/>
  <c r="N69" i="6"/>
  <c r="N71" i="6"/>
  <c r="O27" i="6"/>
  <c r="N65" i="6"/>
  <c r="N72" i="6" s="1"/>
  <c r="O21" i="6"/>
  <c r="Q20" i="6" l="1"/>
  <c r="Q64" i="6" s="1"/>
  <c r="P64" i="6"/>
  <c r="Q18" i="6"/>
  <c r="P62" i="6"/>
  <c r="P66" i="6"/>
  <c r="Q22" i="6"/>
  <c r="Q66" i="6" s="1"/>
  <c r="P23" i="6"/>
  <c r="O67" i="6"/>
  <c r="P63" i="6"/>
  <c r="Q19" i="6"/>
  <c r="Q63" i="6" s="1"/>
  <c r="P27" i="6"/>
  <c r="O71" i="6"/>
  <c r="O65" i="6"/>
  <c r="P21" i="6"/>
  <c r="O28" i="6"/>
  <c r="P25" i="6"/>
  <c r="O69" i="6"/>
  <c r="O70" i="6"/>
  <c r="P26" i="6"/>
  <c r="P68" i="6"/>
  <c r="Q24" i="6"/>
  <c r="Q68" i="6" s="1"/>
  <c r="O72" i="6" l="1"/>
  <c r="P28" i="6"/>
  <c r="Q26" i="6"/>
  <c r="Q70" i="6" s="1"/>
  <c r="P70" i="6"/>
  <c r="Q62" i="6"/>
  <c r="P67" i="6"/>
  <c r="Q23" i="6"/>
  <c r="Q67" i="6" s="1"/>
  <c r="P69" i="6"/>
  <c r="Q25" i="6"/>
  <c r="Q69" i="6" s="1"/>
  <c r="Q21" i="6"/>
  <c r="Q65" i="6" s="1"/>
  <c r="P65" i="6"/>
  <c r="Q27" i="6"/>
  <c r="Q71" i="6" s="1"/>
  <c r="P71" i="6"/>
  <c r="P72" i="6" l="1"/>
  <c r="Q72" i="6"/>
  <c r="Q28" i="6"/>
</calcChain>
</file>

<file path=xl/sharedStrings.xml><?xml version="1.0" encoding="utf-8"?>
<sst xmlns="http://schemas.openxmlformats.org/spreadsheetml/2006/main" count="456" uniqueCount="80">
  <si>
    <t>발주 목표</t>
    <phoneticPr fontId="2" type="noConversion"/>
  </si>
  <si>
    <t>차이</t>
    <phoneticPr fontId="2" type="noConversion"/>
  </si>
  <si>
    <t>Sales</t>
  </si>
  <si>
    <t>Mar.</t>
  </si>
  <si>
    <t>Apr.</t>
  </si>
  <si>
    <t>May.</t>
  </si>
  <si>
    <t>Jun.</t>
  </si>
  <si>
    <t>July</t>
  </si>
  <si>
    <t>Aug.</t>
  </si>
  <si>
    <t>Sep.</t>
  </si>
  <si>
    <t>Oct.</t>
  </si>
  <si>
    <t>Nov.</t>
  </si>
  <si>
    <t>Dec.</t>
  </si>
  <si>
    <t>PN</t>
  </si>
  <si>
    <t>PF</t>
  </si>
  <si>
    <t>Total</t>
  </si>
  <si>
    <t>Stock(CU)</t>
  </si>
  <si>
    <t>Supply (arrival)</t>
  </si>
  <si>
    <t>July.</t>
  </si>
  <si>
    <t>발주 금액(KRW)</t>
  </si>
  <si>
    <t>Jan.</t>
  </si>
  <si>
    <t>Feb.</t>
  </si>
  <si>
    <t>3Q</t>
    <phoneticPr fontId="2" type="noConversion"/>
  </si>
  <si>
    <t>4Q</t>
    <phoneticPr fontId="2" type="noConversion"/>
  </si>
  <si>
    <t>Pre</t>
  </si>
  <si>
    <t>Kinder</t>
  </si>
  <si>
    <t>AR</t>
  </si>
  <si>
    <t>Comfort</t>
  </si>
  <si>
    <t>Sales
CU</t>
  </si>
  <si>
    <t>*전월 대비 증감</t>
    <phoneticPr fontId="2" type="noConversion"/>
  </si>
  <si>
    <t>23년</t>
    <phoneticPr fontId="2" type="noConversion"/>
  </si>
  <si>
    <t>24년</t>
    <phoneticPr fontId="2" type="noConversion"/>
  </si>
  <si>
    <r>
      <rPr>
        <b/>
        <sz val="10"/>
        <color theme="1"/>
        <rFont val="맑은 고딕"/>
        <family val="2"/>
        <charset val="129"/>
      </rPr>
      <t>평균</t>
    </r>
    <phoneticPr fontId="2" type="noConversion"/>
  </si>
  <si>
    <t>입고량</t>
    <phoneticPr fontId="2" type="noConversion"/>
  </si>
  <si>
    <t>구분</t>
  </si>
  <si>
    <t>코드</t>
  </si>
  <si>
    <t>박스 금액</t>
  </si>
  <si>
    <t>캔당금액</t>
  </si>
  <si>
    <t>환율</t>
  </si>
  <si>
    <t>내수</t>
  </si>
  <si>
    <t>APTAMIL 1 KOR 4X800G</t>
  </si>
  <si>
    <t>APTAMIL 2 KOR 4X800G</t>
  </si>
  <si>
    <t>APTAMIL 3 KOR 4X800G</t>
  </si>
  <si>
    <t>APTAMIL PROFUTURA 1 4X800G KOR</t>
  </si>
  <si>
    <t>APTAMIL PROFUTURA 2 4X800G KOR</t>
  </si>
  <si>
    <t>APTAMIL PROFUTURA 3 4X800G KOR</t>
  </si>
  <si>
    <t>직구</t>
  </si>
  <si>
    <t>APTAMIL PRE 6X800G CR/SL</t>
  </si>
  <si>
    <t>APTAMIL 1 6X800G CR/SL</t>
  </si>
  <si>
    <t>APTAMIL 2 6X800G CR/SL</t>
  </si>
  <si>
    <t>APTAMIL 3 6X800G CR/SL</t>
  </si>
  <si>
    <t>APT PROFUTURA PRE, KOR 4X800G</t>
  </si>
  <si>
    <t>APT PROFUTURA 1, KOR 4X800G</t>
  </si>
  <si>
    <t>APT PROFUTURA 2, KOR 4X800G</t>
  </si>
  <si>
    <t>압타밀 AR</t>
  </si>
  <si>
    <t>압타밀 COMFORT</t>
  </si>
  <si>
    <t>압타밀 프로푸트라 YCF</t>
  </si>
  <si>
    <t>Stock Level(Month)</t>
  </si>
  <si>
    <t>재고수준</t>
    <phoneticPr fontId="2" type="noConversion"/>
  </si>
  <si>
    <t>Jun.</t>
    <phoneticPr fontId="2" type="noConversion"/>
  </si>
  <si>
    <t>아이베</t>
    <phoneticPr fontId="2" type="noConversion"/>
  </si>
  <si>
    <t>크로네</t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</si>
  <si>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(KRW)</t>
    </r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</si>
  <si>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(EUR)</t>
    </r>
    <phoneticPr fontId="2" type="noConversion"/>
  </si>
  <si>
    <t>3분기 누계</t>
    <phoneticPr fontId="2" type="noConversion"/>
  </si>
  <si>
    <t>4분기 누계</t>
    <phoneticPr fontId="2" type="noConversion"/>
  </si>
  <si>
    <t>*판매량</t>
    <phoneticPr fontId="2" type="noConversion"/>
  </si>
  <si>
    <t>*재고</t>
    <phoneticPr fontId="2" type="noConversion"/>
  </si>
  <si>
    <t>*발주</t>
    <phoneticPr fontId="2" type="noConversion"/>
  </si>
  <si>
    <t>*발주 목표</t>
    <phoneticPr fontId="2" type="noConversion"/>
  </si>
  <si>
    <t>* 차이</t>
    <phoneticPr fontId="2" type="noConversion"/>
  </si>
  <si>
    <t>발주액</t>
  </si>
  <si>
    <t>발주액</t>
    <phoneticPr fontId="2" type="noConversion"/>
  </si>
  <si>
    <t>발주 목표</t>
  </si>
  <si>
    <t>25년</t>
    <phoneticPr fontId="2" type="noConversion"/>
  </si>
  <si>
    <t>MONTH</t>
    <phoneticPr fontId="2" type="noConversion"/>
  </si>
  <si>
    <t>Domestic</t>
    <phoneticPr fontId="2" type="noConversion"/>
  </si>
  <si>
    <t>Jikgu</t>
    <phoneticPr fontId="2" type="noConversion"/>
  </si>
  <si>
    <t>5%하락</t>
    <phoneticPr fontId="2" type="noConversion"/>
  </si>
  <si>
    <t>20%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</si>
</sst>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₩&quot;#,##0.00;[Red]\-&quot;₩&quot;#,##0.00"/>
    <numFmt numFmtId="41" formatCode="_-* #,##0_-;\-* #,##0_-;_-* &quot;-&quot;_-;_-@_-"/>
    <numFmt numFmtId="176" formatCode="_-* #,##0.00_-;\-* #,##0.00_-;_-* &quot;-&quot;_-;_-@_-"/>
    <numFmt numFmtId="177" formatCode="0.0%"/>
    <numFmt numFmtId="178" formatCode="[$€-2]\ #,##0.00;[Red]\-[$€-2]\ #,##0.00"/>
    <numFmt numFmtId="179" formatCode="0.0"/>
    <numFmt numFmtId="180" formatCode="#,##0_ "/>
    <numFmt numFmtId="181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돋움"/>
      <family val="3"/>
      <charset val="129"/>
    </font>
    <font>
      <b/>
      <sz val="10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3" fontId="3" fillId="0" borderId="4" xfId="0" applyNumberFormat="1" applyFont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Continuous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3" fontId="3" fillId="7" borderId="4" xfId="0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3" fillId="8" borderId="4" xfId="0" applyFont="1" applyFill="1" applyBorder="1" applyAlignment="1">
      <alignment vertical="center" wrapText="1"/>
    </xf>
    <xf numFmtId="3" fontId="3" fillId="8" borderId="4" xfId="0" applyNumberFormat="1" applyFont="1" applyFill="1" applyBorder="1" applyAlignment="1">
      <alignment horizontal="right" vertical="center" wrapText="1"/>
    </xf>
    <xf numFmtId="3" fontId="3" fillId="6" borderId="4" xfId="0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4" fillId="5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3" fontId="4" fillId="9" borderId="4" xfId="0" applyNumberFormat="1" applyFont="1" applyFill="1" applyBorder="1" applyAlignment="1">
      <alignment horizontal="center" vertical="center" wrapText="1"/>
    </xf>
    <xf numFmtId="176" fontId="0" fillId="0" borderId="0" xfId="1" applyNumberFormat="1" applyFont="1">
      <alignment vertical="center"/>
    </xf>
    <xf numFmtId="3" fontId="3" fillId="12" borderId="4" xfId="0" applyNumberFormat="1" applyFont="1" applyFill="1" applyBorder="1" applyAlignment="1">
      <alignment horizontal="center" vertical="center" wrapText="1"/>
    </xf>
    <xf numFmtId="9" fontId="0" fillId="0" borderId="0" xfId="2" applyFont="1">
      <alignment vertical="center"/>
    </xf>
    <xf numFmtId="0" fontId="0" fillId="0" borderId="4" xfId="0" applyBorder="1">
      <alignment vertical="center"/>
    </xf>
    <xf numFmtId="9" fontId="0" fillId="0" borderId="4" xfId="2" applyFont="1" applyBorder="1">
      <alignment vertical="center"/>
    </xf>
    <xf numFmtId="177" fontId="0" fillId="0" borderId="4" xfId="2" applyNumberFormat="1" applyFont="1" applyBorder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8" fontId="3" fillId="0" borderId="10" xfId="0" applyNumberFormat="1" applyFont="1" applyBorder="1" applyAlignment="1">
      <alignment horizontal="center" vertical="center"/>
    </xf>
    <xf numFmtId="8" fontId="3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179" fontId="3" fillId="13" borderId="4" xfId="0" applyNumberFormat="1" applyFont="1" applyFill="1" applyBorder="1" applyAlignment="1">
      <alignment horizontal="right" wrapText="1"/>
    </xf>
    <xf numFmtId="179" fontId="4" fillId="4" borderId="4" xfId="0" applyNumberFormat="1" applyFont="1" applyFill="1" applyBorder="1" applyAlignment="1">
      <alignment horizontal="right" wrapText="1"/>
    </xf>
    <xf numFmtId="180" fontId="3" fillId="0" borderId="4" xfId="0" applyNumberFormat="1" applyFont="1" applyBorder="1" applyAlignment="1">
      <alignment vertical="center" wrapText="1"/>
    </xf>
    <xf numFmtId="180" fontId="3" fillId="7" borderId="4" xfId="0" applyNumberFormat="1" applyFont="1" applyFill="1" applyBorder="1" applyAlignment="1">
      <alignment vertical="center" wrapText="1"/>
    </xf>
    <xf numFmtId="181" fontId="0" fillId="0" borderId="4" xfId="1" applyNumberFormat="1" applyFont="1" applyBorder="1" applyAlignment="1">
      <alignment horizontal="centerContinuous" vertical="center"/>
    </xf>
    <xf numFmtId="180" fontId="0" fillId="0" borderId="4" xfId="0" applyNumberFormat="1" applyBorder="1" applyAlignment="1">
      <alignment horizontal="centerContinuous" vertical="center"/>
    </xf>
    <xf numFmtId="0" fontId="0" fillId="14" borderId="4" xfId="0" applyFill="1" applyBorder="1" applyAlignment="1">
      <alignment horizontal="center" vertical="center"/>
    </xf>
    <xf numFmtId="181" fontId="0" fillId="0" borderId="4" xfId="0" applyNumberFormat="1" applyBorder="1" applyAlignment="1">
      <alignment horizontal="center" vertical="center"/>
    </xf>
    <xf numFmtId="181" fontId="0" fillId="14" borderId="4" xfId="0" applyNumberFormat="1" applyFill="1" applyBorder="1" applyAlignment="1">
      <alignment horizontal="center" vertical="center"/>
    </xf>
    <xf numFmtId="3" fontId="3" fillId="15" borderId="4" xfId="0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2" fillId="14" borderId="4" xfId="0" applyFont="1" applyFill="1" applyBorder="1" applyAlignment="1">
      <alignment horizontal="center" vertical="center"/>
    </xf>
    <xf numFmtId="181" fontId="12" fillId="0" borderId="4" xfId="0" applyNumberFormat="1" applyFont="1" applyBorder="1" applyAlignment="1">
      <alignment horizontal="center" vertical="center"/>
    </xf>
    <xf numFmtId="181" fontId="12" fillId="14" borderId="4" xfId="0" applyNumberFormat="1" applyFont="1" applyFill="1" applyBorder="1" applyAlignment="1">
      <alignment horizontal="center" vertical="center"/>
    </xf>
    <xf numFmtId="9" fontId="3" fillId="0" borderId="4" xfId="2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9" fontId="0" fillId="6" borderId="4" xfId="2" applyFont="1" applyFill="1" applyBorder="1">
      <alignment vertical="center"/>
    </xf>
    <xf numFmtId="9" fontId="3" fillId="15" borderId="4" xfId="2" applyFont="1" applyFill="1" applyBorder="1" applyAlignment="1">
      <alignment horizontal="center" vertical="center" wrapText="1"/>
    </xf>
    <xf numFmtId="181" fontId="3" fillId="15" borderId="4" xfId="0" applyNumberFormat="1" applyFont="1" applyFill="1" applyBorder="1" applyAlignment="1">
      <alignment horizontal="center" vertical="center" wrapText="1"/>
    </xf>
    <xf numFmtId="10" fontId="0" fillId="0" borderId="4" xfId="0" applyNumberFormat="1" applyBorder="1">
      <alignment vertical="center"/>
    </xf>
    <xf numFmtId="10" fontId="0" fillId="0" borderId="4" xfId="2" applyNumberFormat="1" applyFont="1" applyBorder="1">
      <alignment vertical="center"/>
    </xf>
    <xf numFmtId="17" fontId="4" fillId="2" borderId="4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3" fillId="16" borderId="4" xfId="0" applyFont="1" applyFill="1" applyBorder="1" applyAlignment="1">
      <alignment horizontal="center" vertical="center" wrapText="1"/>
    </xf>
    <xf numFmtId="3" fontId="3" fillId="16" borderId="4" xfId="0" applyNumberFormat="1" applyFon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178" fontId="0" fillId="0" borderId="0" xfId="0" applyNumberFormat="1">
      <alignment vertical="center"/>
    </xf>
    <xf numFmtId="3" fontId="0" fillId="0" borderId="0" xfId="1" applyNumberFormat="1" applyFont="1">
      <alignment vertical="center"/>
    </xf>
    <xf numFmtId="181" fontId="0" fillId="0" borderId="0" xfId="0" applyNumberFormat="1">
      <alignment vertical="center"/>
    </xf>
    <xf numFmtId="0" fontId="3" fillId="17" borderId="4" xfId="0" applyFont="1" applyFill="1" applyBorder="1" applyAlignment="1">
      <alignment horizontal="center" vertical="center" wrapText="1"/>
    </xf>
    <xf numFmtId="3" fontId="3" fillId="17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4" fillId="4" borderId="5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986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738369433252082E-2"/>
          <c:y val="5.7886432984783028E-2"/>
          <c:w val="0.94914823594324482"/>
          <c:h val="0.89453391450764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Sheet1!$C$4:$C$33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64015</c:v>
                </c:pt>
                <c:pt idx="8">
                  <c:v>62566</c:v>
                </c:pt>
                <c:pt idx="9">
                  <c:v>58034</c:v>
                </c:pt>
                <c:pt idx="10">
                  <c:v>55759</c:v>
                </c:pt>
                <c:pt idx="11">
                  <c:v>57329</c:v>
                </c:pt>
                <c:pt idx="12">
                  <c:v>54963</c:v>
                </c:pt>
                <c:pt idx="13">
                  <c:v>50663</c:v>
                </c:pt>
                <c:pt idx="14">
                  <c:v>50943</c:v>
                </c:pt>
                <c:pt idx="15">
                  <c:v>49807</c:v>
                </c:pt>
                <c:pt idx="16">
                  <c:v>49161</c:v>
                </c:pt>
                <c:pt idx="17">
                  <c:v>49331</c:v>
                </c:pt>
                <c:pt idx="18">
                  <c:v>45825</c:v>
                </c:pt>
                <c:pt idx="19">
                  <c:v>44322</c:v>
                </c:pt>
                <c:pt idx="20">
                  <c:v>46638</c:v>
                </c:pt>
                <c:pt idx="21">
                  <c:v>48866</c:v>
                </c:pt>
                <c:pt idx="22">
                  <c:v>51559</c:v>
                </c:pt>
                <c:pt idx="23">
                  <c:v>54351</c:v>
                </c:pt>
                <c:pt idx="24">
                  <c:v>54155.530979056435</c:v>
                </c:pt>
                <c:pt idx="25">
                  <c:v>53985.434640622676</c:v>
                </c:pt>
                <c:pt idx="26">
                  <c:v>54330.018769459755</c:v>
                </c:pt>
                <c:pt idx="27">
                  <c:v>53299.426846225353</c:v>
                </c:pt>
                <c:pt idx="28">
                  <c:v>52748.474742094033</c:v>
                </c:pt>
                <c:pt idx="29">
                  <c:v>53273.969695846266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D-4FD6-AB07-C5DE980929E6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 Jikgu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Sheet1!$D$4:$D$33</c:f>
              <c:numCache>
                <c:formatCode>_(* #,##0_);_(* \(#,##0\);_(* "-"_);_(@_)</c:formatCode>
                <c:ptCount val="30"/>
                <c:pt idx="7">
                  <c:v>590</c:v>
                </c:pt>
                <c:pt idx="8">
                  <c:v>3356</c:v>
                </c:pt>
                <c:pt idx="9">
                  <c:v>4851</c:v>
                </c:pt>
                <c:pt idx="10">
                  <c:v>8822</c:v>
                </c:pt>
                <c:pt idx="11">
                  <c:v>13245</c:v>
                </c:pt>
                <c:pt idx="12">
                  <c:v>16019</c:v>
                </c:pt>
                <c:pt idx="13">
                  <c:v>15665</c:v>
                </c:pt>
                <c:pt idx="14">
                  <c:v>23359</c:v>
                </c:pt>
                <c:pt idx="15">
                  <c:v>26822</c:v>
                </c:pt>
                <c:pt idx="16">
                  <c:v>27580</c:v>
                </c:pt>
                <c:pt idx="17">
                  <c:v>22165</c:v>
                </c:pt>
                <c:pt idx="18">
                  <c:v>26179</c:v>
                </c:pt>
                <c:pt idx="19">
                  <c:v>27002</c:v>
                </c:pt>
                <c:pt idx="20">
                  <c:v>33428.400000000001</c:v>
                </c:pt>
                <c:pt idx="21">
                  <c:v>34498.799999999996</c:v>
                </c:pt>
                <c:pt idx="22">
                  <c:v>35634</c:v>
                </c:pt>
                <c:pt idx="23">
                  <c:v>36717.599999999999</c:v>
                </c:pt>
                <c:pt idx="24">
                  <c:v>37950.587999999996</c:v>
                </c:pt>
                <c:pt idx="25">
                  <c:v>39233.711640000001</c:v>
                </c:pt>
                <c:pt idx="26">
                  <c:v>40623.080717999997</c:v>
                </c:pt>
                <c:pt idx="27">
                  <c:v>42757.105818924007</c:v>
                </c:pt>
                <c:pt idx="28">
                  <c:v>44857.846709420162</c:v>
                </c:pt>
                <c:pt idx="29">
                  <c:v>46684.514163280845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D-4FD6-AB07-C5DE980929E6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Sheet1!$E$4:$E$33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64605</c:v>
                </c:pt>
                <c:pt idx="8">
                  <c:v>65922</c:v>
                </c:pt>
                <c:pt idx="9">
                  <c:v>62885</c:v>
                </c:pt>
                <c:pt idx="10">
                  <c:v>64581</c:v>
                </c:pt>
                <c:pt idx="11">
                  <c:v>70574</c:v>
                </c:pt>
                <c:pt idx="12">
                  <c:v>70982</c:v>
                </c:pt>
                <c:pt idx="13">
                  <c:v>66328</c:v>
                </c:pt>
                <c:pt idx="14">
                  <c:v>74302</c:v>
                </c:pt>
                <c:pt idx="15">
                  <c:v>76629</c:v>
                </c:pt>
                <c:pt idx="16">
                  <c:v>76741</c:v>
                </c:pt>
                <c:pt idx="17">
                  <c:v>71496</c:v>
                </c:pt>
                <c:pt idx="18">
                  <c:v>72004</c:v>
                </c:pt>
                <c:pt idx="19">
                  <c:v>71324</c:v>
                </c:pt>
                <c:pt idx="20">
                  <c:v>80066.399999999994</c:v>
                </c:pt>
                <c:pt idx="21">
                  <c:v>83364.799999999988</c:v>
                </c:pt>
                <c:pt idx="22">
                  <c:v>87193</c:v>
                </c:pt>
                <c:pt idx="23">
                  <c:v>91068.6</c:v>
                </c:pt>
                <c:pt idx="24">
                  <c:v>92106.118979056424</c:v>
                </c:pt>
                <c:pt idx="25">
                  <c:v>93219.146280622677</c:v>
                </c:pt>
                <c:pt idx="26">
                  <c:v>94953.099487459753</c:v>
                </c:pt>
                <c:pt idx="27">
                  <c:v>96056.532665149367</c:v>
                </c:pt>
                <c:pt idx="28">
                  <c:v>97606.321451514203</c:v>
                </c:pt>
                <c:pt idx="29">
                  <c:v>99958.483859127111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5D-4FD6-AB07-C5DE9809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01775"/>
        <c:axId val="163504175"/>
      </c:scatterChart>
      <c:valAx>
        <c:axId val="16350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4175"/>
        <c:crosses val="autoZero"/>
        <c:crossBetween val="midCat"/>
      </c:valAx>
      <c:valAx>
        <c:axId val="163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23283</xdr:colOff>
      <xdr:row>70</xdr:row>
      <xdr:rowOff>55034</xdr:rowOff>
    </xdr:from>
    <xdr:to>
      <xdr:col>6</xdr:col>
      <xdr:colOff>41802</xdr:colOff>
      <xdr:row>78</xdr:row>
      <xdr:rowOff>119374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F4119C-DC55-56E3-78D5-31B34DC4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58" y="10389659"/>
          <a:ext cx="4247619" cy="1740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434875</xdr:colOff>
      <xdr:row>1</xdr:row>
      <xdr:rowOff>133705</xdr:rowOff>
    </xdr:from>
    <xdr:to>
      <xdr:col>29</xdr:col>
      <xdr:colOff>142392</xdr:colOff>
      <xdr:row>35</xdr:row>
      <xdr:rowOff>196823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40B482-AAF6-5C75-1EF6-881768DE9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0.64065</cdr:x>
      <cdr:y>0.17068</cdr:y>
    </cdr:from>
    <cdr:to>
      <cdr:x>0.64065</cdr:x>
      <cdr:y>0.88375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E9B70F8B-D2B9-6DBF-DCB2-D313072F8861}"/>
            </a:ext>
          </a:extLst>
        </cdr:cNvPr>
        <cdr:cNvCxnSpPr/>
      </cdr:nvCxnSpPr>
      <cdr:spPr>
        <a:xfrm xmlns:a="http://schemas.openxmlformats.org/drawingml/2006/main">
          <a:off x="10227076" y="1239104"/>
          <a:ext cx="0" cy="51767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89</xdr:row>
      <xdr:rowOff>161925</xdr:rowOff>
    </xdr:from>
    <xdr:to>
      <xdr:col>5</xdr:col>
      <xdr:colOff>866238</xdr:colOff>
      <xdr:row>98</xdr:row>
      <xdr:rowOff>37880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0CA898-07F9-499C-80DA-990071F7D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8878550"/>
          <a:ext cx="4295238" cy="1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E36A-C1F6-40F5-8FDE-BDFED758789E}">
  <sheetPr>
    <tabColor theme="7"/>
  </sheetPr>
  <dimension ref="B2:Q75"/>
  <sheetViews>
    <sheetView tabSelected="1" workbookViewId="0">
      <selection activeCell="O21" sqref="O21"/>
    </sheetView>
  </sheetViews>
  <sheetFormatPr defaultRowHeight="16.5" outlineLevelRow="1" x14ac:dyDescent="0.3"/>
  <cols>
    <col min="1" max="1" width="2.875" customWidth="1"/>
    <col min="3" max="4" width="11.375" bestFit="1" customWidth="1"/>
    <col min="5" max="17" width="11.875" customWidth="1"/>
  </cols>
  <sheetData>
    <row r="2" spans="2:17" ht="17.25" x14ac:dyDescent="0.3">
      <c r="B2" s="74" t="s">
        <v>66</v>
      </c>
    </row>
    <row r="3" spans="2:17" x14ac:dyDescent="0.3">
      <c r="B3" s="97" t="s">
        <v>2</v>
      </c>
      <c r="C3" s="97"/>
      <c r="D3" s="97"/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20</v>
      </c>
      <c r="M3" s="11" t="s">
        <v>21</v>
      </c>
      <c r="N3" s="11" t="s">
        <v>3</v>
      </c>
      <c r="O3" s="11" t="s">
        <v>4</v>
      </c>
      <c r="P3" s="11" t="s">
        <v>5</v>
      </c>
      <c r="Q3" s="11" t="s">
        <v>6</v>
      </c>
    </row>
    <row r="4" spans="2:17" x14ac:dyDescent="0.3">
      <c r="B4" s="97"/>
      <c r="C4" s="97" t="s">
        <v>13</v>
      </c>
      <c r="D4" s="1">
        <v>1</v>
      </c>
      <c r="E4" s="7">
        <v>8839</v>
      </c>
      <c r="F4" s="31">
        <v>7757</v>
      </c>
      <c r="G4" s="31">
        <v>7424</v>
      </c>
      <c r="H4" s="31">
        <v>7808</v>
      </c>
      <c r="I4" s="7">
        <v>8086</v>
      </c>
      <c r="J4" s="7">
        <v>8259</v>
      </c>
      <c r="K4" s="7">
        <v>8672</v>
      </c>
      <c r="L4" s="73">
        <v>8456.7620033130443</v>
      </c>
      <c r="M4" s="73">
        <v>8246.8661878089551</v>
      </c>
      <c r="N4" s="73">
        <v>8217.6288933591495</v>
      </c>
      <c r="O4" s="73">
        <v>8153.0310483184503</v>
      </c>
      <c r="P4" s="73">
        <v>8311.1019609581217</v>
      </c>
      <c r="Q4" s="73">
        <v>8571.5584880749229</v>
      </c>
    </row>
    <row r="5" spans="2:17" x14ac:dyDescent="0.3">
      <c r="B5" s="97"/>
      <c r="C5" s="97"/>
      <c r="D5" s="1">
        <v>2</v>
      </c>
      <c r="E5" s="7">
        <v>9769</v>
      </c>
      <c r="F5" s="31">
        <v>9878</v>
      </c>
      <c r="G5" s="31">
        <v>9386</v>
      </c>
      <c r="H5" s="31">
        <v>9667</v>
      </c>
      <c r="I5" s="7">
        <v>9859</v>
      </c>
      <c r="J5" s="7">
        <v>9958</v>
      </c>
      <c r="K5" s="7">
        <v>10256</v>
      </c>
      <c r="L5" s="73">
        <v>9917.5116364648711</v>
      </c>
      <c r="M5" s="73">
        <v>9590.1947210819144</v>
      </c>
      <c r="N5" s="73">
        <v>9362.7271631062304</v>
      </c>
      <c r="O5" s="73">
        <v>9013.9180674945055</v>
      </c>
      <c r="P5" s="73">
        <v>8354.3423560022147</v>
      </c>
      <c r="Q5" s="73">
        <v>7639.4042651415493</v>
      </c>
    </row>
    <row r="6" spans="2:17" x14ac:dyDescent="0.3">
      <c r="B6" s="97"/>
      <c r="C6" s="97"/>
      <c r="D6" s="1">
        <v>3</v>
      </c>
      <c r="E6" s="7">
        <v>3523</v>
      </c>
      <c r="F6" s="31">
        <v>3014</v>
      </c>
      <c r="G6" s="31">
        <v>2883</v>
      </c>
      <c r="H6" s="31">
        <v>3034</v>
      </c>
      <c r="I6" s="7">
        <v>3142</v>
      </c>
      <c r="J6" s="7">
        <v>3210</v>
      </c>
      <c r="K6" s="7">
        <v>3370</v>
      </c>
      <c r="L6" s="73">
        <v>3318.5943189504596</v>
      </c>
      <c r="M6" s="73">
        <v>3267.9727755994854</v>
      </c>
      <c r="N6" s="73">
        <v>3406.350317895176</v>
      </c>
      <c r="O6" s="73">
        <v>3156.0838708685724</v>
      </c>
      <c r="P6" s="73">
        <v>3245.5062472098484</v>
      </c>
      <c r="Q6" s="73">
        <v>3174.5712540122445</v>
      </c>
    </row>
    <row r="7" spans="2:17" x14ac:dyDescent="0.3">
      <c r="B7" s="97"/>
      <c r="C7" s="98" t="s">
        <v>14</v>
      </c>
      <c r="D7" s="3">
        <v>1</v>
      </c>
      <c r="E7" s="7">
        <v>11979</v>
      </c>
      <c r="F7" s="31">
        <v>11038</v>
      </c>
      <c r="G7" s="31">
        <v>10485</v>
      </c>
      <c r="H7" s="31">
        <v>11214</v>
      </c>
      <c r="I7" s="7">
        <v>11923</v>
      </c>
      <c r="J7" s="7">
        <v>12932</v>
      </c>
      <c r="K7" s="7">
        <v>13756</v>
      </c>
      <c r="L7" s="73">
        <v>13868.881773764551</v>
      </c>
      <c r="M7" s="73">
        <v>13982.689855674511</v>
      </c>
      <c r="N7" s="73">
        <v>13960.097046083827</v>
      </c>
      <c r="O7" s="73">
        <v>13480.645229760567</v>
      </c>
      <c r="P7" s="73">
        <v>13189.489071050524</v>
      </c>
      <c r="Q7" s="73">
        <v>13481.267567070927</v>
      </c>
    </row>
    <row r="8" spans="2:17" x14ac:dyDescent="0.3">
      <c r="B8" s="97"/>
      <c r="C8" s="98"/>
      <c r="D8" s="3">
        <v>2</v>
      </c>
      <c r="E8" s="7">
        <v>11355</v>
      </c>
      <c r="F8" s="31">
        <v>10680</v>
      </c>
      <c r="G8" s="31">
        <v>10790</v>
      </c>
      <c r="H8" s="31">
        <v>11327</v>
      </c>
      <c r="I8" s="7">
        <v>12042</v>
      </c>
      <c r="J8" s="7">
        <v>13061</v>
      </c>
      <c r="K8" s="7">
        <v>13895</v>
      </c>
      <c r="L8" s="73">
        <v>14208.725429610198</v>
      </c>
      <c r="M8" s="73">
        <v>14529.534244983915</v>
      </c>
      <c r="N8" s="73">
        <v>14654.245124947767</v>
      </c>
      <c r="O8" s="73">
        <v>15371.970397533876</v>
      </c>
      <c r="P8" s="73">
        <v>15490.755756717874</v>
      </c>
      <c r="Q8" s="73">
        <v>16328.388872933177</v>
      </c>
    </row>
    <row r="9" spans="2:17" x14ac:dyDescent="0.3">
      <c r="B9" s="97"/>
      <c r="C9" s="98"/>
      <c r="D9" s="3">
        <v>3</v>
      </c>
      <c r="E9" s="7">
        <v>3866</v>
      </c>
      <c r="F9" s="31">
        <v>3458</v>
      </c>
      <c r="G9" s="31">
        <v>3354</v>
      </c>
      <c r="H9" s="31">
        <v>3588</v>
      </c>
      <c r="I9" s="7">
        <v>3814</v>
      </c>
      <c r="J9" s="7">
        <v>4139</v>
      </c>
      <c r="K9" s="7">
        <v>4402</v>
      </c>
      <c r="L9" s="73">
        <v>4385.0558169533124</v>
      </c>
      <c r="M9" s="73">
        <v>4368.1768554738937</v>
      </c>
      <c r="N9" s="73">
        <v>4728.9702240676079</v>
      </c>
      <c r="O9" s="73">
        <v>4123.7782322493831</v>
      </c>
      <c r="P9" s="73">
        <v>4157.2793501554461</v>
      </c>
      <c r="Q9" s="73">
        <v>4078.7792486134522</v>
      </c>
    </row>
    <row r="10" spans="2:17" x14ac:dyDescent="0.3">
      <c r="B10" s="1"/>
      <c r="C10" s="112" t="s">
        <v>15</v>
      </c>
      <c r="D10" s="112"/>
      <c r="E10" s="8">
        <f>SUM(E4:E9)</f>
        <v>49331</v>
      </c>
      <c r="F10" s="8">
        <f t="shared" ref="F10:Q10" si="0">SUM(F4:F9)</f>
        <v>45825</v>
      </c>
      <c r="G10" s="8">
        <f t="shared" si="0"/>
        <v>44322</v>
      </c>
      <c r="H10" s="8">
        <f t="shared" si="0"/>
        <v>46638</v>
      </c>
      <c r="I10" s="8">
        <f t="shared" si="0"/>
        <v>48866</v>
      </c>
      <c r="J10" s="8">
        <f t="shared" si="0"/>
        <v>51559</v>
      </c>
      <c r="K10" s="8">
        <f t="shared" si="0"/>
        <v>54351</v>
      </c>
      <c r="L10" s="8">
        <f t="shared" si="0"/>
        <v>54155.530979056435</v>
      </c>
      <c r="M10" s="8">
        <f t="shared" si="0"/>
        <v>53985.434640622676</v>
      </c>
      <c r="N10" s="8">
        <f t="shared" si="0"/>
        <v>54330.018769459755</v>
      </c>
      <c r="O10" s="8">
        <f t="shared" si="0"/>
        <v>53299.426846225353</v>
      </c>
      <c r="P10" s="8">
        <f t="shared" si="0"/>
        <v>52748.474742094033</v>
      </c>
      <c r="Q10" s="8">
        <f t="shared" si="0"/>
        <v>53273.969695846266</v>
      </c>
    </row>
    <row r="12" spans="2:17" ht="17.25" x14ac:dyDescent="0.3">
      <c r="B12" s="74" t="s">
        <v>67</v>
      </c>
    </row>
    <row r="13" spans="2:17" x14ac:dyDescent="0.3">
      <c r="B13" s="111" t="s">
        <v>16</v>
      </c>
      <c r="C13" s="111"/>
      <c r="D13" s="111"/>
      <c r="E13" s="12" t="s">
        <v>6</v>
      </c>
      <c r="F13" s="12" t="s">
        <v>7</v>
      </c>
      <c r="G13" s="12" t="s">
        <v>8</v>
      </c>
      <c r="H13" s="12" t="s">
        <v>9</v>
      </c>
      <c r="I13" s="12" t="s">
        <v>10</v>
      </c>
      <c r="J13" s="12" t="s">
        <v>11</v>
      </c>
      <c r="K13" s="12" t="s">
        <v>12</v>
      </c>
      <c r="L13" s="12" t="s">
        <v>20</v>
      </c>
      <c r="M13" s="12" t="s">
        <v>21</v>
      </c>
      <c r="N13" s="12" t="s">
        <v>3</v>
      </c>
      <c r="O13" s="12" t="s">
        <v>4</v>
      </c>
      <c r="P13" s="12" t="s">
        <v>5</v>
      </c>
      <c r="Q13" s="12" t="s">
        <v>6</v>
      </c>
    </row>
    <row r="14" spans="2:17" x14ac:dyDescent="0.3">
      <c r="B14" s="109"/>
      <c r="C14" s="97" t="s">
        <v>13</v>
      </c>
      <c r="D14" s="1">
        <v>1</v>
      </c>
      <c r="E14" s="7">
        <v>63467</v>
      </c>
      <c r="F14" s="7">
        <f t="shared" ref="F14:Q14" si="1">E14+F36-F4</f>
        <v>55710</v>
      </c>
      <c r="G14" s="7">
        <f t="shared" si="1"/>
        <v>48286</v>
      </c>
      <c r="H14" s="7">
        <f t="shared" si="1"/>
        <v>40478</v>
      </c>
      <c r="I14" s="7">
        <f t="shared" si="1"/>
        <v>35272</v>
      </c>
      <c r="J14" s="7">
        <f t="shared" si="1"/>
        <v>27013</v>
      </c>
      <c r="K14" s="7">
        <f t="shared" si="1"/>
        <v>18341</v>
      </c>
      <c r="L14" s="7">
        <f t="shared" si="1"/>
        <v>25884.237996686956</v>
      </c>
      <c r="M14" s="7">
        <f t="shared" si="1"/>
        <v>25637.371808878001</v>
      </c>
      <c r="N14" s="7">
        <f t="shared" si="1"/>
        <v>27419.742915518851</v>
      </c>
      <c r="O14" s="7">
        <f t="shared" si="1"/>
        <v>27266.7118672004</v>
      </c>
      <c r="P14" s="7">
        <f t="shared" si="1"/>
        <v>27955.60990624228</v>
      </c>
      <c r="Q14" s="7">
        <f t="shared" si="1"/>
        <v>27384.051418167357</v>
      </c>
    </row>
    <row r="15" spans="2:17" x14ac:dyDescent="0.3">
      <c r="B15" s="109"/>
      <c r="C15" s="97"/>
      <c r="D15" s="1">
        <v>2</v>
      </c>
      <c r="E15" s="7">
        <v>76603</v>
      </c>
      <c r="F15" s="7">
        <f t="shared" ref="F15:Q15" si="2">E15+F37-F5</f>
        <v>66725</v>
      </c>
      <c r="G15" s="7">
        <f t="shared" si="2"/>
        <v>57339</v>
      </c>
      <c r="H15" s="7">
        <f t="shared" si="2"/>
        <v>47672</v>
      </c>
      <c r="I15" s="7">
        <f t="shared" si="2"/>
        <v>47605</v>
      </c>
      <c r="J15" s="7">
        <f t="shared" si="2"/>
        <v>37647</v>
      </c>
      <c r="K15" s="7">
        <f t="shared" si="2"/>
        <v>27391</v>
      </c>
      <c r="L15" s="7">
        <f t="shared" si="2"/>
        <v>31473.488363535129</v>
      </c>
      <c r="M15" s="7">
        <f t="shared" si="2"/>
        <v>29883.293642453216</v>
      </c>
      <c r="N15" s="7">
        <f t="shared" si="2"/>
        <v>29520.566479346984</v>
      </c>
      <c r="O15" s="7">
        <f t="shared" si="2"/>
        <v>29506.648411852479</v>
      </c>
      <c r="P15" s="7">
        <f t="shared" si="2"/>
        <v>27152.306055850269</v>
      </c>
      <c r="Q15" s="7">
        <f t="shared" si="2"/>
        <v>24512.901790708718</v>
      </c>
    </row>
    <row r="16" spans="2:17" x14ac:dyDescent="0.3">
      <c r="B16" s="109"/>
      <c r="C16" s="97"/>
      <c r="D16" s="1">
        <v>3</v>
      </c>
      <c r="E16" s="7">
        <v>31876</v>
      </c>
      <c r="F16" s="7">
        <f t="shared" ref="F16:Q16" si="3">E16+F38-F6</f>
        <v>28862</v>
      </c>
      <c r="G16" s="7">
        <f t="shared" si="3"/>
        <v>25979</v>
      </c>
      <c r="H16" s="7">
        <f t="shared" si="3"/>
        <v>22945</v>
      </c>
      <c r="I16" s="7">
        <f t="shared" si="3"/>
        <v>19803</v>
      </c>
      <c r="J16" s="7">
        <f t="shared" si="3"/>
        <v>16593</v>
      </c>
      <c r="K16" s="7">
        <f t="shared" si="3"/>
        <v>13223</v>
      </c>
      <c r="L16" s="7">
        <f t="shared" si="3"/>
        <v>9904.4056810495404</v>
      </c>
      <c r="M16" s="7">
        <f t="shared" si="3"/>
        <v>10136.432905450056</v>
      </c>
      <c r="N16" s="7">
        <f t="shared" si="3"/>
        <v>10230.08258755488</v>
      </c>
      <c r="O16" s="7">
        <f t="shared" si="3"/>
        <v>10073.998716686307</v>
      </c>
      <c r="P16" s="7">
        <f t="shared" si="3"/>
        <v>11828.492469476458</v>
      </c>
      <c r="Q16" s="7">
        <f t="shared" si="3"/>
        <v>10653.921215464214</v>
      </c>
    </row>
    <row r="17" spans="2:17" x14ac:dyDescent="0.3">
      <c r="B17" s="109"/>
      <c r="C17" s="98" t="s">
        <v>14</v>
      </c>
      <c r="D17" s="3">
        <v>1</v>
      </c>
      <c r="E17" s="7">
        <v>54162</v>
      </c>
      <c r="F17" s="7">
        <f t="shared" ref="F17:Q17" si="4">E17+F39-F7</f>
        <v>53492</v>
      </c>
      <c r="G17" s="7">
        <f t="shared" si="4"/>
        <v>44497</v>
      </c>
      <c r="H17" s="7">
        <f t="shared" si="4"/>
        <v>65151</v>
      </c>
      <c r="I17" s="7">
        <f t="shared" si="4"/>
        <v>53228</v>
      </c>
      <c r="J17" s="7">
        <f t="shared" si="4"/>
        <v>40296</v>
      </c>
      <c r="K17" s="7">
        <f t="shared" si="4"/>
        <v>30380</v>
      </c>
      <c r="L17" s="7">
        <f t="shared" si="4"/>
        <v>42511.118226235449</v>
      </c>
      <c r="M17" s="7">
        <f t="shared" si="4"/>
        <v>43528.428370560941</v>
      </c>
      <c r="N17" s="7">
        <f t="shared" si="4"/>
        <v>41568.331324477113</v>
      </c>
      <c r="O17" s="7">
        <f t="shared" si="4"/>
        <v>43087.686094716548</v>
      </c>
      <c r="P17" s="7">
        <f t="shared" si="4"/>
        <v>41898.197023666027</v>
      </c>
      <c r="Q17" s="7">
        <f t="shared" si="4"/>
        <v>43416.929456595099</v>
      </c>
    </row>
    <row r="18" spans="2:17" x14ac:dyDescent="0.3">
      <c r="B18" s="109"/>
      <c r="C18" s="98"/>
      <c r="D18" s="3">
        <v>2</v>
      </c>
      <c r="E18" s="7">
        <v>47776</v>
      </c>
      <c r="F18" s="7">
        <f t="shared" ref="F18:Q18" si="5">E18+F40-F8</f>
        <v>57064</v>
      </c>
      <c r="G18" s="7">
        <f t="shared" si="5"/>
        <v>47638</v>
      </c>
      <c r="H18" s="7">
        <f t="shared" si="5"/>
        <v>53975</v>
      </c>
      <c r="I18" s="7">
        <f t="shared" si="5"/>
        <v>51149</v>
      </c>
      <c r="J18" s="7">
        <f t="shared" si="5"/>
        <v>38088</v>
      </c>
      <c r="K18" s="7">
        <f t="shared" si="5"/>
        <v>29569</v>
      </c>
      <c r="L18" s="7">
        <f t="shared" si="5"/>
        <v>42360.274570389804</v>
      </c>
      <c r="M18" s="7">
        <f t="shared" si="5"/>
        <v>43830.740325405888</v>
      </c>
      <c r="N18" s="7">
        <f t="shared" si="5"/>
        <v>45176.495200458121</v>
      </c>
      <c r="O18" s="7">
        <f t="shared" si="5"/>
        <v>48804.524802924243</v>
      </c>
      <c r="P18" s="7">
        <f t="shared" si="5"/>
        <v>52313.769046206377</v>
      </c>
      <c r="Q18" s="7">
        <f t="shared" si="5"/>
        <v>53985.380173273195</v>
      </c>
    </row>
    <row r="19" spans="2:17" x14ac:dyDescent="0.3">
      <c r="B19" s="109"/>
      <c r="C19" s="98"/>
      <c r="D19" s="3">
        <v>3</v>
      </c>
      <c r="E19" s="7">
        <v>14633</v>
      </c>
      <c r="F19" s="7">
        <f t="shared" ref="F19:Q19" si="6">E19+F41-F9</f>
        <v>20391</v>
      </c>
      <c r="G19" s="7">
        <f t="shared" si="6"/>
        <v>23777</v>
      </c>
      <c r="H19" s="7">
        <f t="shared" si="6"/>
        <v>25949</v>
      </c>
      <c r="I19" s="7">
        <f t="shared" si="6"/>
        <v>22135</v>
      </c>
      <c r="J19" s="7">
        <f t="shared" si="6"/>
        <v>17996</v>
      </c>
      <c r="K19" s="7">
        <f t="shared" si="6"/>
        <v>13594</v>
      </c>
      <c r="L19" s="7">
        <f t="shared" si="6"/>
        <v>14208.944183046688</v>
      </c>
      <c r="M19" s="7">
        <f t="shared" si="6"/>
        <v>13840.767327572796</v>
      </c>
      <c r="N19" s="7">
        <f t="shared" si="6"/>
        <v>14111.797103505185</v>
      </c>
      <c r="O19" s="7">
        <f t="shared" si="6"/>
        <v>14988.018871255801</v>
      </c>
      <c r="P19" s="7">
        <f t="shared" si="6"/>
        <v>14830.739521100355</v>
      </c>
      <c r="Q19" s="7">
        <f t="shared" si="6"/>
        <v>12751.9602724869</v>
      </c>
    </row>
    <row r="20" spans="2:17" x14ac:dyDescent="0.3">
      <c r="B20" s="13"/>
      <c r="C20" s="110" t="s">
        <v>15</v>
      </c>
      <c r="D20" s="110"/>
      <c r="E20" s="9">
        <f>SUM(E14:E19)</f>
        <v>288517</v>
      </c>
      <c r="F20" s="9">
        <f t="shared" ref="F20:Q20" si="7">SUM(F14:F19)</f>
        <v>282244</v>
      </c>
      <c r="G20" s="9">
        <f t="shared" si="7"/>
        <v>247516</v>
      </c>
      <c r="H20" s="9">
        <f t="shared" si="7"/>
        <v>256170</v>
      </c>
      <c r="I20" s="9">
        <f t="shared" si="7"/>
        <v>229192</v>
      </c>
      <c r="J20" s="9">
        <f t="shared" si="7"/>
        <v>177633</v>
      </c>
      <c r="K20" s="9">
        <f t="shared" si="7"/>
        <v>132498</v>
      </c>
      <c r="L20" s="9">
        <f t="shared" si="7"/>
        <v>166342.46902094356</v>
      </c>
      <c r="M20" s="9">
        <f t="shared" si="7"/>
        <v>166857.0343803209</v>
      </c>
      <c r="N20" s="9">
        <f t="shared" si="7"/>
        <v>168027.01561086113</v>
      </c>
      <c r="O20" s="9">
        <f t="shared" si="7"/>
        <v>173727.58876463579</v>
      </c>
      <c r="P20" s="9">
        <f t="shared" si="7"/>
        <v>175979.11402254179</v>
      </c>
      <c r="Q20" s="9">
        <f t="shared" si="7"/>
        <v>172705.14432669547</v>
      </c>
    </row>
    <row r="22" spans="2:17" ht="17.25" x14ac:dyDescent="0.3">
      <c r="B22" s="74" t="s">
        <v>68</v>
      </c>
      <c r="F22" s="10" t="s">
        <v>22</v>
      </c>
      <c r="G22" s="10"/>
      <c r="H22" s="10"/>
      <c r="I22" s="10" t="s">
        <v>23</v>
      </c>
      <c r="J22" s="10"/>
      <c r="K22" s="10"/>
    </row>
    <row r="23" spans="2:17" x14ac:dyDescent="0.3">
      <c r="B23" s="106" t="s">
        <v>17</v>
      </c>
      <c r="C23" s="106"/>
      <c r="D23" s="106"/>
      <c r="E23" s="14" t="s">
        <v>6</v>
      </c>
      <c r="F23" s="14" t="s">
        <v>18</v>
      </c>
      <c r="G23" s="14" t="s">
        <v>8</v>
      </c>
      <c r="H23" s="14" t="s">
        <v>9</v>
      </c>
      <c r="I23" s="14" t="s">
        <v>10</v>
      </c>
      <c r="J23" s="14" t="s">
        <v>11</v>
      </c>
      <c r="K23" s="14" t="s">
        <v>12</v>
      </c>
    </row>
    <row r="24" spans="2:17" x14ac:dyDescent="0.3">
      <c r="B24" s="100"/>
      <c r="C24" s="97" t="s">
        <v>13</v>
      </c>
      <c r="D24" s="1">
        <v>1</v>
      </c>
      <c r="E24" s="66"/>
      <c r="F24" s="7">
        <v>16000</v>
      </c>
      <c r="G24" s="7">
        <v>8000</v>
      </c>
      <c r="H24" s="7">
        <v>10000</v>
      </c>
      <c r="I24" s="7">
        <v>8000</v>
      </c>
      <c r="J24" s="7">
        <v>9000</v>
      </c>
      <c r="K24" s="7">
        <v>8000</v>
      </c>
    </row>
    <row r="25" spans="2:17" x14ac:dyDescent="0.3">
      <c r="B25" s="100"/>
      <c r="C25" s="97"/>
      <c r="D25" s="1">
        <v>2</v>
      </c>
      <c r="E25" s="66"/>
      <c r="F25" s="7">
        <v>14000</v>
      </c>
      <c r="G25" s="7">
        <v>8000</v>
      </c>
      <c r="H25" s="7">
        <v>9000</v>
      </c>
      <c r="I25" s="7">
        <v>9000</v>
      </c>
      <c r="J25" s="7">
        <v>6000</v>
      </c>
      <c r="K25" s="7">
        <v>5000</v>
      </c>
    </row>
    <row r="26" spans="2:17" x14ac:dyDescent="0.3">
      <c r="B26" s="100"/>
      <c r="C26" s="97"/>
      <c r="D26" s="1">
        <v>3</v>
      </c>
      <c r="E26" s="66"/>
      <c r="F26" s="7"/>
      <c r="G26" s="7">
        <v>3500</v>
      </c>
      <c r="H26" s="7">
        <v>3500</v>
      </c>
      <c r="I26" s="7">
        <v>3000</v>
      </c>
      <c r="J26" s="7">
        <v>5000</v>
      </c>
      <c r="K26" s="7">
        <v>2000</v>
      </c>
    </row>
    <row r="27" spans="2:17" x14ac:dyDescent="0.3">
      <c r="B27" s="100"/>
      <c r="C27" s="98" t="s">
        <v>14</v>
      </c>
      <c r="D27" s="3">
        <v>1</v>
      </c>
      <c r="E27" s="66">
        <v>3840</v>
      </c>
      <c r="F27" s="7">
        <v>26000</v>
      </c>
      <c r="G27" s="7">
        <v>15000</v>
      </c>
      <c r="H27" s="7">
        <v>12000</v>
      </c>
      <c r="I27" s="7">
        <v>15000</v>
      </c>
      <c r="J27" s="7">
        <v>12000</v>
      </c>
      <c r="K27" s="7">
        <v>15000</v>
      </c>
    </row>
    <row r="28" spans="2:17" x14ac:dyDescent="0.3">
      <c r="B28" s="100"/>
      <c r="C28" s="98"/>
      <c r="D28" s="3">
        <v>2</v>
      </c>
      <c r="E28" s="66">
        <v>5376</v>
      </c>
      <c r="F28" s="7">
        <v>27000</v>
      </c>
      <c r="G28" s="7">
        <v>16000</v>
      </c>
      <c r="H28" s="7">
        <v>16000</v>
      </c>
      <c r="I28" s="7">
        <v>19000</v>
      </c>
      <c r="J28" s="7">
        <v>19000</v>
      </c>
      <c r="K28" s="7">
        <v>18000</v>
      </c>
    </row>
    <row r="29" spans="2:17" x14ac:dyDescent="0.3">
      <c r="B29" s="100"/>
      <c r="C29" s="98"/>
      <c r="D29" s="3">
        <v>3</v>
      </c>
      <c r="E29" s="66"/>
      <c r="F29" s="7">
        <v>5000</v>
      </c>
      <c r="G29" s="7">
        <v>4000</v>
      </c>
      <c r="H29" s="7">
        <v>5000</v>
      </c>
      <c r="I29" s="7">
        <v>5000</v>
      </c>
      <c r="J29" s="7">
        <v>4000</v>
      </c>
      <c r="K29" s="7">
        <v>2000</v>
      </c>
    </row>
    <row r="30" spans="2:17" x14ac:dyDescent="0.3">
      <c r="B30" s="100"/>
      <c r="C30" s="101" t="s">
        <v>15</v>
      </c>
      <c r="D30" s="101"/>
      <c r="E30" s="25">
        <f>SUM(E24:E29)</f>
        <v>9216</v>
      </c>
      <c r="F30" s="25">
        <f t="shared" ref="F30:K30" si="8">SUM(F24:F29)</f>
        <v>88000</v>
      </c>
      <c r="G30" s="25">
        <f t="shared" si="8"/>
        <v>54500</v>
      </c>
      <c r="H30" s="25">
        <f t="shared" si="8"/>
        <v>55500</v>
      </c>
      <c r="I30" s="25">
        <f t="shared" si="8"/>
        <v>59000</v>
      </c>
      <c r="J30" s="25">
        <f t="shared" si="8"/>
        <v>55000</v>
      </c>
      <c r="K30" s="25">
        <f t="shared" si="8"/>
        <v>50000</v>
      </c>
    </row>
    <row r="31" spans="2:17" x14ac:dyDescent="0.3">
      <c r="B31" s="100"/>
      <c r="C31" s="105" t="s">
        <v>63</v>
      </c>
      <c r="D31" s="101"/>
      <c r="E31" s="25">
        <f>단가!D30</f>
        <v>196577.27999999997</v>
      </c>
      <c r="F31" s="25">
        <f>단가!E30</f>
        <v>1711140</v>
      </c>
      <c r="G31" s="25">
        <f>단가!F30</f>
        <v>1054650</v>
      </c>
      <c r="H31" s="25">
        <f>단가!G30</f>
        <v>1059390</v>
      </c>
      <c r="I31" s="25">
        <f>단가!H30</f>
        <v>1147870</v>
      </c>
      <c r="J31" s="25">
        <f>단가!I30</f>
        <v>1062550</v>
      </c>
      <c r="K31" s="25">
        <f>단가!J30</f>
        <v>983550</v>
      </c>
    </row>
    <row r="32" spans="2:17" x14ac:dyDescent="0.3">
      <c r="B32" s="100"/>
      <c r="C32" s="103" t="s">
        <v>19</v>
      </c>
      <c r="D32" s="104"/>
      <c r="E32" s="25">
        <f>단가!D31</f>
        <v>286369849.95839995</v>
      </c>
      <c r="F32" s="25">
        <f>단가!E31</f>
        <v>2492754529.1999998</v>
      </c>
      <c r="G32" s="25">
        <f>단가!F31</f>
        <v>1536393027</v>
      </c>
      <c r="H32" s="25">
        <f>단가!G31</f>
        <v>1543298164.2</v>
      </c>
      <c r="I32" s="25">
        <f>단가!H31</f>
        <v>1672194058.5999999</v>
      </c>
      <c r="J32" s="25">
        <f>단가!I31</f>
        <v>1547901589</v>
      </c>
      <c r="K32" s="25">
        <f>단가!J31</f>
        <v>1432815969</v>
      </c>
    </row>
    <row r="33" spans="2:17" hidden="1" outlineLevel="1" x14ac:dyDescent="0.3"/>
    <row r="34" spans="2:17" hidden="1" outlineLevel="1" x14ac:dyDescent="0.3">
      <c r="B34" t="s">
        <v>33</v>
      </c>
      <c r="K34" t="s">
        <v>6</v>
      </c>
      <c r="L34" t="s">
        <v>18</v>
      </c>
      <c r="M34" t="s">
        <v>8</v>
      </c>
      <c r="N34" t="s">
        <v>9</v>
      </c>
      <c r="O34" t="s">
        <v>10</v>
      </c>
      <c r="P34" t="s">
        <v>11</v>
      </c>
      <c r="Q34" t="s">
        <v>12</v>
      </c>
    </row>
    <row r="35" spans="2:17" hidden="1" outlineLevel="1" x14ac:dyDescent="0.3">
      <c r="B35" s="106" t="s">
        <v>17</v>
      </c>
      <c r="C35" s="106"/>
      <c r="D35" s="106"/>
      <c r="E35" s="14" t="s">
        <v>6</v>
      </c>
      <c r="F35" s="14" t="s">
        <v>18</v>
      </c>
      <c r="G35" s="14" t="s">
        <v>8</v>
      </c>
      <c r="H35" s="14" t="s">
        <v>9</v>
      </c>
      <c r="I35" s="14" t="s">
        <v>10</v>
      </c>
      <c r="J35" s="14" t="s">
        <v>11</v>
      </c>
      <c r="K35" s="15" t="s">
        <v>12</v>
      </c>
      <c r="L35" s="14" t="s">
        <v>20</v>
      </c>
      <c r="M35" s="14" t="s">
        <v>21</v>
      </c>
      <c r="N35" s="14" t="s">
        <v>3</v>
      </c>
      <c r="O35" s="14" t="s">
        <v>4</v>
      </c>
      <c r="P35" s="14" t="s">
        <v>5</v>
      </c>
      <c r="Q35" s="14" t="s">
        <v>59</v>
      </c>
    </row>
    <row r="36" spans="2:17" hidden="1" outlineLevel="1" x14ac:dyDescent="0.3">
      <c r="B36" s="100"/>
      <c r="C36" s="97" t="s">
        <v>13</v>
      </c>
      <c r="D36" s="1">
        <v>1</v>
      </c>
      <c r="E36" s="16">
        <v>5776</v>
      </c>
      <c r="F36" s="17"/>
      <c r="G36" s="17"/>
      <c r="H36" s="18"/>
      <c r="I36" s="19">
        <v>2880</v>
      </c>
      <c r="J36" s="20"/>
      <c r="K36" s="67">
        <f t="shared" ref="K36:K41" si="9">E24</f>
        <v>0</v>
      </c>
      <c r="L36" s="67">
        <f>F24</f>
        <v>16000</v>
      </c>
      <c r="M36" s="67">
        <f t="shared" ref="M36:Q36" si="10">G24</f>
        <v>8000</v>
      </c>
      <c r="N36" s="67">
        <f t="shared" si="10"/>
        <v>10000</v>
      </c>
      <c r="O36" s="67">
        <f t="shared" si="10"/>
        <v>8000</v>
      </c>
      <c r="P36" s="67">
        <f t="shared" si="10"/>
        <v>9000</v>
      </c>
      <c r="Q36" s="67">
        <f t="shared" si="10"/>
        <v>8000</v>
      </c>
    </row>
    <row r="37" spans="2:17" hidden="1" outlineLevel="1" x14ac:dyDescent="0.3">
      <c r="B37" s="100"/>
      <c r="C37" s="97"/>
      <c r="D37" s="1">
        <v>2</v>
      </c>
      <c r="E37" s="16">
        <v>17012</v>
      </c>
      <c r="F37" s="17"/>
      <c r="G37" s="17"/>
      <c r="H37" s="18"/>
      <c r="I37" s="19">
        <v>9792</v>
      </c>
      <c r="J37" s="20"/>
      <c r="K37" s="67">
        <f t="shared" si="9"/>
        <v>0</v>
      </c>
      <c r="L37" s="67">
        <f t="shared" ref="L37:Q37" si="11">F25</f>
        <v>14000</v>
      </c>
      <c r="M37" s="67">
        <f t="shared" si="11"/>
        <v>8000</v>
      </c>
      <c r="N37" s="67">
        <f t="shared" si="11"/>
        <v>9000</v>
      </c>
      <c r="O37" s="67">
        <f t="shared" si="11"/>
        <v>9000</v>
      </c>
      <c r="P37" s="67">
        <f t="shared" si="11"/>
        <v>6000</v>
      </c>
      <c r="Q37" s="67">
        <f t="shared" si="11"/>
        <v>5000</v>
      </c>
    </row>
    <row r="38" spans="2:17" hidden="1" outlineLevel="1" x14ac:dyDescent="0.3">
      <c r="B38" s="100"/>
      <c r="C38" s="97"/>
      <c r="D38" s="1">
        <v>3</v>
      </c>
      <c r="E38" s="17"/>
      <c r="F38" s="17"/>
      <c r="G38" s="17"/>
      <c r="H38" s="18"/>
      <c r="I38" s="18"/>
      <c r="J38" s="20"/>
      <c r="K38" s="67">
        <f t="shared" si="9"/>
        <v>0</v>
      </c>
      <c r="L38" s="67">
        <f t="shared" ref="L38:Q38" si="12">F26</f>
        <v>0</v>
      </c>
      <c r="M38" s="67">
        <f t="shared" si="12"/>
        <v>3500</v>
      </c>
      <c r="N38" s="67">
        <f t="shared" si="12"/>
        <v>3500</v>
      </c>
      <c r="O38" s="67">
        <f t="shared" si="12"/>
        <v>3000</v>
      </c>
      <c r="P38" s="67">
        <f t="shared" si="12"/>
        <v>5000</v>
      </c>
      <c r="Q38" s="67">
        <f t="shared" si="12"/>
        <v>2000</v>
      </c>
    </row>
    <row r="39" spans="2:17" hidden="1" outlineLevel="1" x14ac:dyDescent="0.3">
      <c r="B39" s="100"/>
      <c r="C39" s="98" t="s">
        <v>14</v>
      </c>
      <c r="D39" s="3">
        <v>1</v>
      </c>
      <c r="E39" s="16">
        <v>36072</v>
      </c>
      <c r="F39" s="16">
        <v>10368</v>
      </c>
      <c r="G39" s="16">
        <v>1490</v>
      </c>
      <c r="H39" s="19">
        <v>31868</v>
      </c>
      <c r="I39" s="18"/>
      <c r="J39" s="21"/>
      <c r="K39" s="67">
        <f t="shared" si="9"/>
        <v>3840</v>
      </c>
      <c r="L39" s="67">
        <f t="shared" ref="L39:Q39" si="13">F27</f>
        <v>26000</v>
      </c>
      <c r="M39" s="67">
        <f t="shared" si="13"/>
        <v>15000</v>
      </c>
      <c r="N39" s="67">
        <f t="shared" si="13"/>
        <v>12000</v>
      </c>
      <c r="O39" s="67">
        <f t="shared" si="13"/>
        <v>15000</v>
      </c>
      <c r="P39" s="67">
        <f t="shared" si="13"/>
        <v>12000</v>
      </c>
      <c r="Q39" s="67">
        <f t="shared" si="13"/>
        <v>15000</v>
      </c>
    </row>
    <row r="40" spans="2:17" hidden="1" outlineLevel="1" x14ac:dyDescent="0.3">
      <c r="B40" s="100"/>
      <c r="C40" s="98"/>
      <c r="D40" s="3">
        <v>2</v>
      </c>
      <c r="E40" s="22">
        <v>9508</v>
      </c>
      <c r="F40" s="16">
        <v>19968</v>
      </c>
      <c r="G40" s="23">
        <v>1364</v>
      </c>
      <c r="H40" s="19">
        <v>17664</v>
      </c>
      <c r="I40" s="19">
        <v>9216</v>
      </c>
      <c r="J40" s="21"/>
      <c r="K40" s="67">
        <f t="shared" si="9"/>
        <v>5376</v>
      </c>
      <c r="L40" s="67">
        <f t="shared" ref="L40:Q40" si="14">F28</f>
        <v>27000</v>
      </c>
      <c r="M40" s="67">
        <f t="shared" si="14"/>
        <v>16000</v>
      </c>
      <c r="N40" s="67">
        <f t="shared" si="14"/>
        <v>16000</v>
      </c>
      <c r="O40" s="67">
        <f t="shared" si="14"/>
        <v>19000</v>
      </c>
      <c r="P40" s="67">
        <f t="shared" si="14"/>
        <v>19000</v>
      </c>
      <c r="Q40" s="67">
        <f t="shared" si="14"/>
        <v>18000</v>
      </c>
    </row>
    <row r="41" spans="2:17" hidden="1" outlineLevel="1" x14ac:dyDescent="0.3">
      <c r="B41" s="100"/>
      <c r="C41" s="98"/>
      <c r="D41" s="3">
        <v>3</v>
      </c>
      <c r="E41" s="24">
        <v>3508</v>
      </c>
      <c r="F41" s="16">
        <v>9216</v>
      </c>
      <c r="G41" s="16">
        <v>6740</v>
      </c>
      <c r="H41" s="19">
        <v>5760</v>
      </c>
      <c r="I41" s="18"/>
      <c r="J41" s="20"/>
      <c r="K41" s="67">
        <f t="shared" si="9"/>
        <v>0</v>
      </c>
      <c r="L41" s="67">
        <f t="shared" ref="L41:Q41" si="15">F29</f>
        <v>5000</v>
      </c>
      <c r="M41" s="67">
        <f t="shared" si="15"/>
        <v>4000</v>
      </c>
      <c r="N41" s="67">
        <f t="shared" si="15"/>
        <v>5000</v>
      </c>
      <c r="O41" s="67">
        <f t="shared" si="15"/>
        <v>5000</v>
      </c>
      <c r="P41" s="67">
        <f t="shared" si="15"/>
        <v>4000</v>
      </c>
      <c r="Q41" s="67">
        <f t="shared" si="15"/>
        <v>2000</v>
      </c>
    </row>
    <row r="42" spans="2:17" hidden="1" outlineLevel="1" x14ac:dyDescent="0.3">
      <c r="B42" s="100"/>
      <c r="C42" s="101" t="s">
        <v>15</v>
      </c>
      <c r="D42" s="101"/>
      <c r="E42" s="25">
        <f>SUM(E36:E41)</f>
        <v>71876</v>
      </c>
      <c r="F42" s="25">
        <f t="shared" ref="F42:Q42" si="16">SUM(F36:F41)</f>
        <v>39552</v>
      </c>
      <c r="G42" s="25">
        <f t="shared" si="16"/>
        <v>9594</v>
      </c>
      <c r="H42" s="25">
        <f t="shared" si="16"/>
        <v>55292</v>
      </c>
      <c r="I42" s="25">
        <f t="shared" si="16"/>
        <v>21888</v>
      </c>
      <c r="J42" s="25">
        <f t="shared" si="16"/>
        <v>0</v>
      </c>
      <c r="K42" s="25">
        <f t="shared" si="16"/>
        <v>9216</v>
      </c>
      <c r="L42" s="25">
        <f t="shared" si="16"/>
        <v>88000</v>
      </c>
      <c r="M42" s="25">
        <f t="shared" si="16"/>
        <v>54500</v>
      </c>
      <c r="N42" s="25">
        <f t="shared" si="16"/>
        <v>55500</v>
      </c>
      <c r="O42" s="25">
        <f t="shared" si="16"/>
        <v>59000</v>
      </c>
      <c r="P42" s="25">
        <f t="shared" si="16"/>
        <v>55000</v>
      </c>
      <c r="Q42" s="25">
        <f t="shared" si="16"/>
        <v>50000</v>
      </c>
    </row>
    <row r="43" spans="2:17" hidden="1" outlineLevel="1" x14ac:dyDescent="0.3">
      <c r="B43" s="42"/>
      <c r="C43" s="43"/>
      <c r="D43" s="43"/>
      <c r="E43" s="44"/>
      <c r="F43" s="44"/>
      <c r="G43" s="44"/>
      <c r="H43" s="44"/>
      <c r="I43" s="44"/>
      <c r="J43" s="44"/>
      <c r="K43" s="45"/>
      <c r="L43" s="44"/>
      <c r="M43" s="44"/>
      <c r="N43" s="44"/>
      <c r="O43" s="44"/>
      <c r="P43" s="44"/>
      <c r="Q43" s="44"/>
    </row>
    <row r="44" spans="2:17" hidden="1" outlineLevel="1" x14ac:dyDescent="0.3">
      <c r="B44" s="63" t="s">
        <v>58</v>
      </c>
      <c r="C44" s="43"/>
      <c r="D44" s="43"/>
      <c r="E44" s="44"/>
      <c r="F44" s="44"/>
      <c r="G44" s="44"/>
      <c r="H44" s="44"/>
      <c r="I44" s="44"/>
      <c r="J44" s="44"/>
      <c r="K44" s="45"/>
      <c r="L44" s="44"/>
      <c r="M44" s="44"/>
      <c r="N44" s="44"/>
      <c r="O44" s="44"/>
      <c r="P44" s="44"/>
      <c r="Q44" s="44"/>
    </row>
    <row r="45" spans="2:17" hidden="1" outlineLevel="1" x14ac:dyDescent="0.2">
      <c r="B45" s="102" t="s">
        <v>57</v>
      </c>
      <c r="C45" s="102"/>
      <c r="D45" s="102"/>
      <c r="E45" s="5" t="s">
        <v>6</v>
      </c>
      <c r="F45" s="5" t="s">
        <v>18</v>
      </c>
      <c r="G45" s="5" t="s">
        <v>8</v>
      </c>
      <c r="H45" s="5" t="s">
        <v>9</v>
      </c>
      <c r="I45" s="5" t="s">
        <v>10</v>
      </c>
      <c r="J45" s="5" t="s">
        <v>11</v>
      </c>
      <c r="K45" s="5" t="s">
        <v>12</v>
      </c>
      <c r="L45" s="5" t="s">
        <v>20</v>
      </c>
      <c r="M45" s="5" t="s">
        <v>21</v>
      </c>
      <c r="N45" s="5" t="s">
        <v>3</v>
      </c>
      <c r="O45" s="5" t="s">
        <v>4</v>
      </c>
      <c r="P45" s="5" t="s">
        <v>5</v>
      </c>
      <c r="Q45" s="5" t="s">
        <v>59</v>
      </c>
    </row>
    <row r="46" spans="2:17" hidden="1" outlineLevel="1" x14ac:dyDescent="0.2">
      <c r="B46" s="96"/>
      <c r="C46" s="97" t="s">
        <v>13</v>
      </c>
      <c r="D46" s="2">
        <v>1</v>
      </c>
      <c r="E46" s="64">
        <f t="shared" ref="E46:Q46" si="17">E14/E4</f>
        <v>7.1803371422106572</v>
      </c>
      <c r="F46" s="64">
        <f t="shared" si="17"/>
        <v>7.1819002191568906</v>
      </c>
      <c r="G46" s="64">
        <f t="shared" si="17"/>
        <v>6.5040409482758621</v>
      </c>
      <c r="H46" s="64">
        <f t="shared" si="17"/>
        <v>5.1841700819672134</v>
      </c>
      <c r="I46" s="64">
        <f t="shared" si="17"/>
        <v>4.362107346030176</v>
      </c>
      <c r="J46" s="64">
        <f t="shared" si="17"/>
        <v>3.2707349558057874</v>
      </c>
      <c r="K46" s="64">
        <f t="shared" si="17"/>
        <v>2.1149677121771218</v>
      </c>
      <c r="L46" s="64">
        <f t="shared" si="17"/>
        <v>3.0607740866476409</v>
      </c>
      <c r="M46" s="64">
        <f t="shared" si="17"/>
        <v>3.1087410932866599</v>
      </c>
      <c r="N46" s="64">
        <f t="shared" si="17"/>
        <v>3.3366976376454964</v>
      </c>
      <c r="O46" s="64">
        <f t="shared" si="17"/>
        <v>3.3443650227266235</v>
      </c>
      <c r="P46" s="64">
        <f t="shared" si="17"/>
        <v>3.3636466063784756</v>
      </c>
      <c r="Q46" s="64">
        <f t="shared" si="17"/>
        <v>3.1947575760306703</v>
      </c>
    </row>
    <row r="47" spans="2:17" hidden="1" outlineLevel="1" x14ac:dyDescent="0.2">
      <c r="B47" s="96"/>
      <c r="C47" s="97"/>
      <c r="D47" s="2">
        <v>2</v>
      </c>
      <c r="E47" s="64">
        <f t="shared" ref="E47:Q47" si="18">E15/E5</f>
        <v>7.8414371993039209</v>
      </c>
      <c r="F47" s="64">
        <f t="shared" si="18"/>
        <v>6.7549099007896336</v>
      </c>
      <c r="G47" s="64">
        <f t="shared" si="18"/>
        <v>6.1089921159173235</v>
      </c>
      <c r="H47" s="64">
        <f t="shared" si="18"/>
        <v>4.9314161580635147</v>
      </c>
      <c r="I47" s="64">
        <f t="shared" si="18"/>
        <v>4.8285830205903233</v>
      </c>
      <c r="J47" s="64">
        <f t="shared" si="18"/>
        <v>3.7805784294034948</v>
      </c>
      <c r="K47" s="64">
        <f t="shared" si="18"/>
        <v>2.6707293291731671</v>
      </c>
      <c r="L47" s="64">
        <f t="shared" si="18"/>
        <v>3.1735267390877451</v>
      </c>
      <c r="M47" s="64">
        <f t="shared" si="18"/>
        <v>3.1160257441656976</v>
      </c>
      <c r="N47" s="64">
        <f t="shared" si="18"/>
        <v>3.1529880092706959</v>
      </c>
      <c r="O47" s="64">
        <f t="shared" si="18"/>
        <v>3.2734542505170672</v>
      </c>
      <c r="P47" s="64">
        <f t="shared" si="18"/>
        <v>3.2500829986147952</v>
      </c>
      <c r="Q47" s="64">
        <f t="shared" si="18"/>
        <v>3.2087452031515866</v>
      </c>
    </row>
    <row r="48" spans="2:17" hidden="1" outlineLevel="1" x14ac:dyDescent="0.2">
      <c r="B48" s="96"/>
      <c r="C48" s="97"/>
      <c r="D48" s="2">
        <v>3</v>
      </c>
      <c r="E48" s="64">
        <f t="shared" ref="E48:Q48" si="19">E16/E6</f>
        <v>9.0479704797047962</v>
      </c>
      <c r="F48" s="64">
        <f t="shared" si="19"/>
        <v>9.5759787657597872</v>
      </c>
      <c r="G48" s="64">
        <f t="shared" si="19"/>
        <v>9.0110995490808179</v>
      </c>
      <c r="H48" s="64">
        <f t="shared" si="19"/>
        <v>7.5626235992089654</v>
      </c>
      <c r="I48" s="64">
        <f t="shared" si="19"/>
        <v>6.3026734563971996</v>
      </c>
      <c r="J48" s="64">
        <f t="shared" si="19"/>
        <v>5.1691588785046729</v>
      </c>
      <c r="K48" s="64">
        <f t="shared" si="19"/>
        <v>3.9237388724035607</v>
      </c>
      <c r="L48" s="64">
        <f t="shared" si="19"/>
        <v>2.9845183620340534</v>
      </c>
      <c r="M48" s="64">
        <f t="shared" si="19"/>
        <v>3.1017494947125446</v>
      </c>
      <c r="N48" s="64">
        <f t="shared" si="19"/>
        <v>3.0032385494267566</v>
      </c>
      <c r="O48" s="64">
        <f t="shared" si="19"/>
        <v>3.1919299767892051</v>
      </c>
      <c r="P48" s="64">
        <f t="shared" si="19"/>
        <v>3.6445754740559737</v>
      </c>
      <c r="Q48" s="64">
        <f t="shared" si="19"/>
        <v>3.3560189275950401</v>
      </c>
    </row>
    <row r="49" spans="2:17" hidden="1" outlineLevel="1" x14ac:dyDescent="0.2">
      <c r="B49" s="96"/>
      <c r="C49" s="98" t="s">
        <v>14</v>
      </c>
      <c r="D49" s="4">
        <v>1</v>
      </c>
      <c r="E49" s="64">
        <f t="shared" ref="E49:Q49" si="20">E17/E7</f>
        <v>4.5214124718256947</v>
      </c>
      <c r="F49" s="64">
        <f t="shared" si="20"/>
        <v>4.846167784018844</v>
      </c>
      <c r="G49" s="64">
        <f t="shared" si="20"/>
        <v>4.2438721983786358</v>
      </c>
      <c r="H49" s="64">
        <f t="shared" si="20"/>
        <v>5.8097913322632424</v>
      </c>
      <c r="I49" s="64">
        <f t="shared" si="20"/>
        <v>4.4643126729849874</v>
      </c>
      <c r="J49" s="64">
        <f t="shared" si="20"/>
        <v>3.1159913393133314</v>
      </c>
      <c r="K49" s="64">
        <f t="shared" si="20"/>
        <v>2.2084908403605699</v>
      </c>
      <c r="L49" s="64">
        <f t="shared" si="20"/>
        <v>3.0652159935960204</v>
      </c>
      <c r="M49" s="64">
        <f t="shared" si="20"/>
        <v>3.1130225171157653</v>
      </c>
      <c r="N49" s="64">
        <f t="shared" si="20"/>
        <v>2.9776534638158636</v>
      </c>
      <c r="O49" s="64">
        <f t="shared" si="20"/>
        <v>3.196262891007172</v>
      </c>
      <c r="P49" s="64">
        <f t="shared" si="20"/>
        <v>3.1766353342395921</v>
      </c>
      <c r="Q49" s="64">
        <f t="shared" si="20"/>
        <v>3.2205376267914465</v>
      </c>
    </row>
    <row r="50" spans="2:17" hidden="1" outlineLevel="1" x14ac:dyDescent="0.2">
      <c r="B50" s="96"/>
      <c r="C50" s="98"/>
      <c r="D50" s="4">
        <v>2</v>
      </c>
      <c r="E50" s="64">
        <f t="shared" ref="E50:Q50" si="21">E18/E8</f>
        <v>4.2074856891237342</v>
      </c>
      <c r="F50" s="64">
        <f t="shared" si="21"/>
        <v>5.3430711610486892</v>
      </c>
      <c r="G50" s="64">
        <f t="shared" si="21"/>
        <v>4.41501390176089</v>
      </c>
      <c r="H50" s="64">
        <f t="shared" si="21"/>
        <v>4.7651628851416969</v>
      </c>
      <c r="I50" s="64">
        <f t="shared" si="21"/>
        <v>4.2475502408237835</v>
      </c>
      <c r="J50" s="64">
        <f t="shared" si="21"/>
        <v>2.916162621545058</v>
      </c>
      <c r="K50" s="64">
        <f t="shared" si="21"/>
        <v>2.1280316660669305</v>
      </c>
      <c r="L50" s="64">
        <f t="shared" si="21"/>
        <v>2.9812860259874778</v>
      </c>
      <c r="M50" s="64">
        <f t="shared" si="21"/>
        <v>3.0166651997491067</v>
      </c>
      <c r="N50" s="64">
        <f t="shared" si="21"/>
        <v>3.0828264994386156</v>
      </c>
      <c r="O50" s="64">
        <f t="shared" si="21"/>
        <v>3.1749036422002184</v>
      </c>
      <c r="P50" s="64">
        <f t="shared" si="21"/>
        <v>3.3770959834234988</v>
      </c>
      <c r="Q50" s="64">
        <f t="shared" si="21"/>
        <v>3.306228225784253</v>
      </c>
    </row>
    <row r="51" spans="2:17" hidden="1" outlineLevel="1" x14ac:dyDescent="0.2">
      <c r="B51" s="96"/>
      <c r="C51" s="98"/>
      <c r="D51" s="4">
        <v>3</v>
      </c>
      <c r="E51" s="64">
        <f t="shared" ref="E51:Q51" si="22">E19/E9</f>
        <v>3.7850491464045524</v>
      </c>
      <c r="F51" s="64">
        <f t="shared" si="22"/>
        <v>5.8967611336032393</v>
      </c>
      <c r="G51" s="64">
        <f t="shared" si="22"/>
        <v>7.0891472868217056</v>
      </c>
      <c r="H51" s="64">
        <f t="shared" si="22"/>
        <v>7.2321627647714601</v>
      </c>
      <c r="I51" s="64">
        <f t="shared" si="22"/>
        <v>5.8036182485579442</v>
      </c>
      <c r="J51" s="64">
        <f t="shared" si="22"/>
        <v>4.3479101232181687</v>
      </c>
      <c r="K51" s="64">
        <f t="shared" si="22"/>
        <v>3.088141753748296</v>
      </c>
      <c r="L51" s="64">
        <f t="shared" si="22"/>
        <v>3.2403109050773504</v>
      </c>
      <c r="M51" s="64">
        <f t="shared" si="22"/>
        <v>3.1685455478361675</v>
      </c>
      <c r="N51" s="64">
        <f t="shared" si="22"/>
        <v>2.9841162948509687</v>
      </c>
      <c r="O51" s="64">
        <f t="shared" si="22"/>
        <v>3.6345356193124716</v>
      </c>
      <c r="P51" s="64">
        <f t="shared" si="22"/>
        <v>3.5674147133138443</v>
      </c>
      <c r="Q51" s="64">
        <f t="shared" si="22"/>
        <v>3.1264158943688423</v>
      </c>
    </row>
    <row r="52" spans="2:17" hidden="1" outlineLevel="1" x14ac:dyDescent="0.2">
      <c r="B52" s="6"/>
      <c r="C52" s="99" t="s">
        <v>15</v>
      </c>
      <c r="D52" s="99"/>
      <c r="E52" s="65">
        <f>AVERAGE(E46:E51)</f>
        <v>6.0972820214288923</v>
      </c>
      <c r="F52" s="65">
        <f t="shared" ref="F52:Q52" si="23">AVERAGE(F46:F51)</f>
        <v>6.5997981607295158</v>
      </c>
      <c r="G52" s="65">
        <f t="shared" si="23"/>
        <v>6.2286943333725384</v>
      </c>
      <c r="H52" s="65">
        <f t="shared" si="23"/>
        <v>5.9142211369026816</v>
      </c>
      <c r="I52" s="65">
        <f t="shared" si="23"/>
        <v>5.0014741642307357</v>
      </c>
      <c r="J52" s="65">
        <f t="shared" si="23"/>
        <v>3.7667560579650861</v>
      </c>
      <c r="K52" s="65">
        <f t="shared" si="23"/>
        <v>2.6890166956549408</v>
      </c>
      <c r="L52" s="65">
        <f t="shared" si="23"/>
        <v>3.0842720187383814</v>
      </c>
      <c r="M52" s="65">
        <f t="shared" si="23"/>
        <v>3.1041249328109899</v>
      </c>
      <c r="N52" s="65">
        <f t="shared" si="23"/>
        <v>3.0895867424080663</v>
      </c>
      <c r="O52" s="65">
        <f t="shared" si="23"/>
        <v>3.3025752337587928</v>
      </c>
      <c r="P52" s="65">
        <f t="shared" si="23"/>
        <v>3.3965751850043628</v>
      </c>
      <c r="Q52" s="65">
        <f t="shared" si="23"/>
        <v>3.2354505756203067</v>
      </c>
    </row>
    <row r="53" spans="2:17" hidden="1" outlineLevel="1" x14ac:dyDescent="0.3">
      <c r="B53" s="42"/>
      <c r="C53" s="43"/>
      <c r="D53" s="43"/>
      <c r="E53" s="44"/>
      <c r="F53" s="44"/>
      <c r="G53" s="44"/>
      <c r="H53" s="44"/>
      <c r="I53" s="44"/>
      <c r="J53" s="44"/>
      <c r="K53" s="45"/>
      <c r="L53" s="44"/>
      <c r="M53" s="44"/>
      <c r="N53" s="44"/>
      <c r="O53" s="44"/>
      <c r="P53" s="44"/>
      <c r="Q53" s="44"/>
    </row>
    <row r="54" spans="2:17" collapsed="1" x14ac:dyDescent="0.3">
      <c r="B54" s="42"/>
      <c r="C54" s="43"/>
      <c r="D54" s="43"/>
      <c r="E54" s="44"/>
      <c r="F54" s="44"/>
      <c r="G54" s="44"/>
      <c r="H54" s="44"/>
      <c r="I54" s="44"/>
      <c r="J54" s="44"/>
      <c r="K54" s="45"/>
      <c r="L54" s="44"/>
      <c r="M54" s="44"/>
      <c r="N54" s="44"/>
      <c r="O54" s="44"/>
      <c r="P54" s="44"/>
      <c r="Q54" s="44"/>
    </row>
    <row r="55" spans="2:17" ht="18" customHeight="1" x14ac:dyDescent="0.3">
      <c r="B55" s="74" t="s">
        <v>69</v>
      </c>
      <c r="F55" s="68">
        <v>3093000</v>
      </c>
      <c r="G55" s="10"/>
      <c r="H55" s="10"/>
      <c r="I55" s="69">
        <v>3184000</v>
      </c>
      <c r="J55" s="10"/>
      <c r="K55" s="10"/>
    </row>
    <row r="56" spans="2:17" x14ac:dyDescent="0.3">
      <c r="B56" s="106" t="s">
        <v>17</v>
      </c>
      <c r="C56" s="106"/>
      <c r="D56" s="106"/>
      <c r="E56" s="14" t="s">
        <v>6</v>
      </c>
      <c r="F56" s="14" t="s">
        <v>18</v>
      </c>
      <c r="G56" s="14" t="s">
        <v>8</v>
      </c>
      <c r="H56" s="14" t="s">
        <v>9</v>
      </c>
      <c r="I56" s="14" t="s">
        <v>10</v>
      </c>
      <c r="J56" s="14" t="s">
        <v>11</v>
      </c>
      <c r="K56" s="14" t="s">
        <v>12</v>
      </c>
    </row>
    <row r="57" spans="2:17" ht="17.25" customHeight="1" x14ac:dyDescent="0.3">
      <c r="B57" s="107"/>
      <c r="C57" s="105" t="s">
        <v>63</v>
      </c>
      <c r="D57" s="101"/>
      <c r="E57" s="26"/>
      <c r="F57" s="26">
        <f>$F$55/3</f>
        <v>1031000</v>
      </c>
      <c r="G57" s="26">
        <f t="shared" ref="G57:H57" si="24">$F$55/3</f>
        <v>1031000</v>
      </c>
      <c r="H57" s="26">
        <f t="shared" si="24"/>
        <v>1031000</v>
      </c>
      <c r="I57" s="26">
        <f>$I$55/3</f>
        <v>1061333.3333333333</v>
      </c>
      <c r="J57" s="26">
        <f t="shared" ref="J57:K57" si="25">$I$55/3</f>
        <v>1061333.3333333333</v>
      </c>
      <c r="K57" s="26">
        <f t="shared" si="25"/>
        <v>1061333.3333333333</v>
      </c>
    </row>
    <row r="58" spans="2:17" x14ac:dyDescent="0.3">
      <c r="B58" s="108"/>
      <c r="C58" s="103" t="s">
        <v>19</v>
      </c>
      <c r="D58" s="104"/>
      <c r="E58" s="26"/>
      <c r="F58" s="26">
        <f>F57*단가!$F$2</f>
        <v>1501940180</v>
      </c>
      <c r="G58" s="26">
        <f>G57*단가!$F$2</f>
        <v>1501940180</v>
      </c>
      <c r="H58" s="26">
        <f>H57*단가!$F$2</f>
        <v>1501940180</v>
      </c>
      <c r="I58" s="26">
        <f>I57*단가!$F$2</f>
        <v>1546129173.3333333</v>
      </c>
      <c r="J58" s="26">
        <f>J57*단가!$F$2</f>
        <v>1546129173.3333333</v>
      </c>
      <c r="K58" s="26">
        <f>K57*단가!$F$2</f>
        <v>1546129173.3333333</v>
      </c>
    </row>
    <row r="59" spans="2:17" x14ac:dyDescent="0.3">
      <c r="F59" s="91">
        <v>19</v>
      </c>
      <c r="G59" s="87">
        <f>130000/F59</f>
        <v>6842.105263157895</v>
      </c>
    </row>
    <row r="60" spans="2:17" ht="17.25" x14ac:dyDescent="0.3">
      <c r="B60" s="74" t="s">
        <v>70</v>
      </c>
      <c r="G60" s="87">
        <f>I55/F59</f>
        <v>167578.94736842104</v>
      </c>
      <c r="H60" s="87">
        <f>G60-SUM(I30:K30)</f>
        <v>3578.9473684210388</v>
      </c>
    </row>
    <row r="61" spans="2:17" x14ac:dyDescent="0.3">
      <c r="B61" s="70"/>
      <c r="C61" s="70" t="s">
        <v>18</v>
      </c>
      <c r="D61" s="70" t="s">
        <v>8</v>
      </c>
      <c r="E61" s="70" t="s">
        <v>9</v>
      </c>
      <c r="F61" s="70" t="s">
        <v>10</v>
      </c>
      <c r="G61" s="70" t="s">
        <v>11</v>
      </c>
      <c r="H61" s="70" t="s">
        <v>12</v>
      </c>
    </row>
    <row r="62" spans="2:17" x14ac:dyDescent="0.3">
      <c r="B62" s="70" t="s">
        <v>73</v>
      </c>
      <c r="C62" s="71">
        <f>$F$55/3</f>
        <v>1031000</v>
      </c>
      <c r="D62" s="71">
        <f>$F$55/3</f>
        <v>1031000</v>
      </c>
      <c r="E62" s="71">
        <f>$F$55/3</f>
        <v>1031000</v>
      </c>
      <c r="F62" s="71">
        <f>+$I$55/3</f>
        <v>1061333.3333333333</v>
      </c>
      <c r="G62" s="71">
        <f>+$I$55/3</f>
        <v>1061333.3333333333</v>
      </c>
      <c r="H62" s="71">
        <f>+$I$55/3</f>
        <v>1061333.3333333333</v>
      </c>
    </row>
    <row r="63" spans="2:17" x14ac:dyDescent="0.3">
      <c r="B63" s="70" t="s">
        <v>71</v>
      </c>
      <c r="C63" s="71">
        <f>F31</f>
        <v>1711140</v>
      </c>
      <c r="D63" s="71">
        <f t="shared" ref="D63:H63" si="26">G31</f>
        <v>1054650</v>
      </c>
      <c r="E63" s="71">
        <f t="shared" si="26"/>
        <v>1059390</v>
      </c>
      <c r="F63" s="71">
        <f t="shared" si="26"/>
        <v>1147870</v>
      </c>
      <c r="G63" s="71">
        <f t="shared" si="26"/>
        <v>1062550</v>
      </c>
      <c r="H63" s="71">
        <f t="shared" si="26"/>
        <v>983550</v>
      </c>
    </row>
    <row r="64" spans="2:17" x14ac:dyDescent="0.3">
      <c r="B64" s="70" t="s">
        <v>1</v>
      </c>
      <c r="C64" s="72">
        <f>C63-C62</f>
        <v>680140</v>
      </c>
      <c r="D64" s="72">
        <f t="shared" ref="D64:H64" si="27">D63-D62</f>
        <v>23650</v>
      </c>
      <c r="E64" s="72">
        <f t="shared" si="27"/>
        <v>28390</v>
      </c>
      <c r="F64" s="72">
        <f t="shared" si="27"/>
        <v>86536.666666666744</v>
      </c>
      <c r="G64" s="72">
        <f t="shared" si="27"/>
        <v>1216.6666666667443</v>
      </c>
      <c r="H64" s="72">
        <f t="shared" si="27"/>
        <v>-77783.333333333256</v>
      </c>
    </row>
    <row r="66" spans="2:10" x14ac:dyDescent="0.3">
      <c r="B66" s="75"/>
      <c r="C66" s="75" t="s">
        <v>64</v>
      </c>
      <c r="D66" s="75" t="s">
        <v>65</v>
      </c>
    </row>
    <row r="67" spans="2:10" x14ac:dyDescent="0.3">
      <c r="B67" s="75" t="s">
        <v>73</v>
      </c>
      <c r="C67" s="76">
        <f>F55</f>
        <v>3093000</v>
      </c>
      <c r="D67" s="76">
        <f>I55</f>
        <v>3184000</v>
      </c>
      <c r="E67" s="93">
        <f>SUM(C67:D67)</f>
        <v>6277000</v>
      </c>
    </row>
    <row r="68" spans="2:10" x14ac:dyDescent="0.3">
      <c r="B68" s="75" t="s">
        <v>71</v>
      </c>
      <c r="C68" s="76">
        <f>+C63+D63+E63</f>
        <v>3825180</v>
      </c>
      <c r="D68" s="76">
        <f>+F63+G63+H63</f>
        <v>3193970</v>
      </c>
      <c r="E68" s="93">
        <f>SUM(C68:D68)</f>
        <v>7019150</v>
      </c>
    </row>
    <row r="69" spans="2:10" x14ac:dyDescent="0.3">
      <c r="B69" s="75" t="s">
        <v>1</v>
      </c>
      <c r="C69" s="77">
        <f>C68-C67</f>
        <v>732180</v>
      </c>
      <c r="D69" s="77">
        <f>D68-D67</f>
        <v>9970</v>
      </c>
      <c r="E69" s="86"/>
    </row>
    <row r="74" spans="2:10" x14ac:dyDescent="0.3">
      <c r="H74" s="87"/>
    </row>
    <row r="75" spans="2:10" x14ac:dyDescent="0.3">
      <c r="H75" s="92">
        <v>190000</v>
      </c>
      <c r="J75" s="86"/>
    </row>
  </sheetData>
  <mergeCells count="31">
    <mergeCell ref="B13:D13"/>
    <mergeCell ref="B3:D3"/>
    <mergeCell ref="B4:B9"/>
    <mergeCell ref="C4:C6"/>
    <mergeCell ref="C7:C9"/>
    <mergeCell ref="C10:D10"/>
    <mergeCell ref="C32:D32"/>
    <mergeCell ref="C57:D57"/>
    <mergeCell ref="B56:D56"/>
    <mergeCell ref="B57:B58"/>
    <mergeCell ref="B14:B19"/>
    <mergeCell ref="C14:C16"/>
    <mergeCell ref="C17:C19"/>
    <mergeCell ref="C20:D20"/>
    <mergeCell ref="B23:D23"/>
    <mergeCell ref="B24:B32"/>
    <mergeCell ref="C24:C26"/>
    <mergeCell ref="C27:C29"/>
    <mergeCell ref="C30:D30"/>
    <mergeCell ref="C31:D31"/>
    <mergeCell ref="C58:D58"/>
    <mergeCell ref="B35:D35"/>
    <mergeCell ref="B46:B51"/>
    <mergeCell ref="C46:C48"/>
    <mergeCell ref="C49:C51"/>
    <mergeCell ref="C52:D52"/>
    <mergeCell ref="B36:B42"/>
    <mergeCell ref="C36:C38"/>
    <mergeCell ref="C39:C41"/>
    <mergeCell ref="C42:D42"/>
    <mergeCell ref="B45:D45"/>
  </mergeCells>
  <phoneticPr fontId="2" type="noConversion"/>
  <conditionalFormatting sqref="E46:Q51">
    <cfRule type="colorScale" priority="1">
      <colorScale>
        <cfvo type="num" val="3"/>
        <cfvo type="num" val="20"/>
        <color theme="0"/>
        <color rgb="FFF98683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EB0D-50DD-48D9-9F4F-883777204B0D}">
  <dimension ref="A3:AG34"/>
  <sheetViews>
    <sheetView workbookViewId="0">
      <selection activeCell="AA29" sqref="AA29"/>
    </sheetView>
  </sheetViews>
  <sheetFormatPr defaultRowHeight="16.5" x14ac:dyDescent="0.3"/>
  <cols>
    <col min="4" max="15" width="9" hidden="1" customWidth="1"/>
  </cols>
  <sheetData>
    <row r="3" spans="1:33" x14ac:dyDescent="0.3">
      <c r="E3" s="36">
        <f>1-(D5/E5)</f>
        <v>2.5692995529061124E-2</v>
      </c>
      <c r="F3" s="36">
        <f t="shared" ref="F3:AA3" si="0">1-(E5/F5)</f>
        <v>5.5514892179494346E-2</v>
      </c>
      <c r="G3" s="36">
        <f t="shared" si="0"/>
        <v>-6.4808153477218244E-2</v>
      </c>
      <c r="H3" s="36">
        <f t="shared" si="0"/>
        <v>4.3468287647665971E-2</v>
      </c>
      <c r="I3" s="36">
        <f t="shared" si="0"/>
        <v>-0.13521255126619369</v>
      </c>
      <c r="J3" s="36">
        <f t="shared" si="0"/>
        <v>-2.0935796889538727E-2</v>
      </c>
      <c r="K3" s="36">
        <f t="shared" si="0"/>
        <v>-6.8759767012359641E-2</v>
      </c>
      <c r="L3" s="36">
        <f t="shared" si="0"/>
        <v>-4.6458039099085635E-2</v>
      </c>
      <c r="M3" s="36">
        <f t="shared" si="0"/>
        <v>-9.9011518666775489E-2</v>
      </c>
      <c r="N3" s="36">
        <f t="shared" si="0"/>
        <v>-6.0653322935620757E-2</v>
      </c>
      <c r="O3" s="36">
        <f t="shared" si="0"/>
        <v>-2.3410481511040082E-2</v>
      </c>
      <c r="P3" s="36">
        <f t="shared" si="0"/>
        <v>-0.13690896259703589</v>
      </c>
      <c r="Q3" s="36">
        <f t="shared" si="0"/>
        <v>-0.16804050871408394</v>
      </c>
      <c r="R3" s="36">
        <f t="shared" si="0"/>
        <v>-3.5452611675725887E-3</v>
      </c>
      <c r="S3" s="36">
        <f t="shared" si="0"/>
        <v>-7.8608861362554627E-3</v>
      </c>
      <c r="T3" s="36">
        <f t="shared" si="0"/>
        <v>1.9387993459472064E-2</v>
      </c>
      <c r="U3" s="36">
        <f t="shared" si="0"/>
        <v>3.1338386695327514E-2</v>
      </c>
      <c r="V3" s="36">
        <f t="shared" si="0"/>
        <v>-0.13948691504447597</v>
      </c>
      <c r="W3" s="36">
        <f t="shared" si="0"/>
        <v>-4.485452586206895E-2</v>
      </c>
      <c r="X3" s="36">
        <f t="shared" si="0"/>
        <v>4.9180327868852514E-2</v>
      </c>
      <c r="Y3" s="36">
        <f t="shared" si="0"/>
        <v>3.438041058619834E-2</v>
      </c>
      <c r="Z3" s="36">
        <f t="shared" si="0"/>
        <v>2.0946845865116859E-2</v>
      </c>
      <c r="AA3" s="36">
        <f t="shared" si="0"/>
        <v>4.7624538745387412E-2</v>
      </c>
      <c r="AB3" t="s">
        <v>74</v>
      </c>
    </row>
    <row r="4" spans="1:33" x14ac:dyDescent="0.3">
      <c r="A4" s="97" t="s">
        <v>2</v>
      </c>
      <c r="B4" s="97"/>
      <c r="C4" s="97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</v>
      </c>
      <c r="Q4" s="11">
        <v>2</v>
      </c>
      <c r="R4" s="11">
        <v>3</v>
      </c>
      <c r="S4" s="11">
        <v>4</v>
      </c>
      <c r="T4" s="11">
        <v>5</v>
      </c>
      <c r="U4" s="11" t="s">
        <v>6</v>
      </c>
      <c r="V4" s="11" t="s">
        <v>7</v>
      </c>
      <c r="W4" s="11" t="s">
        <v>8</v>
      </c>
      <c r="X4" s="11" t="s">
        <v>9</v>
      </c>
      <c r="Y4" s="11" t="s">
        <v>10</v>
      </c>
      <c r="Z4" s="11" t="s">
        <v>11</v>
      </c>
      <c r="AA4" s="11" t="s">
        <v>12</v>
      </c>
      <c r="AB4" s="11" t="s">
        <v>20</v>
      </c>
      <c r="AC4" s="11" t="s">
        <v>21</v>
      </c>
      <c r="AD4" s="11" t="s">
        <v>3</v>
      </c>
      <c r="AE4" s="11" t="s">
        <v>4</v>
      </c>
      <c r="AF4" s="11" t="s">
        <v>5</v>
      </c>
      <c r="AG4" s="11" t="s">
        <v>6</v>
      </c>
    </row>
    <row r="5" spans="1:33" x14ac:dyDescent="0.3">
      <c r="A5" s="97"/>
      <c r="B5" s="97" t="s">
        <v>13</v>
      </c>
      <c r="C5" s="1">
        <v>1</v>
      </c>
      <c r="D5" s="7">
        <v>16344</v>
      </c>
      <c r="E5" s="7">
        <v>16775</v>
      </c>
      <c r="F5" s="7">
        <v>17761</v>
      </c>
      <c r="G5" s="7">
        <v>16680</v>
      </c>
      <c r="H5" s="7">
        <v>17438</v>
      </c>
      <c r="I5" s="7">
        <v>15361</v>
      </c>
      <c r="J5" s="7">
        <v>15046</v>
      </c>
      <c r="K5" s="7">
        <v>14078</v>
      </c>
      <c r="L5" s="7">
        <v>13453</v>
      </c>
      <c r="M5" s="7">
        <v>12241</v>
      </c>
      <c r="N5" s="7">
        <v>11541</v>
      </c>
      <c r="O5" s="7">
        <v>11277</v>
      </c>
      <c r="P5" s="7">
        <v>9919</v>
      </c>
      <c r="Q5" s="7">
        <v>8492</v>
      </c>
      <c r="R5" s="7">
        <v>8462</v>
      </c>
      <c r="S5" s="7">
        <v>8396</v>
      </c>
      <c r="T5" s="7">
        <v>8562</v>
      </c>
      <c r="U5" s="7">
        <v>8839</v>
      </c>
      <c r="V5" s="7">
        <v>7757</v>
      </c>
      <c r="W5" s="7">
        <v>7424</v>
      </c>
      <c r="X5" s="7">
        <v>7808</v>
      </c>
      <c r="Y5" s="7">
        <v>8086</v>
      </c>
      <c r="Z5" s="7">
        <v>8259</v>
      </c>
      <c r="AA5" s="7">
        <v>8672</v>
      </c>
      <c r="AB5" s="7">
        <f>AA5+(AA5*$AB$28)</f>
        <v>8456.7620033130443</v>
      </c>
      <c r="AC5" s="7">
        <f>AB5+(AB5*$AB28)</f>
        <v>8246.8661878089551</v>
      </c>
      <c r="AD5" s="7">
        <f>AC5+(AC5*$R28)</f>
        <v>8217.6288933591495</v>
      </c>
      <c r="AE5" s="7">
        <f>AD5+(AD5*$S28)</f>
        <v>8153.0310483184503</v>
      </c>
      <c r="AF5" s="7">
        <f>AE5+(AE5*$T28)</f>
        <v>8311.1019609581217</v>
      </c>
      <c r="AG5" s="7">
        <f>AF5+(AF5*$U28)</f>
        <v>8571.5584880749229</v>
      </c>
    </row>
    <row r="6" spans="1:33" x14ac:dyDescent="0.3">
      <c r="A6" s="97"/>
      <c r="B6" s="97"/>
      <c r="C6" s="1">
        <v>2</v>
      </c>
      <c r="D6" s="7">
        <v>16710</v>
      </c>
      <c r="E6" s="7">
        <v>14642</v>
      </c>
      <c r="F6" s="7">
        <v>16722</v>
      </c>
      <c r="G6" s="7">
        <v>17541</v>
      </c>
      <c r="H6" s="7">
        <v>18678</v>
      </c>
      <c r="I6" s="7">
        <v>16319</v>
      </c>
      <c r="J6" s="7">
        <v>17180</v>
      </c>
      <c r="K6" s="7">
        <v>17680</v>
      </c>
      <c r="L6" s="7">
        <v>16946</v>
      </c>
      <c r="M6" s="7">
        <v>15639</v>
      </c>
      <c r="N6" s="7">
        <v>15066</v>
      </c>
      <c r="O6" s="7">
        <v>14921</v>
      </c>
      <c r="P6" s="7">
        <v>13593</v>
      </c>
      <c r="Q6" s="7">
        <v>12085</v>
      </c>
      <c r="R6" s="7">
        <v>11805</v>
      </c>
      <c r="S6" s="7">
        <v>11381</v>
      </c>
      <c r="T6" s="7">
        <v>10605</v>
      </c>
      <c r="U6" s="7">
        <v>9769</v>
      </c>
      <c r="V6" s="7">
        <v>9878</v>
      </c>
      <c r="W6" s="7">
        <v>9386</v>
      </c>
      <c r="X6" s="7">
        <v>9667</v>
      </c>
      <c r="Y6" s="7">
        <v>9859</v>
      </c>
      <c r="Z6" s="7">
        <v>9958</v>
      </c>
      <c r="AA6" s="7">
        <v>10256</v>
      </c>
      <c r="AB6" s="7">
        <f t="shared" ref="AB6:AB10" si="1">AA6+(AA6*AB29)</f>
        <v>9917.5116364648711</v>
      </c>
      <c r="AC6" s="7">
        <f t="shared" ref="AC6:AC10" si="2">AB6+(AB6*$AB29)</f>
        <v>9590.1947210819144</v>
      </c>
      <c r="AD6" s="7">
        <f t="shared" ref="AD6:AD10" si="3">AC6+(AC6*$R29)</f>
        <v>9362.7271631062304</v>
      </c>
      <c r="AE6" s="7">
        <f t="shared" ref="AE6:AE10" si="4">AD6+(AD6*$S29)</f>
        <v>9013.9180674945055</v>
      </c>
      <c r="AF6" s="7">
        <f t="shared" ref="AF6:AF10" si="5">AE6+(AE6*$T29)</f>
        <v>8354.3423560022147</v>
      </c>
      <c r="AG6" s="7">
        <f t="shared" ref="AG6:AG10" si="6">AF6+(AF6*$U29)</f>
        <v>7639.4042651415493</v>
      </c>
    </row>
    <row r="7" spans="1:33" x14ac:dyDescent="0.3">
      <c r="A7" s="97"/>
      <c r="B7" s="97"/>
      <c r="C7" s="1">
        <v>3</v>
      </c>
      <c r="D7" s="7">
        <v>5210</v>
      </c>
      <c r="E7" s="7">
        <v>3827</v>
      </c>
      <c r="F7" s="7">
        <v>4687</v>
      </c>
      <c r="G7" s="7">
        <v>5118</v>
      </c>
      <c r="H7" s="7">
        <v>5329</v>
      </c>
      <c r="I7" s="7">
        <v>4805</v>
      </c>
      <c r="J7" s="7">
        <v>4741</v>
      </c>
      <c r="K7" s="7">
        <v>4795</v>
      </c>
      <c r="L7" s="7">
        <v>4636</v>
      </c>
      <c r="M7" s="7">
        <v>4295</v>
      </c>
      <c r="N7" s="7">
        <v>3742</v>
      </c>
      <c r="O7" s="7">
        <v>3948</v>
      </c>
      <c r="P7" s="7">
        <v>3902</v>
      </c>
      <c r="Q7" s="7">
        <v>3596</v>
      </c>
      <c r="R7" s="7">
        <v>3755</v>
      </c>
      <c r="S7" s="7">
        <v>3498</v>
      </c>
      <c r="T7" s="7">
        <v>3600</v>
      </c>
      <c r="U7" s="7">
        <v>3523</v>
      </c>
      <c r="V7" s="7">
        <v>3014</v>
      </c>
      <c r="W7" s="7">
        <v>2883</v>
      </c>
      <c r="X7" s="7">
        <v>3034</v>
      </c>
      <c r="Y7" s="7">
        <v>3142</v>
      </c>
      <c r="Z7" s="7">
        <v>3210</v>
      </c>
      <c r="AA7" s="7">
        <v>3370</v>
      </c>
      <c r="AB7" s="7">
        <f t="shared" si="1"/>
        <v>3318.5943189504596</v>
      </c>
      <c r="AC7" s="7">
        <f t="shared" si="2"/>
        <v>3267.9727755994854</v>
      </c>
      <c r="AD7" s="7">
        <f t="shared" si="3"/>
        <v>3406.350317895176</v>
      </c>
      <c r="AE7" s="7">
        <f t="shared" si="4"/>
        <v>3156.0838708685724</v>
      </c>
      <c r="AF7" s="7">
        <f t="shared" si="5"/>
        <v>3245.5062472098484</v>
      </c>
      <c r="AG7" s="7">
        <f t="shared" si="6"/>
        <v>3174.5712540122445</v>
      </c>
    </row>
    <row r="8" spans="1:33" x14ac:dyDescent="0.3">
      <c r="A8" s="97"/>
      <c r="B8" s="98" t="s">
        <v>14</v>
      </c>
      <c r="C8" s="3">
        <v>1</v>
      </c>
      <c r="D8" s="7">
        <v>7135</v>
      </c>
      <c r="E8" s="7">
        <v>9887</v>
      </c>
      <c r="F8" s="7">
        <v>11444</v>
      </c>
      <c r="G8" s="7">
        <v>14836</v>
      </c>
      <c r="H8" s="7">
        <v>13481</v>
      </c>
      <c r="I8" s="7">
        <v>10800</v>
      </c>
      <c r="J8" s="7">
        <v>11099</v>
      </c>
      <c r="K8" s="7">
        <v>11166</v>
      </c>
      <c r="L8" s="7">
        <v>11517</v>
      </c>
      <c r="M8" s="7">
        <v>11204</v>
      </c>
      <c r="N8" s="7">
        <v>11300</v>
      </c>
      <c r="O8" s="7">
        <v>12277</v>
      </c>
      <c r="P8" s="7">
        <v>12546</v>
      </c>
      <c r="Q8" s="7">
        <v>12398</v>
      </c>
      <c r="R8" s="7">
        <v>12378</v>
      </c>
      <c r="S8" s="7">
        <v>11967</v>
      </c>
      <c r="T8" s="7">
        <v>11714</v>
      </c>
      <c r="U8" s="7">
        <v>11979</v>
      </c>
      <c r="V8" s="7">
        <v>11038</v>
      </c>
      <c r="W8" s="7">
        <v>10485</v>
      </c>
      <c r="X8" s="7">
        <v>11214</v>
      </c>
      <c r="Y8" s="7">
        <v>11923</v>
      </c>
      <c r="Z8" s="7">
        <v>12932</v>
      </c>
      <c r="AA8" s="7">
        <v>13756</v>
      </c>
      <c r="AB8" s="7">
        <f t="shared" si="1"/>
        <v>13868.881773764551</v>
      </c>
      <c r="AC8" s="7">
        <f t="shared" si="2"/>
        <v>13982.689855674511</v>
      </c>
      <c r="AD8" s="7">
        <f t="shared" si="3"/>
        <v>13960.097046083827</v>
      </c>
      <c r="AE8" s="7">
        <f t="shared" si="4"/>
        <v>13480.645229760567</v>
      </c>
      <c r="AF8" s="7">
        <f t="shared" si="5"/>
        <v>13189.489071050524</v>
      </c>
      <c r="AG8" s="7">
        <f t="shared" si="6"/>
        <v>13481.267567070927</v>
      </c>
    </row>
    <row r="9" spans="1:33" x14ac:dyDescent="0.3">
      <c r="A9" s="97"/>
      <c r="B9" s="98"/>
      <c r="C9" s="3">
        <v>2</v>
      </c>
      <c r="D9" s="7">
        <v>5823</v>
      </c>
      <c r="E9" s="7">
        <v>5716</v>
      </c>
      <c r="F9" s="7">
        <v>8611</v>
      </c>
      <c r="G9" s="7">
        <v>18795</v>
      </c>
      <c r="H9" s="7">
        <v>13523</v>
      </c>
      <c r="I9" s="7">
        <v>11340</v>
      </c>
      <c r="J9" s="7">
        <v>11483</v>
      </c>
      <c r="K9" s="7">
        <v>11747</v>
      </c>
      <c r="L9" s="7">
        <v>11506</v>
      </c>
      <c r="M9" s="7">
        <v>10390</v>
      </c>
      <c r="N9" s="7">
        <v>9877</v>
      </c>
      <c r="O9" s="7">
        <v>10453</v>
      </c>
      <c r="P9" s="7">
        <v>10462</v>
      </c>
      <c r="Q9" s="7">
        <v>10049</v>
      </c>
      <c r="R9" s="7">
        <v>10136</v>
      </c>
      <c r="S9" s="7">
        <v>10658</v>
      </c>
      <c r="T9" s="7">
        <v>10741</v>
      </c>
      <c r="U9" s="7">
        <v>11355</v>
      </c>
      <c r="V9" s="7">
        <v>10680</v>
      </c>
      <c r="W9" s="7">
        <v>10790</v>
      </c>
      <c r="X9" s="7">
        <v>11327</v>
      </c>
      <c r="Y9" s="7">
        <v>12042</v>
      </c>
      <c r="Z9" s="7">
        <v>13061</v>
      </c>
      <c r="AA9" s="7">
        <v>13895</v>
      </c>
      <c r="AB9" s="7">
        <f t="shared" si="1"/>
        <v>14208.725429610198</v>
      </c>
      <c r="AC9" s="7">
        <f t="shared" si="2"/>
        <v>14529.534244983915</v>
      </c>
      <c r="AD9" s="7">
        <f t="shared" si="3"/>
        <v>14654.245124947767</v>
      </c>
      <c r="AE9" s="7">
        <f t="shared" si="4"/>
        <v>15371.970397533876</v>
      </c>
      <c r="AF9" s="7">
        <f t="shared" si="5"/>
        <v>15490.755756717874</v>
      </c>
      <c r="AG9" s="7">
        <f t="shared" si="6"/>
        <v>16328.388872933177</v>
      </c>
    </row>
    <row r="10" spans="1:33" x14ac:dyDescent="0.3">
      <c r="A10" s="97"/>
      <c r="B10" s="98"/>
      <c r="C10" s="3">
        <v>3</v>
      </c>
      <c r="D10" s="7">
        <v>2191</v>
      </c>
      <c r="E10" s="7">
        <v>2232</v>
      </c>
      <c r="F10" s="7">
        <v>2663</v>
      </c>
      <c r="G10" s="7">
        <v>4315</v>
      </c>
      <c r="H10" s="7">
        <v>4793</v>
      </c>
      <c r="I10" s="7">
        <v>4101</v>
      </c>
      <c r="J10" s="7">
        <v>4422</v>
      </c>
      <c r="K10" s="7">
        <v>4549</v>
      </c>
      <c r="L10" s="7">
        <v>4508</v>
      </c>
      <c r="M10" s="7">
        <v>4265</v>
      </c>
      <c r="N10" s="7">
        <v>4233</v>
      </c>
      <c r="O10" s="7">
        <v>4453</v>
      </c>
      <c r="P10" s="7">
        <v>4541</v>
      </c>
      <c r="Q10" s="7">
        <v>4043</v>
      </c>
      <c r="R10" s="7">
        <v>4407</v>
      </c>
      <c r="S10" s="7">
        <v>3907</v>
      </c>
      <c r="T10" s="7">
        <v>3939</v>
      </c>
      <c r="U10" s="7">
        <v>3866</v>
      </c>
      <c r="V10" s="7">
        <v>3458</v>
      </c>
      <c r="W10" s="7">
        <v>3354</v>
      </c>
      <c r="X10" s="7">
        <v>3588</v>
      </c>
      <c r="Y10" s="7">
        <v>3814</v>
      </c>
      <c r="Z10" s="7">
        <v>4139</v>
      </c>
      <c r="AA10" s="7">
        <v>4402</v>
      </c>
      <c r="AB10" s="7">
        <f t="shared" si="1"/>
        <v>4385.0558169533124</v>
      </c>
      <c r="AC10" s="7">
        <f t="shared" si="2"/>
        <v>4368.1768554738937</v>
      </c>
      <c r="AD10" s="7">
        <f t="shared" si="3"/>
        <v>4728.9702240676079</v>
      </c>
      <c r="AE10" s="7">
        <f t="shared" si="4"/>
        <v>4123.7782322493831</v>
      </c>
      <c r="AF10" s="7">
        <f t="shared" si="5"/>
        <v>4157.2793501554461</v>
      </c>
      <c r="AG10" s="7">
        <f t="shared" si="6"/>
        <v>4078.7792486134522</v>
      </c>
    </row>
    <row r="11" spans="1:33" x14ac:dyDescent="0.3">
      <c r="A11" s="1"/>
      <c r="B11" s="112" t="s">
        <v>15</v>
      </c>
      <c r="C11" s="112"/>
      <c r="D11" s="8">
        <f t="shared" ref="D11:H11" si="7">SUM(D5:D10)</f>
        <v>53413</v>
      </c>
      <c r="E11" s="8">
        <f t="shared" si="7"/>
        <v>53079</v>
      </c>
      <c r="F11" s="8">
        <f t="shared" si="7"/>
        <v>61888</v>
      </c>
      <c r="G11" s="8">
        <f t="shared" si="7"/>
        <v>77285</v>
      </c>
      <c r="H11" s="8">
        <f t="shared" si="7"/>
        <v>73242</v>
      </c>
      <c r="I11" s="8">
        <f>SUM(I5:I10)</f>
        <v>62726</v>
      </c>
      <c r="J11" s="8">
        <f>SUM(J5:J10)</f>
        <v>63971</v>
      </c>
      <c r="K11" s="8">
        <f>SUM(K5:K10)</f>
        <v>64015</v>
      </c>
      <c r="L11" s="8">
        <f>SUM(L5:L10)</f>
        <v>62566</v>
      </c>
      <c r="M11" s="8">
        <f>SUM(M5:M10)</f>
        <v>58034</v>
      </c>
      <c r="N11" s="8">
        <f t="shared" ref="N11:U11" si="8">SUM(N5:N10)</f>
        <v>55759</v>
      </c>
      <c r="O11" s="8">
        <f t="shared" si="8"/>
        <v>57329</v>
      </c>
      <c r="P11" s="8">
        <f t="shared" si="8"/>
        <v>54963</v>
      </c>
      <c r="Q11" s="8">
        <f t="shared" si="8"/>
        <v>50663</v>
      </c>
      <c r="R11" s="8">
        <f t="shared" si="8"/>
        <v>50943</v>
      </c>
      <c r="S11" s="8">
        <f t="shared" si="8"/>
        <v>49807</v>
      </c>
      <c r="T11" s="8">
        <f t="shared" si="8"/>
        <v>49161</v>
      </c>
      <c r="U11" s="8">
        <f t="shared" si="8"/>
        <v>49331</v>
      </c>
      <c r="V11" s="8">
        <f t="shared" ref="V11:AG11" si="9">SUM(V5:V10)</f>
        <v>45825</v>
      </c>
      <c r="W11" s="8">
        <f t="shared" si="9"/>
        <v>44322</v>
      </c>
      <c r="X11" s="8">
        <f t="shared" si="9"/>
        <v>46638</v>
      </c>
      <c r="Y11" s="8">
        <f t="shared" si="9"/>
        <v>48866</v>
      </c>
      <c r="Z11" s="8">
        <f t="shared" si="9"/>
        <v>51559</v>
      </c>
      <c r="AA11" s="8">
        <f t="shared" si="9"/>
        <v>54351</v>
      </c>
      <c r="AB11" s="8">
        <f t="shared" si="9"/>
        <v>54155.530979056435</v>
      </c>
      <c r="AC11" s="8">
        <f t="shared" si="9"/>
        <v>53985.434640622676</v>
      </c>
      <c r="AD11" s="8">
        <f t="shared" si="9"/>
        <v>54330.018769459755</v>
      </c>
      <c r="AE11" s="8">
        <f t="shared" si="9"/>
        <v>53299.426846225353</v>
      </c>
      <c r="AF11" s="8">
        <f t="shared" si="9"/>
        <v>52748.474742094033</v>
      </c>
      <c r="AG11" s="8">
        <f t="shared" si="9"/>
        <v>53273.969695846266</v>
      </c>
    </row>
    <row r="13" spans="1:33" hidden="1" x14ac:dyDescent="0.3">
      <c r="D13" s="11">
        <v>1</v>
      </c>
      <c r="E13" s="11">
        <v>2</v>
      </c>
      <c r="F13" s="11">
        <v>3</v>
      </c>
      <c r="G13" s="11">
        <v>4</v>
      </c>
      <c r="H13" s="11">
        <v>5</v>
      </c>
      <c r="I13" s="11" t="s">
        <v>6</v>
      </c>
      <c r="J13" s="11" t="s">
        <v>7</v>
      </c>
      <c r="K13" s="11" t="s">
        <v>8</v>
      </c>
      <c r="L13" s="11" t="s">
        <v>9</v>
      </c>
      <c r="M13" s="11" t="s">
        <v>10</v>
      </c>
      <c r="N13" s="11" t="s">
        <v>11</v>
      </c>
      <c r="O13" s="11" t="s">
        <v>12</v>
      </c>
    </row>
    <row r="14" spans="1:33" hidden="1" x14ac:dyDescent="0.3">
      <c r="D14" s="7">
        <v>9919</v>
      </c>
      <c r="E14" s="7">
        <v>8492</v>
      </c>
      <c r="F14" s="7">
        <v>8462</v>
      </c>
      <c r="G14" s="7">
        <v>8396</v>
      </c>
      <c r="H14" s="7">
        <v>8562</v>
      </c>
      <c r="I14" s="7">
        <v>8839</v>
      </c>
      <c r="J14" s="37">
        <v>7757</v>
      </c>
      <c r="K14" s="37">
        <v>7424</v>
      </c>
      <c r="L14" s="37">
        <v>7808</v>
      </c>
      <c r="M14" s="37">
        <v>8086</v>
      </c>
      <c r="N14" s="37">
        <v>8259</v>
      </c>
      <c r="O14" s="37">
        <v>8672</v>
      </c>
    </row>
    <row r="15" spans="1:33" hidden="1" x14ac:dyDescent="0.3">
      <c r="D15" s="7">
        <v>13593</v>
      </c>
      <c r="E15" s="7">
        <v>12085</v>
      </c>
      <c r="F15" s="7">
        <v>11805</v>
      </c>
      <c r="G15" s="7">
        <v>11381</v>
      </c>
      <c r="H15" s="7">
        <v>10605</v>
      </c>
      <c r="I15" s="7">
        <v>9769</v>
      </c>
      <c r="J15" s="37">
        <v>9878</v>
      </c>
      <c r="K15" s="37">
        <v>9386</v>
      </c>
      <c r="L15" s="37">
        <v>9667</v>
      </c>
      <c r="M15" s="37">
        <v>9859</v>
      </c>
      <c r="N15" s="37">
        <v>9958</v>
      </c>
      <c r="O15" s="37">
        <v>10256</v>
      </c>
    </row>
    <row r="16" spans="1:33" hidden="1" x14ac:dyDescent="0.3">
      <c r="D16" s="7">
        <v>3902</v>
      </c>
      <c r="E16" s="7">
        <v>3596</v>
      </c>
      <c r="F16" s="7">
        <v>3755</v>
      </c>
      <c r="G16" s="7">
        <v>3498</v>
      </c>
      <c r="H16" s="7">
        <v>3600</v>
      </c>
      <c r="I16" s="7">
        <v>3523</v>
      </c>
      <c r="J16" s="37">
        <v>3014</v>
      </c>
      <c r="K16" s="37">
        <v>2883</v>
      </c>
      <c r="L16" s="37">
        <v>3034</v>
      </c>
      <c r="M16" s="37">
        <v>3142</v>
      </c>
      <c r="N16" s="37">
        <v>3210</v>
      </c>
      <c r="O16" s="37">
        <v>3370</v>
      </c>
    </row>
    <row r="17" spans="1:33" hidden="1" x14ac:dyDescent="0.3">
      <c r="D17" s="7">
        <v>12546</v>
      </c>
      <c r="E17" s="7">
        <v>12398</v>
      </c>
      <c r="F17" s="7">
        <v>12378</v>
      </c>
      <c r="G17" s="7">
        <v>11967</v>
      </c>
      <c r="H17" s="7">
        <v>11714</v>
      </c>
      <c r="I17" s="7">
        <v>11979</v>
      </c>
      <c r="J17" s="37">
        <v>11038</v>
      </c>
      <c r="K17" s="37">
        <v>10485</v>
      </c>
      <c r="L17" s="37">
        <v>11214</v>
      </c>
      <c r="M17" s="37">
        <v>11923</v>
      </c>
      <c r="N17" s="37">
        <v>12932</v>
      </c>
      <c r="O17" s="37">
        <v>13756</v>
      </c>
    </row>
    <row r="18" spans="1:33" hidden="1" x14ac:dyDescent="0.3">
      <c r="D18" s="7">
        <v>10462</v>
      </c>
      <c r="E18" s="7">
        <v>10049</v>
      </c>
      <c r="F18" s="7">
        <v>10136</v>
      </c>
      <c r="G18" s="7">
        <v>10658</v>
      </c>
      <c r="H18" s="7">
        <v>10741</v>
      </c>
      <c r="I18" s="7">
        <v>11355</v>
      </c>
      <c r="J18" s="37">
        <v>10680</v>
      </c>
      <c r="K18" s="37">
        <v>10790</v>
      </c>
      <c r="L18" s="37">
        <v>11327</v>
      </c>
      <c r="M18" s="37">
        <v>12042</v>
      </c>
      <c r="N18" s="37">
        <v>13061</v>
      </c>
      <c r="O18" s="37">
        <v>13895</v>
      </c>
    </row>
    <row r="19" spans="1:33" hidden="1" x14ac:dyDescent="0.3">
      <c r="D19" s="7">
        <v>4541</v>
      </c>
      <c r="E19" s="7">
        <v>4043</v>
      </c>
      <c r="F19" s="7">
        <v>4407</v>
      </c>
      <c r="G19" s="7">
        <v>3907</v>
      </c>
      <c r="H19" s="7">
        <v>3939</v>
      </c>
      <c r="I19" s="7">
        <v>3866</v>
      </c>
      <c r="J19" s="37">
        <v>3458</v>
      </c>
      <c r="K19" s="37">
        <v>3354</v>
      </c>
      <c r="L19" s="37">
        <v>3588</v>
      </c>
      <c r="M19" s="37">
        <v>3814</v>
      </c>
      <c r="N19" s="37">
        <v>4139</v>
      </c>
      <c r="O19" s="37">
        <v>4402</v>
      </c>
    </row>
    <row r="20" spans="1:33" hidden="1" x14ac:dyDescent="0.3">
      <c r="D20" s="8"/>
      <c r="E20" s="8"/>
      <c r="F20" s="8"/>
      <c r="G20" s="8"/>
      <c r="H20" s="8"/>
      <c r="I20" s="8">
        <f>SUM(I14:I19)</f>
        <v>49331</v>
      </c>
      <c r="J20" s="8">
        <f t="shared" ref="J20:O20" si="10">SUM(J14:J19)</f>
        <v>45825</v>
      </c>
      <c r="K20" s="8">
        <f t="shared" si="10"/>
        <v>44322</v>
      </c>
      <c r="L20" s="8">
        <f t="shared" si="10"/>
        <v>46638</v>
      </c>
      <c r="M20" s="8">
        <f t="shared" si="10"/>
        <v>48866</v>
      </c>
      <c r="N20" s="8">
        <f t="shared" si="10"/>
        <v>51559</v>
      </c>
      <c r="O20" s="8">
        <f t="shared" si="10"/>
        <v>54351</v>
      </c>
    </row>
    <row r="21" spans="1:33" hidden="1" x14ac:dyDescent="0.3"/>
    <row r="22" spans="1:33" hidden="1" x14ac:dyDescent="0.3"/>
    <row r="23" spans="1:33" hidden="1" x14ac:dyDescent="0.3">
      <c r="D23" s="38">
        <f>1-(D5/D14)</f>
        <v>-0.64774674866417992</v>
      </c>
      <c r="E23" s="38">
        <f t="shared" ref="E23:O23" si="11">1-(E5/E14)</f>
        <v>-0.97538860103626934</v>
      </c>
      <c r="F23" s="38">
        <f t="shared" si="11"/>
        <v>-1.0989127865752777</v>
      </c>
      <c r="G23" s="38">
        <f t="shared" si="11"/>
        <v>-0.98666031443544555</v>
      </c>
      <c r="H23" s="38">
        <f t="shared" si="11"/>
        <v>-1.0366736743751459</v>
      </c>
      <c r="I23" s="38">
        <f t="shared" si="11"/>
        <v>-0.73786627446543718</v>
      </c>
      <c r="J23" s="38">
        <f t="shared" si="11"/>
        <v>-0.93966739718963521</v>
      </c>
      <c r="K23" s="38">
        <f t="shared" si="11"/>
        <v>-0.89628232758620685</v>
      </c>
      <c r="L23" s="38">
        <f t="shared" si="11"/>
        <v>-0.7229764344262295</v>
      </c>
      <c r="M23" s="38">
        <f t="shared" si="11"/>
        <v>-0.51385110066782103</v>
      </c>
      <c r="N23" s="38">
        <f t="shared" si="11"/>
        <v>-0.39738467126770805</v>
      </c>
      <c r="O23" s="38">
        <f t="shared" si="11"/>
        <v>-0.30039206642066429</v>
      </c>
    </row>
    <row r="26" spans="1:33" x14ac:dyDescent="0.3">
      <c r="B26" t="s">
        <v>29</v>
      </c>
      <c r="D26" t="s">
        <v>30</v>
      </c>
      <c r="P26" t="s">
        <v>31</v>
      </c>
    </row>
    <row r="27" spans="1:33" x14ac:dyDescent="0.3">
      <c r="A27" s="97" t="s">
        <v>2</v>
      </c>
      <c r="B27" s="97"/>
      <c r="C27" s="97"/>
      <c r="D27" s="11">
        <v>1</v>
      </c>
      <c r="E27" s="11">
        <v>2</v>
      </c>
      <c r="F27" s="11">
        <v>3</v>
      </c>
      <c r="G27" s="11">
        <v>4</v>
      </c>
      <c r="H27" s="11">
        <v>5</v>
      </c>
      <c r="I27" s="11">
        <v>6</v>
      </c>
      <c r="J27" s="11">
        <v>7</v>
      </c>
      <c r="K27" s="11">
        <v>8</v>
      </c>
      <c r="L27" s="11">
        <v>9</v>
      </c>
      <c r="M27" s="11">
        <v>10</v>
      </c>
      <c r="N27" s="11">
        <v>11</v>
      </c>
      <c r="O27" s="11">
        <v>12</v>
      </c>
      <c r="P27" s="79">
        <v>1</v>
      </c>
      <c r="Q27" s="79">
        <v>2</v>
      </c>
      <c r="R27" s="79">
        <v>3</v>
      </c>
      <c r="S27" s="79">
        <v>4</v>
      </c>
      <c r="T27" s="79">
        <v>5</v>
      </c>
      <c r="U27" s="79" t="s">
        <v>6</v>
      </c>
      <c r="V27" s="11" t="s">
        <v>7</v>
      </c>
      <c r="W27" s="11" t="s">
        <v>8</v>
      </c>
      <c r="X27" s="11" t="s">
        <v>9</v>
      </c>
      <c r="Y27" s="11" t="s">
        <v>10</v>
      </c>
      <c r="Z27" s="11" t="s">
        <v>11</v>
      </c>
      <c r="AA27" s="11" t="s">
        <v>12</v>
      </c>
      <c r="AB27" s="11" t="s">
        <v>32</v>
      </c>
    </row>
    <row r="28" spans="1:33" x14ac:dyDescent="0.3">
      <c r="A28" s="97"/>
      <c r="B28" s="97" t="s">
        <v>13</v>
      </c>
      <c r="C28" s="1">
        <v>1</v>
      </c>
      <c r="D28" s="83"/>
      <c r="E28" s="84">
        <f>1-(D5/E5)</f>
        <v>2.5692995529061124E-2</v>
      </c>
      <c r="F28" s="84">
        <f t="shared" ref="F28:AA28" si="12">1-(E5/F5)</f>
        <v>5.5514892179494346E-2</v>
      </c>
      <c r="G28" s="84">
        <f t="shared" si="12"/>
        <v>-6.4808153477218244E-2</v>
      </c>
      <c r="H28" s="84">
        <f t="shared" si="12"/>
        <v>4.3468287647665971E-2</v>
      </c>
      <c r="I28" s="84">
        <f t="shared" si="12"/>
        <v>-0.13521255126619369</v>
      </c>
      <c r="J28" s="84">
        <f t="shared" si="12"/>
        <v>-2.0935796889538727E-2</v>
      </c>
      <c r="K28" s="84">
        <f t="shared" si="12"/>
        <v>-6.8759767012359641E-2</v>
      </c>
      <c r="L28" s="84">
        <f t="shared" si="12"/>
        <v>-4.6458039099085635E-2</v>
      </c>
      <c r="M28" s="84">
        <f t="shared" si="12"/>
        <v>-9.9011518666775489E-2</v>
      </c>
      <c r="N28" s="84">
        <f t="shared" si="12"/>
        <v>-6.0653322935620757E-2</v>
      </c>
      <c r="O28" s="84">
        <f t="shared" si="12"/>
        <v>-2.3410481511040082E-2</v>
      </c>
      <c r="P28" s="80">
        <f t="shared" si="12"/>
        <v>-0.13690896259703589</v>
      </c>
      <c r="Q28" s="80">
        <f t="shared" si="12"/>
        <v>-0.16804050871408394</v>
      </c>
      <c r="R28" s="80">
        <f t="shared" si="12"/>
        <v>-3.5452611675725887E-3</v>
      </c>
      <c r="S28" s="80">
        <f t="shared" si="12"/>
        <v>-7.8608861362554627E-3</v>
      </c>
      <c r="T28" s="80">
        <f t="shared" si="12"/>
        <v>1.9387993459472064E-2</v>
      </c>
      <c r="U28" s="80">
        <f t="shared" si="12"/>
        <v>3.1338386695327514E-2</v>
      </c>
      <c r="V28" s="40">
        <f t="shared" si="12"/>
        <v>-0.13948691504447597</v>
      </c>
      <c r="W28" s="40">
        <f t="shared" si="12"/>
        <v>-4.485452586206895E-2</v>
      </c>
      <c r="X28" s="40">
        <f t="shared" si="12"/>
        <v>4.9180327868852514E-2</v>
      </c>
      <c r="Y28" s="40">
        <f t="shared" si="12"/>
        <v>3.438041058619834E-2</v>
      </c>
      <c r="Z28" s="40">
        <f t="shared" si="12"/>
        <v>2.0946845865116859E-2</v>
      </c>
      <c r="AA28" s="40">
        <f t="shared" si="12"/>
        <v>4.7624538745387412E-2</v>
      </c>
      <c r="AB28" s="40">
        <f t="shared" ref="AB28:AB33" si="13">AVERAGE(P28:AA28)</f>
        <v>-2.4819879691761509E-2</v>
      </c>
    </row>
    <row r="29" spans="1:33" x14ac:dyDescent="0.3">
      <c r="A29" s="97"/>
      <c r="B29" s="97"/>
      <c r="C29" s="1">
        <v>2</v>
      </c>
      <c r="D29" s="83"/>
      <c r="E29" s="84">
        <f t="shared" ref="E29:AA34" si="14">1-(D6/E6)</f>
        <v>-0.14123753585575738</v>
      </c>
      <c r="F29" s="84">
        <f t="shared" si="14"/>
        <v>0.12438703504365511</v>
      </c>
      <c r="G29" s="84">
        <f t="shared" si="14"/>
        <v>4.6690610569522839E-2</v>
      </c>
      <c r="H29" s="84">
        <f t="shared" si="14"/>
        <v>6.0873755220045012E-2</v>
      </c>
      <c r="I29" s="84">
        <f t="shared" si="14"/>
        <v>-0.14455542619033035</v>
      </c>
      <c r="J29" s="84">
        <f t="shared" si="14"/>
        <v>5.0116414435389944E-2</v>
      </c>
      <c r="K29" s="84">
        <f t="shared" si="14"/>
        <v>2.828054298642535E-2</v>
      </c>
      <c r="L29" s="84">
        <f t="shared" si="14"/>
        <v>-4.3314056414493152E-2</v>
      </c>
      <c r="M29" s="84">
        <f t="shared" si="14"/>
        <v>-8.3573118485836595E-2</v>
      </c>
      <c r="N29" s="84">
        <f t="shared" si="14"/>
        <v>-3.8032656312226187E-2</v>
      </c>
      <c r="O29" s="84">
        <f t="shared" si="14"/>
        <v>-9.7178473292673928E-3</v>
      </c>
      <c r="P29" s="80">
        <f t="shared" si="14"/>
        <v>-9.7697344221290283E-2</v>
      </c>
      <c r="Q29" s="80">
        <f t="shared" si="14"/>
        <v>-0.12478278858088543</v>
      </c>
      <c r="R29" s="80">
        <f t="shared" si="14"/>
        <v>-2.371876323591704E-2</v>
      </c>
      <c r="S29" s="80">
        <f t="shared" si="14"/>
        <v>-3.7255074246551168E-2</v>
      </c>
      <c r="T29" s="80">
        <f t="shared" si="14"/>
        <v>-7.3173031588873227E-2</v>
      </c>
      <c r="U29" s="80">
        <f t="shared" si="14"/>
        <v>-8.5576824649401084E-2</v>
      </c>
      <c r="V29" s="40">
        <f t="shared" si="14"/>
        <v>1.1034622393196969E-2</v>
      </c>
      <c r="W29" s="40">
        <f t="shared" si="14"/>
        <v>-5.2418495631792128E-2</v>
      </c>
      <c r="X29" s="40">
        <f t="shared" si="14"/>
        <v>2.9067963173683653E-2</v>
      </c>
      <c r="Y29" s="40">
        <f t="shared" si="14"/>
        <v>1.9474591743584568E-2</v>
      </c>
      <c r="Z29" s="40">
        <f t="shared" si="14"/>
        <v>9.9417553725648089E-3</v>
      </c>
      <c r="AA29" s="40">
        <f t="shared" si="14"/>
        <v>2.9056162246489881E-2</v>
      </c>
      <c r="AB29" s="40">
        <f t="shared" si="13"/>
        <v>-3.3003935602099209E-2</v>
      </c>
      <c r="AC29" s="38"/>
      <c r="AD29" s="38"/>
      <c r="AE29" s="38"/>
      <c r="AF29" s="38"/>
      <c r="AG29" s="38"/>
    </row>
    <row r="30" spans="1:33" x14ac:dyDescent="0.3">
      <c r="A30" s="97"/>
      <c r="B30" s="97"/>
      <c r="C30" s="1">
        <v>3</v>
      </c>
      <c r="D30" s="83"/>
      <c r="E30" s="84">
        <f t="shared" si="14"/>
        <v>-0.36137967076038668</v>
      </c>
      <c r="F30" s="84">
        <f t="shared" si="14"/>
        <v>0.1834862385321101</v>
      </c>
      <c r="G30" s="84">
        <f t="shared" si="14"/>
        <v>8.4212583040250144E-2</v>
      </c>
      <c r="H30" s="84">
        <f t="shared" si="14"/>
        <v>3.9594670669919285E-2</v>
      </c>
      <c r="I30" s="84">
        <f t="shared" si="14"/>
        <v>-0.10905306971904261</v>
      </c>
      <c r="J30" s="84">
        <f t="shared" si="14"/>
        <v>-1.3499261759122527E-2</v>
      </c>
      <c r="K30" s="84">
        <f t="shared" si="14"/>
        <v>1.1261730969760131E-2</v>
      </c>
      <c r="L30" s="84">
        <f t="shared" si="14"/>
        <v>-3.4296807592752332E-2</v>
      </c>
      <c r="M30" s="84">
        <f t="shared" si="14"/>
        <v>-7.9394644935972147E-2</v>
      </c>
      <c r="N30" s="84">
        <f t="shared" si="14"/>
        <v>-0.14778193479422774</v>
      </c>
      <c r="O30" s="84">
        <f t="shared" si="14"/>
        <v>5.2178318135764901E-2</v>
      </c>
      <c r="P30" s="80">
        <f t="shared" si="14"/>
        <v>-1.178882624295241E-2</v>
      </c>
      <c r="Q30" s="80">
        <f t="shared" si="14"/>
        <v>-8.5094549499443728E-2</v>
      </c>
      <c r="R30" s="80">
        <f t="shared" si="14"/>
        <v>4.2343541944074525E-2</v>
      </c>
      <c r="S30" s="80">
        <f t="shared" si="14"/>
        <v>-7.3470554602629967E-2</v>
      </c>
      <c r="T30" s="80">
        <f t="shared" si="14"/>
        <v>2.8333333333333321E-2</v>
      </c>
      <c r="U30" s="80">
        <f t="shared" si="14"/>
        <v>-2.1856372409877922E-2</v>
      </c>
      <c r="V30" s="40">
        <f t="shared" si="14"/>
        <v>-0.16887856668878576</v>
      </c>
      <c r="W30" s="40">
        <f t="shared" si="14"/>
        <v>-4.5438779049601141E-2</v>
      </c>
      <c r="X30" s="40">
        <f t="shared" si="14"/>
        <v>4.9769281476598537E-2</v>
      </c>
      <c r="Y30" s="40">
        <f t="shared" si="14"/>
        <v>3.4373010821133088E-2</v>
      </c>
      <c r="Z30" s="40">
        <f t="shared" si="14"/>
        <v>2.1183800623052917E-2</v>
      </c>
      <c r="AA30" s="40">
        <f t="shared" si="14"/>
        <v>4.7477744807121636E-2</v>
      </c>
      <c r="AB30" s="40">
        <f t="shared" si="13"/>
        <v>-1.5253911290664742E-2</v>
      </c>
      <c r="AC30" s="38"/>
      <c r="AD30" s="38"/>
      <c r="AE30" s="38"/>
      <c r="AF30" s="38"/>
      <c r="AG30" s="38"/>
    </row>
    <row r="31" spans="1:33" x14ac:dyDescent="0.3">
      <c r="A31" s="97"/>
      <c r="B31" s="98" t="s">
        <v>14</v>
      </c>
      <c r="C31" s="3">
        <v>1</v>
      </c>
      <c r="D31" s="83"/>
      <c r="E31" s="84">
        <f t="shared" si="14"/>
        <v>0.27834530191160112</v>
      </c>
      <c r="F31" s="84">
        <f t="shared" si="14"/>
        <v>0.13605382733310034</v>
      </c>
      <c r="G31" s="84">
        <f t="shared" si="14"/>
        <v>0.22863305473173368</v>
      </c>
      <c r="H31" s="84">
        <f t="shared" si="14"/>
        <v>-0.10051183146650833</v>
      </c>
      <c r="I31" s="84">
        <f t="shared" si="14"/>
        <v>-0.24824074074074076</v>
      </c>
      <c r="J31" s="84">
        <f t="shared" si="14"/>
        <v>2.6939363906658298E-2</v>
      </c>
      <c r="K31" s="84">
        <f t="shared" si="14"/>
        <v>6.0003582303420622E-3</v>
      </c>
      <c r="L31" s="84">
        <f t="shared" si="14"/>
        <v>3.047668663714509E-2</v>
      </c>
      <c r="M31" s="84">
        <f t="shared" si="14"/>
        <v>-2.7936451267404516E-2</v>
      </c>
      <c r="N31" s="84">
        <f t="shared" si="14"/>
        <v>8.4955752212388935E-3</v>
      </c>
      <c r="O31" s="84">
        <f t="shared" si="14"/>
        <v>7.9579701881567155E-2</v>
      </c>
      <c r="P31" s="80">
        <f t="shared" si="14"/>
        <v>2.1441096763908818E-2</v>
      </c>
      <c r="Q31" s="80">
        <f t="shared" si="14"/>
        <v>-1.1937409259557885E-2</v>
      </c>
      <c r="R31" s="80">
        <f t="shared" si="14"/>
        <v>-1.6157699143641846E-3</v>
      </c>
      <c r="S31" s="80">
        <f t="shared" si="14"/>
        <v>-3.4344447229882169E-2</v>
      </c>
      <c r="T31" s="80">
        <f t="shared" si="14"/>
        <v>-2.1598087758238016E-2</v>
      </c>
      <c r="U31" s="80">
        <f t="shared" si="14"/>
        <v>2.21220469154354E-2</v>
      </c>
      <c r="V31" s="40">
        <f t="shared" si="14"/>
        <v>-8.5250951259286056E-2</v>
      </c>
      <c r="W31" s="40">
        <f t="shared" si="14"/>
        <v>-5.2742012398664828E-2</v>
      </c>
      <c r="X31" s="40">
        <f t="shared" si="14"/>
        <v>6.5008025682183002E-2</v>
      </c>
      <c r="Y31" s="40">
        <f t="shared" si="14"/>
        <v>5.9464899773546964E-2</v>
      </c>
      <c r="Z31" s="40">
        <f t="shared" si="14"/>
        <v>7.8023507578100837E-2</v>
      </c>
      <c r="AA31" s="40">
        <f t="shared" si="14"/>
        <v>5.990113405059605E-2</v>
      </c>
      <c r="AB31" s="40">
        <f t="shared" si="13"/>
        <v>8.2060027453148277E-3</v>
      </c>
      <c r="AC31" s="38"/>
      <c r="AD31" s="38"/>
      <c r="AE31" s="38"/>
      <c r="AF31" s="38"/>
      <c r="AG31" s="38"/>
    </row>
    <row r="32" spans="1:33" x14ac:dyDescent="0.3">
      <c r="A32" s="97"/>
      <c r="B32" s="98"/>
      <c r="C32" s="3">
        <v>2</v>
      </c>
      <c r="D32" s="83"/>
      <c r="E32" s="84">
        <f t="shared" si="14"/>
        <v>-1.8719384184744614E-2</v>
      </c>
      <c r="F32" s="84">
        <f t="shared" si="14"/>
        <v>0.33619788642434101</v>
      </c>
      <c r="G32" s="84">
        <f t="shared" si="14"/>
        <v>0.54184623570098434</v>
      </c>
      <c r="H32" s="84">
        <f t="shared" si="14"/>
        <v>-0.38985432226576933</v>
      </c>
      <c r="I32" s="84">
        <f t="shared" si="14"/>
        <v>-0.19250440917107592</v>
      </c>
      <c r="J32" s="84">
        <f t="shared" si="14"/>
        <v>1.2453191674649533E-2</v>
      </c>
      <c r="K32" s="84">
        <f t="shared" si="14"/>
        <v>2.2473823103771218E-2</v>
      </c>
      <c r="L32" s="84">
        <f t="shared" si="14"/>
        <v>-2.0945593603337365E-2</v>
      </c>
      <c r="M32" s="84">
        <f t="shared" si="14"/>
        <v>-0.10741097208854677</v>
      </c>
      <c r="N32" s="84">
        <f t="shared" si="14"/>
        <v>-5.1938847828287837E-2</v>
      </c>
      <c r="O32" s="84">
        <f t="shared" si="14"/>
        <v>5.5103797952740785E-2</v>
      </c>
      <c r="P32" s="80">
        <f t="shared" si="14"/>
        <v>8.6025616516915981E-4</v>
      </c>
      <c r="Q32" s="80">
        <f t="shared" si="14"/>
        <v>-4.1098616777788921E-2</v>
      </c>
      <c r="R32" s="80">
        <f t="shared" si="14"/>
        <v>8.5832675611681175E-3</v>
      </c>
      <c r="S32" s="80">
        <f t="shared" si="14"/>
        <v>4.897729405141682E-2</v>
      </c>
      <c r="T32" s="80">
        <f t="shared" si="14"/>
        <v>7.7273996834559266E-3</v>
      </c>
      <c r="U32" s="80">
        <f t="shared" si="14"/>
        <v>5.4073095552619965E-2</v>
      </c>
      <c r="V32" s="40">
        <f t="shared" si="14"/>
        <v>-6.3202247191011196E-2</v>
      </c>
      <c r="W32" s="40">
        <f t="shared" si="14"/>
        <v>1.0194624652456019E-2</v>
      </c>
      <c r="X32" s="40">
        <f t="shared" si="14"/>
        <v>4.7408846119890491E-2</v>
      </c>
      <c r="Y32" s="40">
        <f t="shared" si="14"/>
        <v>5.9375519016774625E-2</v>
      </c>
      <c r="Z32" s="40">
        <f t="shared" si="14"/>
        <v>7.801852844345758E-2</v>
      </c>
      <c r="AA32" s="40">
        <f t="shared" si="14"/>
        <v>6.0021590500179967E-2</v>
      </c>
      <c r="AB32" s="40">
        <f t="shared" si="13"/>
        <v>2.2578296481482379E-2</v>
      </c>
      <c r="AC32" s="38"/>
      <c r="AD32" s="38"/>
      <c r="AE32" s="38"/>
      <c r="AF32" s="38"/>
      <c r="AG32" s="38"/>
    </row>
    <row r="33" spans="1:33" x14ac:dyDescent="0.3">
      <c r="A33" s="97"/>
      <c r="B33" s="98"/>
      <c r="C33" s="3">
        <v>3</v>
      </c>
      <c r="D33" s="83"/>
      <c r="E33" s="84">
        <f t="shared" si="14"/>
        <v>1.8369175627240164E-2</v>
      </c>
      <c r="F33" s="84">
        <f t="shared" si="14"/>
        <v>0.16184754036800597</v>
      </c>
      <c r="G33" s="84">
        <f t="shared" si="14"/>
        <v>0.38285052143684817</v>
      </c>
      <c r="H33" s="84">
        <f t="shared" si="14"/>
        <v>9.9728771124556692E-2</v>
      </c>
      <c r="I33" s="84">
        <f t="shared" si="14"/>
        <v>-0.16873933187027546</v>
      </c>
      <c r="J33" s="84">
        <f t="shared" si="14"/>
        <v>7.2591587516960598E-2</v>
      </c>
      <c r="K33" s="84">
        <f t="shared" si="14"/>
        <v>2.7918223785447394E-2</v>
      </c>
      <c r="L33" s="84">
        <f t="shared" si="14"/>
        <v>-9.0949423247559391E-3</v>
      </c>
      <c r="M33" s="84">
        <f t="shared" si="14"/>
        <v>-5.6975381008206316E-2</v>
      </c>
      <c r="N33" s="84">
        <f t="shared" si="14"/>
        <v>-7.5596503661705672E-3</v>
      </c>
      <c r="O33" s="84">
        <f t="shared" si="14"/>
        <v>4.9404895576016128E-2</v>
      </c>
      <c r="P33" s="80">
        <f t="shared" si="14"/>
        <v>1.9378991411583391E-2</v>
      </c>
      <c r="Q33" s="80">
        <f t="shared" si="14"/>
        <v>-0.12317585951026455</v>
      </c>
      <c r="R33" s="80">
        <f t="shared" si="14"/>
        <v>8.259587020648973E-2</v>
      </c>
      <c r="S33" s="80">
        <f t="shared" si="14"/>
        <v>-0.12797542871768619</v>
      </c>
      <c r="T33" s="80">
        <f t="shared" si="14"/>
        <v>8.1238893120081368E-3</v>
      </c>
      <c r="U33" s="80">
        <f t="shared" si="14"/>
        <v>-1.8882565959648323E-2</v>
      </c>
      <c r="V33" s="40">
        <f t="shared" si="14"/>
        <v>-0.11798727588201263</v>
      </c>
      <c r="W33" s="40">
        <f t="shared" si="14"/>
        <v>-3.1007751937984551E-2</v>
      </c>
      <c r="X33" s="40">
        <f t="shared" si="14"/>
        <v>6.5217391304347783E-2</v>
      </c>
      <c r="Y33" s="40">
        <f t="shared" si="14"/>
        <v>5.9255374934451988E-2</v>
      </c>
      <c r="Z33" s="40">
        <f t="shared" si="14"/>
        <v>7.8521381976322746E-2</v>
      </c>
      <c r="AA33" s="40">
        <f t="shared" si="14"/>
        <v>5.9745570195365749E-2</v>
      </c>
      <c r="AB33" s="41">
        <f t="shared" si="13"/>
        <v>-3.8492010555855605E-3</v>
      </c>
      <c r="AC33" s="38"/>
      <c r="AD33" s="38"/>
      <c r="AE33" s="38"/>
      <c r="AF33" s="38"/>
      <c r="AG33" s="38"/>
    </row>
    <row r="34" spans="1:33" x14ac:dyDescent="0.3">
      <c r="A34" s="1"/>
      <c r="B34" s="112" t="s">
        <v>15</v>
      </c>
      <c r="C34" s="112"/>
      <c r="D34" s="84"/>
      <c r="E34" s="84">
        <f t="shared" ref="E34" si="15">1-(D11/E11)</f>
        <v>-6.2925073946382692E-3</v>
      </c>
      <c r="F34" s="84">
        <f t="shared" ref="F34" si="16">1-(E11/F11)</f>
        <v>0.14233777145811788</v>
      </c>
      <c r="G34" s="84">
        <f t="shared" ref="G34" si="17">1-(F11/G11)</f>
        <v>0.19922365271398068</v>
      </c>
      <c r="H34" s="84">
        <f t="shared" ref="H34" si="18">1-(G11/H11)</f>
        <v>-5.5200567980120629E-2</v>
      </c>
      <c r="I34" s="84">
        <f t="shared" si="14"/>
        <v>-0.16764977840130091</v>
      </c>
      <c r="J34" s="84">
        <f t="shared" ref="J34" si="19">1-(I11/J11)</f>
        <v>1.946194369323595E-2</v>
      </c>
      <c r="K34" s="84">
        <f t="shared" ref="K34" si="20">1-(J11/K11)</f>
        <v>6.8733890494410144E-4</v>
      </c>
      <c r="L34" s="84">
        <f t="shared" ref="L34" si="21">1-(K11/L11)</f>
        <v>-2.3159543522040638E-2</v>
      </c>
      <c r="M34" s="84">
        <f t="shared" ref="M34" si="22">1-(L11/M11)</f>
        <v>-7.8092152875900434E-2</v>
      </c>
      <c r="N34" s="84">
        <f t="shared" ref="N34" si="23">1-(M11/N11)</f>
        <v>-4.0800588245843761E-2</v>
      </c>
      <c r="O34" s="84">
        <f t="shared" ref="O34" si="24">1-(N11/O11)</f>
        <v>2.7385790786512931E-2</v>
      </c>
      <c r="P34" s="84">
        <f t="shared" si="14"/>
        <v>-4.3047140803813555E-2</v>
      </c>
      <c r="Q34" s="84">
        <f t="shared" si="14"/>
        <v>-8.4874563290764371E-2</v>
      </c>
      <c r="R34" s="84">
        <f t="shared" si="14"/>
        <v>5.496339045599985E-3</v>
      </c>
      <c r="S34" s="84">
        <f t="shared" si="14"/>
        <v>-2.2808039030658422E-2</v>
      </c>
      <c r="T34" s="84">
        <f t="shared" si="14"/>
        <v>-1.3140497548870034E-2</v>
      </c>
      <c r="U34" s="84">
        <f t="shared" si="14"/>
        <v>3.4461089375849019E-3</v>
      </c>
      <c r="V34" s="84">
        <f t="shared" si="14"/>
        <v>-7.6508456082924114E-2</v>
      </c>
      <c r="W34" s="84">
        <f t="shared" si="14"/>
        <v>-3.3910924597265524E-2</v>
      </c>
      <c r="X34" s="84">
        <f t="shared" si="14"/>
        <v>4.9659076289720883E-2</v>
      </c>
      <c r="Y34" s="84">
        <f t="shared" si="14"/>
        <v>4.5594073588998474E-2</v>
      </c>
      <c r="Z34" s="84">
        <f t="shared" si="14"/>
        <v>5.223142419364224E-2</v>
      </c>
      <c r="AA34" s="84">
        <f t="shared" si="14"/>
        <v>5.1369800003679744E-2</v>
      </c>
      <c r="AB34" s="39"/>
    </row>
  </sheetData>
  <mergeCells count="10">
    <mergeCell ref="A28:A33"/>
    <mergeCell ref="B28:B30"/>
    <mergeCell ref="B31:B33"/>
    <mergeCell ref="B34:C34"/>
    <mergeCell ref="A4:C4"/>
    <mergeCell ref="A5:A10"/>
    <mergeCell ref="B5:B7"/>
    <mergeCell ref="B8:B10"/>
    <mergeCell ref="B11:C11"/>
    <mergeCell ref="A27:C2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CDA3-8466-4BF4-AE78-3D56E4B47683}">
  <dimension ref="B3:AE45"/>
  <sheetViews>
    <sheetView zoomScale="70" zoomScaleNormal="70" workbookViewId="0">
      <selection activeCell="F20" sqref="F20"/>
    </sheetView>
  </sheetViews>
  <sheetFormatPr defaultRowHeight="16.5" x14ac:dyDescent="0.3"/>
  <cols>
    <col min="4" max="4" width="8.875" style="87"/>
  </cols>
  <sheetData>
    <row r="3" spans="2:5" x14ac:dyDescent="0.3">
      <c r="B3" t="s">
        <v>75</v>
      </c>
      <c r="C3" t="s">
        <v>76</v>
      </c>
      <c r="D3" s="87" t="s">
        <v>77</v>
      </c>
    </row>
    <row r="4" spans="2:5" x14ac:dyDescent="0.3">
      <c r="B4" s="85">
        <v>44927</v>
      </c>
      <c r="C4" s="86">
        <v>53413</v>
      </c>
      <c r="E4" s="86">
        <f>SUM(C4:D4)</f>
        <v>53413</v>
      </c>
    </row>
    <row r="5" spans="2:5" x14ac:dyDescent="0.3">
      <c r="B5" s="85">
        <v>44958</v>
      </c>
      <c r="C5" s="86">
        <v>53079</v>
      </c>
      <c r="E5" s="86">
        <f t="shared" ref="E5:E33" si="0">SUM(C5:D5)</f>
        <v>53079</v>
      </c>
    </row>
    <row r="6" spans="2:5" x14ac:dyDescent="0.3">
      <c r="B6" s="85">
        <v>44986</v>
      </c>
      <c r="C6" s="86">
        <v>61888</v>
      </c>
      <c r="E6" s="86">
        <f t="shared" si="0"/>
        <v>61888</v>
      </c>
    </row>
    <row r="7" spans="2:5" x14ac:dyDescent="0.3">
      <c r="B7" s="85">
        <v>45017</v>
      </c>
      <c r="C7" s="86">
        <v>77285</v>
      </c>
      <c r="E7" s="86">
        <f t="shared" si="0"/>
        <v>77285</v>
      </c>
    </row>
    <row r="8" spans="2:5" x14ac:dyDescent="0.3">
      <c r="B8" s="85">
        <v>45047</v>
      </c>
      <c r="C8" s="86">
        <v>73242</v>
      </c>
      <c r="E8" s="86">
        <f t="shared" si="0"/>
        <v>73242</v>
      </c>
    </row>
    <row r="9" spans="2:5" x14ac:dyDescent="0.3">
      <c r="B9" s="85">
        <v>45078</v>
      </c>
      <c r="C9" s="86">
        <v>62726</v>
      </c>
      <c r="E9" s="86">
        <f t="shared" si="0"/>
        <v>62726</v>
      </c>
    </row>
    <row r="10" spans="2:5" x14ac:dyDescent="0.3">
      <c r="B10" s="85">
        <v>45108</v>
      </c>
      <c r="C10" s="86">
        <v>63971</v>
      </c>
      <c r="E10" s="86">
        <f t="shared" si="0"/>
        <v>63971</v>
      </c>
    </row>
    <row r="11" spans="2:5" x14ac:dyDescent="0.3">
      <c r="B11" s="85">
        <v>45139</v>
      </c>
      <c r="C11" s="86">
        <v>64015</v>
      </c>
      <c r="D11" s="87">
        <v>590</v>
      </c>
      <c r="E11" s="86">
        <f t="shared" si="0"/>
        <v>64605</v>
      </c>
    </row>
    <row r="12" spans="2:5" x14ac:dyDescent="0.3">
      <c r="B12" s="85">
        <v>45170</v>
      </c>
      <c r="C12" s="86">
        <v>62566</v>
      </c>
      <c r="D12" s="87">
        <v>3356</v>
      </c>
      <c r="E12" s="86">
        <f t="shared" si="0"/>
        <v>65922</v>
      </c>
    </row>
    <row r="13" spans="2:5" x14ac:dyDescent="0.3">
      <c r="B13" s="85">
        <v>45200</v>
      </c>
      <c r="C13" s="86">
        <v>58034</v>
      </c>
      <c r="D13" s="87">
        <v>4851</v>
      </c>
      <c r="E13" s="86">
        <f t="shared" si="0"/>
        <v>62885</v>
      </c>
    </row>
    <row r="14" spans="2:5" x14ac:dyDescent="0.3">
      <c r="B14" s="85">
        <v>45231</v>
      </c>
      <c r="C14" s="86">
        <v>55759</v>
      </c>
      <c r="D14" s="87">
        <v>8822</v>
      </c>
      <c r="E14" s="86">
        <f t="shared" si="0"/>
        <v>64581</v>
      </c>
    </row>
    <row r="15" spans="2:5" x14ac:dyDescent="0.3">
      <c r="B15" s="85">
        <v>45261</v>
      </c>
      <c r="C15" s="86">
        <v>57329</v>
      </c>
      <c r="D15" s="87">
        <v>13245</v>
      </c>
      <c r="E15" s="86">
        <f t="shared" si="0"/>
        <v>70574</v>
      </c>
    </row>
    <row r="16" spans="2:5" x14ac:dyDescent="0.3">
      <c r="B16" s="85">
        <v>45292</v>
      </c>
      <c r="C16" s="86">
        <v>54963</v>
      </c>
      <c r="D16" s="87">
        <v>16019</v>
      </c>
      <c r="E16" s="86">
        <f t="shared" si="0"/>
        <v>70982</v>
      </c>
    </row>
    <row r="17" spans="2:5" x14ac:dyDescent="0.3">
      <c r="B17" s="85">
        <v>45323</v>
      </c>
      <c r="C17" s="86">
        <v>50663</v>
      </c>
      <c r="D17" s="87">
        <v>15665</v>
      </c>
      <c r="E17" s="86">
        <f t="shared" si="0"/>
        <v>66328</v>
      </c>
    </row>
    <row r="18" spans="2:5" x14ac:dyDescent="0.3">
      <c r="B18" s="85">
        <v>45352</v>
      </c>
      <c r="C18" s="86">
        <v>50943</v>
      </c>
      <c r="D18" s="87">
        <v>23359</v>
      </c>
      <c r="E18" s="86">
        <f t="shared" si="0"/>
        <v>74302</v>
      </c>
    </row>
    <row r="19" spans="2:5" x14ac:dyDescent="0.3">
      <c r="B19" s="85">
        <v>45383</v>
      </c>
      <c r="C19" s="86">
        <v>49807</v>
      </c>
      <c r="D19" s="87">
        <v>26822</v>
      </c>
      <c r="E19" s="86">
        <f t="shared" si="0"/>
        <v>76629</v>
      </c>
    </row>
    <row r="20" spans="2:5" x14ac:dyDescent="0.3">
      <c r="B20" s="85">
        <v>45413</v>
      </c>
      <c r="C20" s="86">
        <v>49161</v>
      </c>
      <c r="D20" s="87">
        <v>27580</v>
      </c>
      <c r="E20" s="86">
        <f t="shared" si="0"/>
        <v>76741</v>
      </c>
    </row>
    <row r="21" spans="2:5" x14ac:dyDescent="0.3">
      <c r="B21" s="85">
        <v>45444</v>
      </c>
      <c r="C21" s="86">
        <v>49331</v>
      </c>
      <c r="D21" s="87">
        <v>22165</v>
      </c>
      <c r="E21" s="86">
        <f t="shared" si="0"/>
        <v>71496</v>
      </c>
    </row>
    <row r="22" spans="2:5" x14ac:dyDescent="0.3">
      <c r="B22" s="85">
        <v>45474</v>
      </c>
      <c r="C22" s="86">
        <v>45825</v>
      </c>
      <c r="D22" s="87">
        <v>26179</v>
      </c>
      <c r="E22" s="86">
        <f t="shared" si="0"/>
        <v>72004</v>
      </c>
    </row>
    <row r="23" spans="2:5" x14ac:dyDescent="0.3">
      <c r="B23" s="85">
        <v>45505</v>
      </c>
      <c r="C23" s="86">
        <v>44322</v>
      </c>
      <c r="D23" s="87">
        <v>27002</v>
      </c>
      <c r="E23" s="86">
        <f t="shared" si="0"/>
        <v>71324</v>
      </c>
    </row>
    <row r="24" spans="2:5" x14ac:dyDescent="0.3">
      <c r="B24" s="85">
        <v>45536</v>
      </c>
      <c r="C24" s="86">
        <v>46638</v>
      </c>
      <c r="D24" s="87">
        <v>33428.400000000001</v>
      </c>
      <c r="E24" s="86">
        <f t="shared" si="0"/>
        <v>80066.399999999994</v>
      </c>
    </row>
    <row r="25" spans="2:5" x14ac:dyDescent="0.3">
      <c r="B25" s="85">
        <v>45566</v>
      </c>
      <c r="C25" s="86">
        <v>48866</v>
      </c>
      <c r="D25" s="87">
        <v>34498.799999999996</v>
      </c>
      <c r="E25" s="86">
        <f t="shared" si="0"/>
        <v>83364.799999999988</v>
      </c>
    </row>
    <row r="26" spans="2:5" x14ac:dyDescent="0.3">
      <c r="B26" s="85">
        <v>45597</v>
      </c>
      <c r="C26" s="86">
        <v>51559</v>
      </c>
      <c r="D26" s="87">
        <v>35634</v>
      </c>
      <c r="E26" s="86">
        <f t="shared" si="0"/>
        <v>87193</v>
      </c>
    </row>
    <row r="27" spans="2:5" x14ac:dyDescent="0.3">
      <c r="B27" s="85">
        <v>45627</v>
      </c>
      <c r="C27" s="86">
        <v>54351</v>
      </c>
      <c r="D27" s="87">
        <v>36717.599999999999</v>
      </c>
      <c r="E27" s="86">
        <f t="shared" si="0"/>
        <v>91068.6</v>
      </c>
    </row>
    <row r="28" spans="2:5" x14ac:dyDescent="0.3">
      <c r="B28" s="85">
        <v>45658</v>
      </c>
      <c r="C28" s="86">
        <v>54155.530979056435</v>
      </c>
      <c r="D28" s="87">
        <v>37950.587999999996</v>
      </c>
      <c r="E28" s="86">
        <f t="shared" si="0"/>
        <v>92106.118979056424</v>
      </c>
    </row>
    <row r="29" spans="2:5" x14ac:dyDescent="0.3">
      <c r="B29" s="85">
        <v>45689</v>
      </c>
      <c r="C29" s="86">
        <v>53985.434640622676</v>
      </c>
      <c r="D29" s="87">
        <v>39233.711640000001</v>
      </c>
      <c r="E29" s="86">
        <f t="shared" si="0"/>
        <v>93219.146280622677</v>
      </c>
    </row>
    <row r="30" spans="2:5" x14ac:dyDescent="0.3">
      <c r="B30" s="85">
        <v>45717</v>
      </c>
      <c r="C30" s="86">
        <v>54330.018769459755</v>
      </c>
      <c r="D30" s="87">
        <v>40623.080717999997</v>
      </c>
      <c r="E30" s="86">
        <f t="shared" si="0"/>
        <v>94953.099487459753</v>
      </c>
    </row>
    <row r="31" spans="2:5" x14ac:dyDescent="0.3">
      <c r="B31" s="85">
        <v>45748</v>
      </c>
      <c r="C31" s="86">
        <v>53299.426846225353</v>
      </c>
      <c r="D31" s="87">
        <v>42757.105818924007</v>
      </c>
      <c r="E31" s="86">
        <f t="shared" si="0"/>
        <v>96056.532665149367</v>
      </c>
    </row>
    <row r="32" spans="2:5" x14ac:dyDescent="0.3">
      <c r="B32" s="85">
        <v>45778</v>
      </c>
      <c r="C32" s="86">
        <v>52748.474742094033</v>
      </c>
      <c r="D32" s="87">
        <v>44857.846709420162</v>
      </c>
      <c r="E32" s="86">
        <f t="shared" si="0"/>
        <v>97606.321451514203</v>
      </c>
    </row>
    <row r="33" spans="2:31" x14ac:dyDescent="0.3">
      <c r="B33" s="85">
        <v>45809</v>
      </c>
      <c r="C33" s="86">
        <v>53273.969695846266</v>
      </c>
      <c r="D33" s="87">
        <v>46684.514163280845</v>
      </c>
      <c r="E33" s="86">
        <f t="shared" si="0"/>
        <v>99958.483859127111</v>
      </c>
    </row>
    <row r="37" spans="2:31" x14ac:dyDescent="0.3">
      <c r="E37" s="87"/>
    </row>
    <row r="45" spans="2:31" x14ac:dyDescent="0.3">
      <c r="B45" s="86"/>
      <c r="C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DC4E-68FC-4E34-A1E8-6945F04F977E}">
  <sheetPr>
    <tabColor theme="7"/>
  </sheetPr>
  <dimension ref="B2:Q89"/>
  <sheetViews>
    <sheetView topLeftCell="A71" workbookViewId="0">
      <selection activeCell="B2" sqref="B2"/>
    </sheetView>
  </sheetViews>
  <sheetFormatPr defaultRowHeight="16.5" outlineLevelRow="1" x14ac:dyDescent="0.3"/>
  <cols>
    <col min="1" max="1" width="2.875" customWidth="1"/>
    <col min="3" max="4" width="11.375" bestFit="1" customWidth="1"/>
    <col min="5" max="17" width="11.875" customWidth="1"/>
  </cols>
  <sheetData>
    <row r="2" spans="2:17" ht="17.25" x14ac:dyDescent="0.3">
      <c r="B2" s="74" t="s">
        <v>66</v>
      </c>
    </row>
    <row r="3" spans="2:17" x14ac:dyDescent="0.3">
      <c r="B3" s="137" t="s">
        <v>2</v>
      </c>
      <c r="C3" s="138"/>
      <c r="D3" s="139"/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20</v>
      </c>
      <c r="M3" s="11" t="s">
        <v>21</v>
      </c>
      <c r="N3" s="11" t="s">
        <v>3</v>
      </c>
      <c r="O3" s="11" t="s">
        <v>4</v>
      </c>
      <c r="P3" s="11" t="s">
        <v>5</v>
      </c>
      <c r="Q3" s="11" t="s">
        <v>6</v>
      </c>
    </row>
    <row r="4" spans="2:17" x14ac:dyDescent="0.3">
      <c r="B4" s="145"/>
      <c r="C4" s="116" t="s">
        <v>13</v>
      </c>
      <c r="D4" s="27" t="s">
        <v>24</v>
      </c>
      <c r="E4" s="7">
        <v>711</v>
      </c>
      <c r="F4" s="94">
        <v>533.9</v>
      </c>
      <c r="G4" s="94">
        <v>550.04999999999995</v>
      </c>
      <c r="H4" s="88">
        <v>715.2</v>
      </c>
      <c r="I4" s="82">
        <v>736.16677524429974</v>
      </c>
      <c r="J4" s="82">
        <v>758.26340830850461</v>
      </c>
      <c r="K4" s="82">
        <v>776.95711328991615</v>
      </c>
      <c r="L4" s="82">
        <v>800.26582668861363</v>
      </c>
      <c r="M4" s="82">
        <v>824.27380148927205</v>
      </c>
      <c r="N4" s="82">
        <v>849.00201553395016</v>
      </c>
      <c r="O4" s="82">
        <v>882.96209615530813</v>
      </c>
      <c r="P4" s="82">
        <v>909.45095903996742</v>
      </c>
      <c r="Q4" s="82">
        <v>936.73448781116645</v>
      </c>
    </row>
    <row r="5" spans="2:17" x14ac:dyDescent="0.3">
      <c r="B5" s="146"/>
      <c r="C5" s="116"/>
      <c r="D5" s="27">
        <v>1</v>
      </c>
      <c r="E5" s="7">
        <v>711</v>
      </c>
      <c r="F5" s="94">
        <v>587.1</v>
      </c>
      <c r="G5" s="94">
        <v>589.95000000000005</v>
      </c>
      <c r="H5" s="88">
        <v>752.4</v>
      </c>
      <c r="I5" s="82">
        <v>764.21161695447404</v>
      </c>
      <c r="J5" s="82">
        <v>778.34187797674474</v>
      </c>
      <c r="K5" s="82">
        <v>801.61069346184922</v>
      </c>
      <c r="L5" s="82">
        <v>825.65901426570474</v>
      </c>
      <c r="M5" s="82">
        <v>850.42878469367588</v>
      </c>
      <c r="N5" s="82">
        <v>875.94164823448614</v>
      </c>
      <c r="O5" s="82">
        <v>910.97931416386564</v>
      </c>
      <c r="P5" s="82">
        <v>938.30869358878158</v>
      </c>
      <c r="Q5" s="82">
        <v>966.45795439644507</v>
      </c>
    </row>
    <row r="6" spans="2:17" x14ac:dyDescent="0.3">
      <c r="B6" s="146"/>
      <c r="C6" s="116"/>
      <c r="D6" s="27">
        <v>2</v>
      </c>
      <c r="E6" s="7">
        <v>1026</v>
      </c>
      <c r="F6" s="95">
        <v>1583.65</v>
      </c>
      <c r="G6" s="95">
        <v>1615.95</v>
      </c>
      <c r="H6" s="89">
        <v>2082</v>
      </c>
      <c r="I6" s="82">
        <v>2123.1694915254238</v>
      </c>
      <c r="J6" s="82">
        <v>2184.8963061446493</v>
      </c>
      <c r="K6" s="82">
        <v>2247.7542712654863</v>
      </c>
      <c r="L6" s="82">
        <v>2315.1868994034508</v>
      </c>
      <c r="M6" s="82">
        <v>2384.642506385554</v>
      </c>
      <c r="N6" s="82">
        <v>2503.8746317048317</v>
      </c>
      <c r="O6" s="82">
        <v>2679.1458559241701</v>
      </c>
      <c r="P6" s="82">
        <v>2947.0604415165872</v>
      </c>
      <c r="Q6" s="82">
        <v>3300.7076944985774</v>
      </c>
    </row>
    <row r="7" spans="2:17" x14ac:dyDescent="0.3">
      <c r="B7" s="146"/>
      <c r="C7" s="116"/>
      <c r="D7" s="27">
        <v>3</v>
      </c>
      <c r="E7" s="7">
        <v>86</v>
      </c>
      <c r="F7" s="94">
        <v>88.35</v>
      </c>
      <c r="G7" s="94">
        <v>91.2</v>
      </c>
      <c r="H7" s="88">
        <v>118.8</v>
      </c>
      <c r="I7" s="82">
        <v>122.29411764705883</v>
      </c>
      <c r="J7" s="82">
        <v>125.78823529411765</v>
      </c>
      <c r="K7" s="82">
        <v>129.28235294117647</v>
      </c>
      <c r="L7" s="82">
        <v>133.16082352941177</v>
      </c>
      <c r="M7" s="82">
        <v>137.15564823529414</v>
      </c>
      <c r="N7" s="82">
        <v>146.75654361176473</v>
      </c>
      <c r="O7" s="82">
        <v>161.4321979729412</v>
      </c>
      <c r="P7" s="82">
        <v>171.11812985131766</v>
      </c>
      <c r="Q7" s="82">
        <v>179.67403634388356</v>
      </c>
    </row>
    <row r="8" spans="2:17" x14ac:dyDescent="0.3">
      <c r="B8" s="146"/>
      <c r="C8" s="117" t="s">
        <v>14</v>
      </c>
      <c r="D8" s="30" t="s">
        <v>24</v>
      </c>
      <c r="E8" s="7">
        <v>4541</v>
      </c>
      <c r="F8" s="95">
        <v>4922.8999999999996</v>
      </c>
      <c r="G8" s="95">
        <v>5071.1000000000004</v>
      </c>
      <c r="H8" s="89">
        <v>6597.6</v>
      </c>
      <c r="I8" s="82">
        <v>6789.8309729825178</v>
      </c>
      <c r="J8" s="82">
        <v>6987.717354845543</v>
      </c>
      <c r="K8" s="82">
        <v>7168.5951420868687</v>
      </c>
      <c r="L8" s="82">
        <v>7383.652996349475</v>
      </c>
      <c r="M8" s="82">
        <v>7605.1625862399596</v>
      </c>
      <c r="N8" s="82">
        <v>7833.3174638271585</v>
      </c>
      <c r="O8" s="82">
        <v>8303.316511656787</v>
      </c>
      <c r="P8" s="82">
        <v>8718.4823372396258</v>
      </c>
      <c r="Q8" s="82">
        <v>8980.0368073568152</v>
      </c>
    </row>
    <row r="9" spans="2:17" x14ac:dyDescent="0.3">
      <c r="B9" s="146"/>
      <c r="C9" s="117"/>
      <c r="D9" s="30">
        <v>1</v>
      </c>
      <c r="E9" s="7">
        <v>7701</v>
      </c>
      <c r="F9" s="95">
        <v>7876.45</v>
      </c>
      <c r="G9" s="95">
        <v>8113</v>
      </c>
      <c r="H9" s="89">
        <v>10555.2</v>
      </c>
      <c r="I9" s="82">
        <v>10862.768741721855</v>
      </c>
      <c r="J9" s="82">
        <v>11179.386090387559</v>
      </c>
      <c r="K9" s="82">
        <v>11468.789822163772</v>
      </c>
      <c r="L9" s="82">
        <v>11812.853516828685</v>
      </c>
      <c r="M9" s="82">
        <v>12167.239122333545</v>
      </c>
      <c r="N9" s="82">
        <v>12532.256296003552</v>
      </c>
      <c r="O9" s="82">
        <v>13284.191673763766</v>
      </c>
      <c r="P9" s="82">
        <v>13948.401257451955</v>
      </c>
      <c r="Q9" s="82">
        <v>14366.853295175513</v>
      </c>
    </row>
    <row r="10" spans="2:17" x14ac:dyDescent="0.3">
      <c r="B10" s="146"/>
      <c r="C10" s="117"/>
      <c r="D10" s="30">
        <v>2</v>
      </c>
      <c r="E10" s="7">
        <v>6506</v>
      </c>
      <c r="F10" s="95">
        <v>8354.2999999999993</v>
      </c>
      <c r="G10" s="95">
        <v>8605.1</v>
      </c>
      <c r="H10" s="89">
        <v>11196</v>
      </c>
      <c r="I10" s="82">
        <v>11522.210197710718</v>
      </c>
      <c r="J10" s="82">
        <v>11857.469496249887</v>
      </c>
      <c r="K10" s="82">
        <v>12165.516332208357</v>
      </c>
      <c r="L10" s="82">
        <v>12530.481822174608</v>
      </c>
      <c r="M10" s="82">
        <v>12906.396276839847</v>
      </c>
      <c r="N10" s="82">
        <v>13293.588165145042</v>
      </c>
      <c r="O10" s="82">
        <v>13692.395810099393</v>
      </c>
      <c r="P10" s="82">
        <v>14103.167684402375</v>
      </c>
      <c r="Q10" s="82">
        <v>14526.262714934446</v>
      </c>
    </row>
    <row r="11" spans="2:17" x14ac:dyDescent="0.3">
      <c r="B11" s="146"/>
      <c r="C11" s="117"/>
      <c r="D11" s="30" t="s">
        <v>25</v>
      </c>
      <c r="E11" s="7">
        <v>446</v>
      </c>
      <c r="F11" s="94">
        <v>466.45</v>
      </c>
      <c r="G11" s="94">
        <v>513</v>
      </c>
      <c r="H11" s="88">
        <v>712.8</v>
      </c>
      <c r="I11" s="82">
        <v>727.05599999999993</v>
      </c>
      <c r="J11" s="82">
        <v>741.5971199999999</v>
      </c>
      <c r="K11" s="82">
        <v>756.42906239999991</v>
      </c>
      <c r="L11" s="82">
        <v>771.55764364799995</v>
      </c>
      <c r="M11" s="82">
        <v>786.98879652095991</v>
      </c>
      <c r="N11" s="82">
        <v>802.72857245137914</v>
      </c>
      <c r="O11" s="82">
        <v>818.78314390040669</v>
      </c>
      <c r="P11" s="82">
        <v>835.15880677841483</v>
      </c>
      <c r="Q11" s="82">
        <v>851.86198291398307</v>
      </c>
    </row>
    <row r="12" spans="2:17" x14ac:dyDescent="0.3">
      <c r="B12" s="146"/>
      <c r="C12" s="115"/>
      <c r="D12" s="32" t="s">
        <v>26</v>
      </c>
      <c r="E12" s="7">
        <v>317</v>
      </c>
      <c r="F12" s="94">
        <v>331.55</v>
      </c>
      <c r="G12" s="94">
        <v>364.8</v>
      </c>
      <c r="H12" s="88">
        <v>506.4</v>
      </c>
      <c r="I12" s="82">
        <v>516.52800000000002</v>
      </c>
      <c r="J12" s="82">
        <v>526.85856000000001</v>
      </c>
      <c r="K12" s="82">
        <v>537.3957312</v>
      </c>
      <c r="L12" s="82">
        <v>548.14364582400003</v>
      </c>
      <c r="M12" s="82">
        <v>559.10651874048006</v>
      </c>
      <c r="N12" s="82">
        <v>570.28864911528967</v>
      </c>
      <c r="O12" s="82">
        <v>581.69442209759552</v>
      </c>
      <c r="P12" s="82">
        <v>593.32831053954737</v>
      </c>
      <c r="Q12" s="82">
        <v>605.19487675033827</v>
      </c>
    </row>
    <row r="13" spans="2:17" x14ac:dyDescent="0.3">
      <c r="B13" s="147"/>
      <c r="C13" s="115"/>
      <c r="D13" s="32" t="s">
        <v>27</v>
      </c>
      <c r="E13" s="7">
        <v>120</v>
      </c>
      <c r="F13" s="94">
        <v>125.4</v>
      </c>
      <c r="G13" s="94">
        <v>137.75</v>
      </c>
      <c r="H13" s="88">
        <v>192</v>
      </c>
      <c r="I13" s="82">
        <v>195.84</v>
      </c>
      <c r="J13" s="82">
        <v>199.7568</v>
      </c>
      <c r="K13" s="82">
        <v>203.751936</v>
      </c>
      <c r="L13" s="82">
        <v>207.82697472000001</v>
      </c>
      <c r="M13" s="82">
        <v>211.9835142144</v>
      </c>
      <c r="N13" s="82">
        <v>216.223184498688</v>
      </c>
      <c r="O13" s="82">
        <v>220.54764818866175</v>
      </c>
      <c r="P13" s="82">
        <v>224.95860115243499</v>
      </c>
      <c r="Q13" s="82">
        <v>229.45777317548368</v>
      </c>
    </row>
    <row r="14" spans="2:17" x14ac:dyDescent="0.3">
      <c r="B14" s="1"/>
      <c r="C14" s="140" t="s">
        <v>15</v>
      </c>
      <c r="D14" s="141"/>
      <c r="E14" s="8">
        <f>SUM(E4:E13)</f>
        <v>22165</v>
      </c>
      <c r="F14" s="8">
        <f t="shared" ref="F14:Q14" si="0">SUM(F4:F13)</f>
        <v>24870.05</v>
      </c>
      <c r="G14" s="8">
        <f t="shared" si="0"/>
        <v>25651.899999999998</v>
      </c>
      <c r="H14" s="8">
        <f t="shared" si="0"/>
        <v>33428.400000000001</v>
      </c>
      <c r="I14" s="8">
        <f t="shared" si="0"/>
        <v>34360.075913786335</v>
      </c>
      <c r="J14" s="8">
        <f t="shared" si="0"/>
        <v>35340.075249207002</v>
      </c>
      <c r="K14" s="8">
        <f t="shared" si="0"/>
        <v>36256.082457017423</v>
      </c>
      <c r="L14" s="8">
        <f t="shared" si="0"/>
        <v>37328.789163431946</v>
      </c>
      <c r="M14" s="8">
        <f t="shared" si="0"/>
        <v>38433.37755569299</v>
      </c>
      <c r="N14" s="8">
        <f t="shared" si="0"/>
        <v>39623.977170126142</v>
      </c>
      <c r="O14" s="8">
        <f t="shared" si="0"/>
        <v>41535.448673922896</v>
      </c>
      <c r="P14" s="8">
        <f t="shared" si="0"/>
        <v>43389.435221561005</v>
      </c>
      <c r="Q14" s="8">
        <f t="shared" si="0"/>
        <v>44943.241623356662</v>
      </c>
    </row>
    <row r="16" spans="2:17" ht="17.25" x14ac:dyDescent="0.3">
      <c r="B16" s="74" t="s">
        <v>67</v>
      </c>
    </row>
    <row r="17" spans="2:17" x14ac:dyDescent="0.3">
      <c r="B17" s="142" t="s">
        <v>16</v>
      </c>
      <c r="C17" s="143"/>
      <c r="D17" s="144"/>
      <c r="E17" s="12" t="s">
        <v>6</v>
      </c>
      <c r="F17" s="12" t="s">
        <v>7</v>
      </c>
      <c r="G17" s="12" t="s">
        <v>8</v>
      </c>
      <c r="H17" s="12" t="s">
        <v>9</v>
      </c>
      <c r="I17" s="12" t="s">
        <v>10</v>
      </c>
      <c r="J17" s="12" t="s">
        <v>11</v>
      </c>
      <c r="K17" s="12" t="s">
        <v>12</v>
      </c>
      <c r="L17" s="12" t="s">
        <v>20</v>
      </c>
      <c r="M17" s="12" t="s">
        <v>21</v>
      </c>
      <c r="N17" s="12" t="s">
        <v>3</v>
      </c>
      <c r="O17" s="12" t="s">
        <v>4</v>
      </c>
      <c r="P17" s="12" t="s">
        <v>5</v>
      </c>
      <c r="Q17" s="12" t="s">
        <v>6</v>
      </c>
    </row>
    <row r="18" spans="2:17" x14ac:dyDescent="0.3">
      <c r="B18" s="132"/>
      <c r="C18" s="116" t="s">
        <v>13</v>
      </c>
      <c r="D18" s="27" t="s">
        <v>24</v>
      </c>
      <c r="E18" s="7">
        <v>5247</v>
      </c>
      <c r="F18" s="7">
        <f>E18+F48-F4</f>
        <v>4713.1000000000004</v>
      </c>
      <c r="G18" s="7">
        <f>F18+G48-G4</f>
        <v>4163.05</v>
      </c>
      <c r="H18" s="7">
        <v>1600</v>
      </c>
      <c r="I18" s="7">
        <f t="shared" ref="I18:Q18" si="1">H18+I48-I4</f>
        <v>863.83322475570026</v>
      </c>
      <c r="J18" s="7">
        <f t="shared" si="1"/>
        <v>105.56981644719565</v>
      </c>
      <c r="K18" s="7">
        <f t="shared" si="1"/>
        <v>2028.6127031572794</v>
      </c>
      <c r="L18" s="7">
        <f t="shared" si="1"/>
        <v>2728.3468764686659</v>
      </c>
      <c r="M18" s="7">
        <f t="shared" si="1"/>
        <v>2904.0730749793938</v>
      </c>
      <c r="N18" s="7">
        <f t="shared" si="1"/>
        <v>3055.0710594454436</v>
      </c>
      <c r="O18" s="7">
        <f t="shared" si="1"/>
        <v>3172.1089632901353</v>
      </c>
      <c r="P18" s="7">
        <f t="shared" si="1"/>
        <v>3262.6580042501673</v>
      </c>
      <c r="Q18" s="7">
        <f t="shared" si="1"/>
        <v>3325.9235164390011</v>
      </c>
    </row>
    <row r="19" spans="2:17" x14ac:dyDescent="0.3">
      <c r="B19" s="133"/>
      <c r="C19" s="116"/>
      <c r="D19" s="27">
        <v>1</v>
      </c>
      <c r="E19" s="7">
        <v>10420</v>
      </c>
      <c r="F19" s="7">
        <f t="shared" ref="F19:Q19" si="2">E19+F49-F5</f>
        <v>9832.9</v>
      </c>
      <c r="G19" s="7">
        <f t="shared" si="2"/>
        <v>9242.9499999999989</v>
      </c>
      <c r="H19" s="7">
        <f t="shared" si="2"/>
        <v>8490.5499999999993</v>
      </c>
      <c r="I19" s="7">
        <f t="shared" si="2"/>
        <v>7726.338383045525</v>
      </c>
      <c r="J19" s="7">
        <f t="shared" si="2"/>
        <v>6947.9965050687806</v>
      </c>
      <c r="K19" s="7">
        <f t="shared" si="2"/>
        <v>6146.3858116069314</v>
      </c>
      <c r="L19" s="7">
        <f t="shared" si="2"/>
        <v>5320.7267973412263</v>
      </c>
      <c r="M19" s="7">
        <f t="shared" si="2"/>
        <v>4470.2980126475504</v>
      </c>
      <c r="N19" s="7">
        <f t="shared" si="2"/>
        <v>3594.3563644130645</v>
      </c>
      <c r="O19" s="7">
        <f t="shared" si="2"/>
        <v>3183.3770502491989</v>
      </c>
      <c r="P19" s="7">
        <f t="shared" si="2"/>
        <v>3245.0683566604175</v>
      </c>
      <c r="Q19" s="7">
        <f t="shared" si="2"/>
        <v>3278.6104022639724</v>
      </c>
    </row>
    <row r="20" spans="2:17" x14ac:dyDescent="0.3">
      <c r="B20" s="133"/>
      <c r="C20" s="116"/>
      <c r="D20" s="27">
        <v>2</v>
      </c>
      <c r="E20" s="7">
        <v>3711</v>
      </c>
      <c r="F20" s="7">
        <f t="shared" ref="F20:Q20" si="3">E20+F50-F6</f>
        <v>7257.35</v>
      </c>
      <c r="G20" s="7">
        <f t="shared" si="3"/>
        <v>5641.4000000000005</v>
      </c>
      <c r="H20" s="7">
        <f t="shared" si="3"/>
        <v>9499.4000000000015</v>
      </c>
      <c r="I20" s="7">
        <f t="shared" si="3"/>
        <v>7376.2305084745776</v>
      </c>
      <c r="J20" s="7">
        <f t="shared" si="3"/>
        <v>5191.3342023299283</v>
      </c>
      <c r="K20" s="7">
        <f t="shared" si="3"/>
        <v>6183.5799310644416</v>
      </c>
      <c r="L20" s="7">
        <f t="shared" si="3"/>
        <v>7068.3930316609913</v>
      </c>
      <c r="M20" s="7">
        <f t="shared" si="3"/>
        <v>7183.7505252754372</v>
      </c>
      <c r="N20" s="7">
        <f t="shared" si="3"/>
        <v>7679.8758935706064</v>
      </c>
      <c r="O20" s="7">
        <f t="shared" si="3"/>
        <v>8500.7300376464373</v>
      </c>
      <c r="P20" s="7">
        <f t="shared" si="3"/>
        <v>9053.6695961298501</v>
      </c>
      <c r="Q20" s="7">
        <f t="shared" si="3"/>
        <v>9752.9619016312718</v>
      </c>
    </row>
    <row r="21" spans="2:17" x14ac:dyDescent="0.3">
      <c r="B21" s="133"/>
      <c r="C21" s="116"/>
      <c r="D21" s="27">
        <v>3</v>
      </c>
      <c r="E21" s="7">
        <v>2032</v>
      </c>
      <c r="F21" s="7">
        <f t="shared" ref="F21:Q21" si="4">E21+F51-F7</f>
        <v>2753.65</v>
      </c>
      <c r="G21" s="7">
        <f t="shared" si="4"/>
        <v>2662.4500000000003</v>
      </c>
      <c r="H21" s="7">
        <f t="shared" si="4"/>
        <v>2543.65</v>
      </c>
      <c r="I21" s="7">
        <f t="shared" si="4"/>
        <v>2421.3558823529411</v>
      </c>
      <c r="J21" s="7">
        <f t="shared" si="4"/>
        <v>2295.5676470588232</v>
      </c>
      <c r="K21" s="7">
        <f t="shared" si="4"/>
        <v>2166.2852941176466</v>
      </c>
      <c r="L21" s="7">
        <f t="shared" si="4"/>
        <v>2033.1244705882348</v>
      </c>
      <c r="M21" s="7">
        <f t="shared" si="4"/>
        <v>1895.9688223529406</v>
      </c>
      <c r="N21" s="7">
        <f t="shared" si="4"/>
        <v>1749.2122787411759</v>
      </c>
      <c r="O21" s="7">
        <f t="shared" si="4"/>
        <v>1587.7800807682347</v>
      </c>
      <c r="P21" s="7">
        <f t="shared" si="4"/>
        <v>1416.661950916917</v>
      </c>
      <c r="Q21" s="7">
        <f t="shared" si="4"/>
        <v>1236.9879145730335</v>
      </c>
    </row>
    <row r="22" spans="2:17" x14ac:dyDescent="0.3">
      <c r="B22" s="133"/>
      <c r="C22" s="117" t="s">
        <v>14</v>
      </c>
      <c r="D22" s="30" t="s">
        <v>24</v>
      </c>
      <c r="E22" s="7">
        <v>20574</v>
      </c>
      <c r="F22" s="7">
        <f t="shared" ref="F22:Q22" si="5">E22+F52-F8</f>
        <v>32863.1</v>
      </c>
      <c r="G22" s="7">
        <f t="shared" si="5"/>
        <v>35472</v>
      </c>
      <c r="H22" s="7">
        <f t="shared" si="5"/>
        <v>36170.400000000001</v>
      </c>
      <c r="I22" s="7">
        <f t="shared" si="5"/>
        <v>29380.569027017482</v>
      </c>
      <c r="J22" s="7">
        <f t="shared" si="5"/>
        <v>22392.851672171939</v>
      </c>
      <c r="K22" s="7">
        <f t="shared" si="5"/>
        <v>15224.256530085069</v>
      </c>
      <c r="L22" s="7">
        <f t="shared" si="5"/>
        <v>22840.603533735593</v>
      </c>
      <c r="M22" s="7">
        <f t="shared" si="5"/>
        <v>24235.440947495634</v>
      </c>
      <c r="N22" s="7">
        <f t="shared" si="5"/>
        <v>24402.123483668474</v>
      </c>
      <c r="O22" s="7">
        <f t="shared" si="5"/>
        <v>25098.806972011687</v>
      </c>
      <c r="P22" s="7">
        <f t="shared" si="5"/>
        <v>27380.324634772063</v>
      </c>
      <c r="Q22" s="7">
        <f t="shared" si="5"/>
        <v>28400.287827415246</v>
      </c>
    </row>
    <row r="23" spans="2:17" x14ac:dyDescent="0.3">
      <c r="B23" s="133"/>
      <c r="C23" s="117"/>
      <c r="D23" s="30">
        <v>1</v>
      </c>
      <c r="E23" s="7">
        <v>17559</v>
      </c>
      <c r="F23" s="7">
        <f t="shared" ref="F23:Q23" si="6">E23+F53-F9</f>
        <v>24858.55</v>
      </c>
      <c r="G23" s="7">
        <f t="shared" si="6"/>
        <v>34409.550000000003</v>
      </c>
      <c r="H23" s="7">
        <f t="shared" si="6"/>
        <v>38830.350000000006</v>
      </c>
      <c r="I23" s="7">
        <f t="shared" si="6"/>
        <v>37951.581258278151</v>
      </c>
      <c r="J23" s="7">
        <f t="shared" si="6"/>
        <v>26772.19516789059</v>
      </c>
      <c r="K23" s="7">
        <f t="shared" si="6"/>
        <v>19911.405345726816</v>
      </c>
      <c r="L23" s="7">
        <f t="shared" si="6"/>
        <v>36098.551828898133</v>
      </c>
      <c r="M23" s="7">
        <f t="shared" si="6"/>
        <v>38931.312706564589</v>
      </c>
      <c r="N23" s="7">
        <f t="shared" si="6"/>
        <v>37399.056410561039</v>
      </c>
      <c r="O23" s="7">
        <f t="shared" si="6"/>
        <v>40114.864736797274</v>
      </c>
      <c r="P23" s="7">
        <f t="shared" si="6"/>
        <v>43166.463479345315</v>
      </c>
      <c r="Q23" s="7">
        <f t="shared" si="6"/>
        <v>42799.610184169804</v>
      </c>
    </row>
    <row r="24" spans="2:17" x14ac:dyDescent="0.3">
      <c r="B24" s="133"/>
      <c r="C24" s="117"/>
      <c r="D24" s="30">
        <v>2</v>
      </c>
      <c r="E24" s="7">
        <v>49603</v>
      </c>
      <c r="F24" s="7">
        <f t="shared" ref="F24:Q24" si="7">E24+F54-F10</f>
        <v>41248.699999999997</v>
      </c>
      <c r="G24" s="7">
        <f t="shared" si="7"/>
        <v>32643.599999999999</v>
      </c>
      <c r="H24" s="7">
        <f t="shared" si="7"/>
        <v>32967.599999999999</v>
      </c>
      <c r="I24" s="7">
        <f t="shared" si="7"/>
        <v>42949.389802289283</v>
      </c>
      <c r="J24" s="7">
        <f t="shared" si="7"/>
        <v>31091.920306039396</v>
      </c>
      <c r="K24" s="7">
        <f t="shared" si="7"/>
        <v>22766.403973831035</v>
      </c>
      <c r="L24" s="7">
        <f t="shared" si="7"/>
        <v>37235.922151656428</v>
      </c>
      <c r="M24" s="7">
        <f t="shared" si="7"/>
        <v>38329.52587481658</v>
      </c>
      <c r="N24" s="7">
        <f t="shared" si="7"/>
        <v>40035.93770967154</v>
      </c>
      <c r="O24" s="7">
        <f t="shared" si="7"/>
        <v>41343.541899572148</v>
      </c>
      <c r="P24" s="7">
        <f t="shared" si="7"/>
        <v>42240.374215169773</v>
      </c>
      <c r="Q24" s="7">
        <f t="shared" si="7"/>
        <v>43714.111500235325</v>
      </c>
    </row>
    <row r="25" spans="2:17" x14ac:dyDescent="0.3">
      <c r="B25" s="133"/>
      <c r="C25" s="117"/>
      <c r="D25" s="30" t="s">
        <v>25</v>
      </c>
      <c r="E25" s="7">
        <v>2214</v>
      </c>
      <c r="F25" s="7">
        <f t="shared" ref="F25:Q25" si="8">E25+F55-F11</f>
        <v>2943.55</v>
      </c>
      <c r="G25" s="7">
        <f t="shared" si="8"/>
        <v>2430.5500000000002</v>
      </c>
      <c r="H25" s="7">
        <f t="shared" si="8"/>
        <v>1717.7500000000002</v>
      </c>
      <c r="I25" s="7">
        <f t="shared" si="8"/>
        <v>3294.694</v>
      </c>
      <c r="J25" s="7">
        <f t="shared" si="8"/>
        <v>2553.0968800000001</v>
      </c>
      <c r="K25" s="7">
        <f t="shared" si="8"/>
        <v>1796.6678176</v>
      </c>
      <c r="L25" s="7">
        <f t="shared" si="8"/>
        <v>3025.110173952</v>
      </c>
      <c r="M25" s="7">
        <f t="shared" si="8"/>
        <v>2238.1213774310399</v>
      </c>
      <c r="N25" s="7">
        <f t="shared" si="8"/>
        <v>2435.3928049796609</v>
      </c>
      <c r="O25" s="7">
        <f t="shared" si="8"/>
        <v>2616.6096610792542</v>
      </c>
      <c r="P25" s="7">
        <f t="shared" si="8"/>
        <v>2781.4508543008396</v>
      </c>
      <c r="Q25" s="7">
        <f t="shared" si="8"/>
        <v>2929.5888713868567</v>
      </c>
    </row>
    <row r="26" spans="2:17" x14ac:dyDescent="0.3">
      <c r="B26" s="133"/>
      <c r="C26" s="115"/>
      <c r="D26" s="32" t="s">
        <v>26</v>
      </c>
      <c r="E26" s="7">
        <v>65</v>
      </c>
      <c r="F26" s="7">
        <f t="shared" ref="F26:Q26" si="9">E26+F56-F12</f>
        <v>-266.55</v>
      </c>
      <c r="G26" s="7">
        <f t="shared" si="9"/>
        <v>-631.35</v>
      </c>
      <c r="H26" s="7">
        <f t="shared" si="9"/>
        <v>1886.25</v>
      </c>
      <c r="I26" s="7">
        <f t="shared" si="9"/>
        <v>1369.722</v>
      </c>
      <c r="J26" s="7">
        <f t="shared" si="9"/>
        <v>842.86343999999997</v>
      </c>
      <c r="K26" s="7">
        <f t="shared" si="9"/>
        <v>2321.4677087999999</v>
      </c>
      <c r="L26" s="7">
        <f t="shared" si="9"/>
        <v>1773.3240629759998</v>
      </c>
      <c r="M26" s="7">
        <f t="shared" si="9"/>
        <v>3214.2175442355197</v>
      </c>
      <c r="N26" s="7">
        <f t="shared" si="9"/>
        <v>2643.9288951202298</v>
      </c>
      <c r="O26" s="7">
        <f t="shared" si="9"/>
        <v>2062.2344730226341</v>
      </c>
      <c r="P26" s="7">
        <f t="shared" si="9"/>
        <v>2468.9061624830865</v>
      </c>
      <c r="Q26" s="7">
        <f t="shared" si="9"/>
        <v>1863.7112857327484</v>
      </c>
    </row>
    <row r="27" spans="2:17" x14ac:dyDescent="0.3">
      <c r="B27" s="134"/>
      <c r="C27" s="115"/>
      <c r="D27" s="32" t="s">
        <v>27</v>
      </c>
      <c r="E27" s="7">
        <v>678</v>
      </c>
      <c r="F27" s="7">
        <f t="shared" ref="F27:Q27" si="10">E27+F57-F13</f>
        <v>552.6</v>
      </c>
      <c r="G27" s="7">
        <f t="shared" si="10"/>
        <v>414.85</v>
      </c>
      <c r="H27" s="7">
        <f t="shared" si="10"/>
        <v>1230.8499999999999</v>
      </c>
      <c r="I27" s="7">
        <f t="shared" si="10"/>
        <v>1035.01</v>
      </c>
      <c r="J27" s="7">
        <f t="shared" si="10"/>
        <v>835.25319999999999</v>
      </c>
      <c r="K27" s="7">
        <f t="shared" si="10"/>
        <v>631.50126399999999</v>
      </c>
      <c r="L27" s="7">
        <f t="shared" si="10"/>
        <v>923.67428928000004</v>
      </c>
      <c r="M27" s="7">
        <f t="shared" si="10"/>
        <v>711.69077506560006</v>
      </c>
      <c r="N27" s="7">
        <f t="shared" si="10"/>
        <v>1495.4675905669121</v>
      </c>
      <c r="O27" s="7">
        <f t="shared" si="10"/>
        <v>1274.9199423782504</v>
      </c>
      <c r="P27" s="7">
        <f t="shared" si="10"/>
        <v>1049.9613412258154</v>
      </c>
      <c r="Q27" s="7">
        <f t="shared" si="10"/>
        <v>820.50356805033175</v>
      </c>
    </row>
    <row r="28" spans="2:17" x14ac:dyDescent="0.3">
      <c r="B28" s="13"/>
      <c r="C28" s="135" t="s">
        <v>15</v>
      </c>
      <c r="D28" s="136"/>
      <c r="E28" s="9">
        <f>SUM(E18:E27)</f>
        <v>112103</v>
      </c>
      <c r="F28" s="9">
        <f t="shared" ref="F28:Q28" si="11">SUM(F18:F27)</f>
        <v>126756.95</v>
      </c>
      <c r="G28" s="9">
        <f t="shared" si="11"/>
        <v>126449.05</v>
      </c>
      <c r="H28" s="9">
        <f t="shared" si="11"/>
        <v>134936.80000000002</v>
      </c>
      <c r="I28" s="9">
        <f t="shared" si="11"/>
        <v>134368.72408621368</v>
      </c>
      <c r="J28" s="9">
        <f t="shared" si="11"/>
        <v>99028.648837006651</v>
      </c>
      <c r="K28" s="9">
        <f t="shared" si="11"/>
        <v>79176.566379989235</v>
      </c>
      <c r="L28" s="9">
        <f t="shared" si="11"/>
        <v>119047.77721655727</v>
      </c>
      <c r="M28" s="9">
        <f t="shared" si="11"/>
        <v>124114.39966086428</v>
      </c>
      <c r="N28" s="9">
        <f t="shared" si="11"/>
        <v>124490.42249073816</v>
      </c>
      <c r="O28" s="9">
        <f t="shared" si="11"/>
        <v>128954.97381681527</v>
      </c>
      <c r="P28" s="9">
        <f t="shared" si="11"/>
        <v>136065.53859525424</v>
      </c>
      <c r="Q28" s="9">
        <f t="shared" si="11"/>
        <v>138122.29697189759</v>
      </c>
    </row>
    <row r="30" spans="2:17" ht="17.25" x14ac:dyDescent="0.3">
      <c r="B30" s="74" t="s">
        <v>68</v>
      </c>
      <c r="F30" s="10" t="s">
        <v>22</v>
      </c>
      <c r="G30" s="10"/>
      <c r="H30" s="10"/>
      <c r="I30" s="10" t="s">
        <v>23</v>
      </c>
      <c r="J30" s="10"/>
      <c r="K30" s="10"/>
    </row>
    <row r="31" spans="2:17" ht="16.5" customHeight="1" x14ac:dyDescent="0.3">
      <c r="B31" s="126" t="s">
        <v>17</v>
      </c>
      <c r="C31" s="127"/>
      <c r="D31" s="128"/>
      <c r="E31" s="14" t="s">
        <v>6</v>
      </c>
      <c r="F31" s="14" t="s">
        <v>18</v>
      </c>
      <c r="G31" s="14" t="s">
        <v>8</v>
      </c>
      <c r="H31" s="14" t="s">
        <v>9</v>
      </c>
      <c r="I31" s="14" t="s">
        <v>10</v>
      </c>
      <c r="J31" s="14" t="s">
        <v>11</v>
      </c>
      <c r="K31" s="14" t="s">
        <v>12</v>
      </c>
    </row>
    <row r="32" spans="2:17" x14ac:dyDescent="0.3">
      <c r="B32" s="129"/>
      <c r="C32" s="116" t="s">
        <v>13</v>
      </c>
      <c r="D32" s="27" t="s">
        <v>24</v>
      </c>
      <c r="E32" s="66">
        <v>2700</v>
      </c>
      <c r="F32" s="7">
        <v>1500</v>
      </c>
      <c r="G32" s="7">
        <v>1000</v>
      </c>
      <c r="H32" s="7">
        <v>1000</v>
      </c>
      <c r="I32" s="7">
        <v>1000</v>
      </c>
      <c r="J32" s="7">
        <v>1000</v>
      </c>
      <c r="K32" s="7">
        <v>1000</v>
      </c>
    </row>
    <row r="33" spans="2:17" x14ac:dyDescent="0.3">
      <c r="B33" s="130"/>
      <c r="C33" s="116"/>
      <c r="D33" s="27">
        <v>1</v>
      </c>
      <c r="E33" s="66"/>
      <c r="F33" s="7"/>
      <c r="G33" s="7"/>
      <c r="H33" s="7"/>
      <c r="I33" s="7">
        <v>500</v>
      </c>
      <c r="J33" s="7">
        <v>1000</v>
      </c>
      <c r="K33" s="7">
        <v>1000</v>
      </c>
    </row>
    <row r="34" spans="2:17" x14ac:dyDescent="0.3">
      <c r="B34" s="130"/>
      <c r="C34" s="116"/>
      <c r="D34" s="27">
        <v>2</v>
      </c>
      <c r="E34" s="66">
        <v>3240</v>
      </c>
      <c r="F34" s="7">
        <v>3200</v>
      </c>
      <c r="G34" s="7">
        <v>2500</v>
      </c>
      <c r="H34" s="7">
        <v>3000</v>
      </c>
      <c r="I34" s="7">
        <v>3500</v>
      </c>
      <c r="J34" s="7">
        <v>3500</v>
      </c>
      <c r="K34" s="7">
        <v>4000</v>
      </c>
    </row>
    <row r="35" spans="2:17" x14ac:dyDescent="0.3">
      <c r="B35" s="130"/>
      <c r="C35" s="116"/>
      <c r="D35" s="27">
        <v>3</v>
      </c>
      <c r="E35" s="66"/>
      <c r="F35" s="7"/>
      <c r="G35" s="7"/>
      <c r="H35" s="7"/>
      <c r="I35" s="7"/>
      <c r="J35" s="7"/>
      <c r="K35" s="7"/>
    </row>
    <row r="36" spans="2:17" x14ac:dyDescent="0.3">
      <c r="B36" s="130"/>
      <c r="C36" s="117" t="s">
        <v>14</v>
      </c>
      <c r="D36" s="30" t="s">
        <v>24</v>
      </c>
      <c r="E36" s="66"/>
      <c r="F36" s="7">
        <v>15000</v>
      </c>
      <c r="G36" s="7">
        <v>9000</v>
      </c>
      <c r="H36" s="7">
        <v>8000</v>
      </c>
      <c r="I36" s="7">
        <v>9000</v>
      </c>
      <c r="J36" s="7">
        <v>11000</v>
      </c>
      <c r="K36" s="7">
        <v>10000</v>
      </c>
    </row>
    <row r="37" spans="2:17" x14ac:dyDescent="0.3">
      <c r="B37" s="130"/>
      <c r="C37" s="117"/>
      <c r="D37" s="30">
        <v>1</v>
      </c>
      <c r="E37" s="66">
        <v>4608</v>
      </c>
      <c r="F37" s="7">
        <v>28000</v>
      </c>
      <c r="G37" s="7">
        <v>15000</v>
      </c>
      <c r="H37" s="7">
        <v>11000</v>
      </c>
      <c r="I37" s="7">
        <v>16000</v>
      </c>
      <c r="J37" s="7">
        <v>17000</v>
      </c>
      <c r="K37" s="7">
        <v>14000</v>
      </c>
    </row>
    <row r="38" spans="2:17" x14ac:dyDescent="0.3">
      <c r="B38" s="130"/>
      <c r="C38" s="117"/>
      <c r="D38" s="30">
        <v>2</v>
      </c>
      <c r="E38" s="66">
        <v>3840</v>
      </c>
      <c r="F38" s="7">
        <v>27000</v>
      </c>
      <c r="G38" s="7">
        <v>14000</v>
      </c>
      <c r="H38" s="7">
        <v>15000</v>
      </c>
      <c r="I38" s="7">
        <v>15000</v>
      </c>
      <c r="J38" s="7">
        <v>15000</v>
      </c>
      <c r="K38" s="7">
        <v>16000</v>
      </c>
    </row>
    <row r="39" spans="2:17" x14ac:dyDescent="0.3">
      <c r="B39" s="130"/>
      <c r="C39" s="117"/>
      <c r="D39" s="30" t="s">
        <v>25</v>
      </c>
      <c r="E39" s="66"/>
      <c r="F39" s="7">
        <v>2000</v>
      </c>
      <c r="G39" s="7"/>
      <c r="H39" s="7">
        <v>1000</v>
      </c>
      <c r="I39" s="7">
        <v>1000</v>
      </c>
      <c r="J39" s="7">
        <v>1000</v>
      </c>
      <c r="K39" s="7">
        <v>1000</v>
      </c>
    </row>
    <row r="40" spans="2:17" x14ac:dyDescent="0.3">
      <c r="B40" s="130"/>
      <c r="C40" s="115"/>
      <c r="D40" s="32" t="s">
        <v>26</v>
      </c>
      <c r="E40" s="66">
        <v>2016</v>
      </c>
      <c r="F40" s="7"/>
      <c r="G40" s="7">
        <v>2000</v>
      </c>
      <c r="H40" s="7"/>
      <c r="I40" s="7"/>
      <c r="J40" s="7">
        <v>1000</v>
      </c>
      <c r="K40" s="7"/>
    </row>
    <row r="41" spans="2:17" x14ac:dyDescent="0.3">
      <c r="B41" s="130"/>
      <c r="C41" s="115"/>
      <c r="D41" s="32" t="s">
        <v>27</v>
      </c>
      <c r="E41" s="66"/>
      <c r="F41" s="7">
        <v>500</v>
      </c>
      <c r="G41" s="7"/>
      <c r="H41" s="7">
        <v>1000</v>
      </c>
      <c r="I41" s="7"/>
      <c r="J41" s="7"/>
      <c r="K41" s="7"/>
    </row>
    <row r="42" spans="2:17" x14ac:dyDescent="0.3">
      <c r="B42" s="130"/>
      <c r="C42" s="103" t="s">
        <v>15</v>
      </c>
      <c r="D42" s="104"/>
      <c r="E42" s="25">
        <f>SUM(E32:E41)</f>
        <v>16404</v>
      </c>
      <c r="F42" s="25">
        <f t="shared" ref="F42:K42" si="12">SUM(F32:F41)</f>
        <v>77200</v>
      </c>
      <c r="G42" s="25">
        <f t="shared" si="12"/>
        <v>43500</v>
      </c>
      <c r="H42" s="25">
        <f t="shared" si="12"/>
        <v>40000</v>
      </c>
      <c r="I42" s="25">
        <f t="shared" si="12"/>
        <v>46000</v>
      </c>
      <c r="J42" s="25">
        <f t="shared" si="12"/>
        <v>50500</v>
      </c>
      <c r="K42" s="25">
        <f t="shared" si="12"/>
        <v>47000</v>
      </c>
    </row>
    <row r="43" spans="2:17" ht="16.5" customHeight="1" x14ac:dyDescent="0.3">
      <c r="B43" s="130"/>
      <c r="C43" s="113" t="s">
        <v>63</v>
      </c>
      <c r="D43" s="114"/>
      <c r="E43" s="25">
        <f>단가!D47</f>
        <v>264580.08</v>
      </c>
      <c r="F43" s="25">
        <f>단가!E47</f>
        <v>1429385</v>
      </c>
      <c r="G43" s="25">
        <f>단가!F47</f>
        <v>799910</v>
      </c>
      <c r="H43" s="25">
        <f>단가!G47</f>
        <v>725160</v>
      </c>
      <c r="I43" s="25">
        <f>단가!H47</f>
        <v>847030</v>
      </c>
      <c r="J43" s="25">
        <f>단가!I47</f>
        <v>920310</v>
      </c>
      <c r="K43" s="25">
        <f>단가!J47</f>
        <v>861330</v>
      </c>
    </row>
    <row r="44" spans="2:17" ht="16.5" customHeight="1" x14ac:dyDescent="0.3">
      <c r="B44" s="131"/>
      <c r="C44" s="103" t="s">
        <v>19</v>
      </c>
      <c r="D44" s="104"/>
      <c r="E44" s="25">
        <f>단가!D48</f>
        <v>385434968.94240004</v>
      </c>
      <c r="F44" s="25">
        <f>단가!E48</f>
        <v>2082299480.3</v>
      </c>
      <c r="G44" s="25">
        <f>단가!F48</f>
        <v>1165292889.8</v>
      </c>
      <c r="H44" s="25">
        <f>단가!G48</f>
        <v>1056398584.8</v>
      </c>
      <c r="I44" s="25">
        <f>단가!H48</f>
        <v>1233936363.4000001</v>
      </c>
      <c r="J44" s="25">
        <f>단가!I48</f>
        <v>1340689201.8</v>
      </c>
      <c r="K44" s="25">
        <f>단가!J48</f>
        <v>1254768317.4000001</v>
      </c>
    </row>
    <row r="45" spans="2:17" outlineLevel="1" x14ac:dyDescent="0.3"/>
    <row r="46" spans="2:17" hidden="1" outlineLevel="1" x14ac:dyDescent="0.3">
      <c r="B46" t="s">
        <v>33</v>
      </c>
      <c r="K46" t="s">
        <v>6</v>
      </c>
      <c r="L46" t="s">
        <v>18</v>
      </c>
      <c r="M46" t="s">
        <v>8</v>
      </c>
      <c r="N46" t="s">
        <v>9</v>
      </c>
      <c r="O46" t="s">
        <v>10</v>
      </c>
      <c r="P46" t="s">
        <v>11</v>
      </c>
      <c r="Q46" t="s">
        <v>12</v>
      </c>
    </row>
    <row r="47" spans="2:17" ht="16.5" hidden="1" customHeight="1" outlineLevel="1" x14ac:dyDescent="0.3">
      <c r="B47" s="126" t="s">
        <v>17</v>
      </c>
      <c r="C47" s="127"/>
      <c r="D47" s="128"/>
      <c r="E47" s="14" t="s">
        <v>6</v>
      </c>
      <c r="F47" s="14" t="s">
        <v>18</v>
      </c>
      <c r="G47" s="14" t="s">
        <v>8</v>
      </c>
      <c r="H47" s="14" t="s">
        <v>9</v>
      </c>
      <c r="I47" s="14" t="s">
        <v>10</v>
      </c>
      <c r="J47" s="14" t="s">
        <v>11</v>
      </c>
      <c r="K47" s="15" t="s">
        <v>12</v>
      </c>
      <c r="L47" s="14" t="s">
        <v>20</v>
      </c>
      <c r="M47" s="14" t="s">
        <v>21</v>
      </c>
      <c r="N47" s="14" t="s">
        <v>3</v>
      </c>
      <c r="O47" s="14" t="s">
        <v>4</v>
      </c>
      <c r="P47" s="14" t="s">
        <v>5</v>
      </c>
      <c r="Q47" s="14" t="s">
        <v>59</v>
      </c>
    </row>
    <row r="48" spans="2:17" hidden="1" outlineLevel="1" x14ac:dyDescent="0.3">
      <c r="B48" s="129"/>
      <c r="C48" s="116" t="s">
        <v>13</v>
      </c>
      <c r="D48" s="27" t="s">
        <v>24</v>
      </c>
      <c r="E48" s="16"/>
      <c r="F48" s="17"/>
      <c r="G48" s="17"/>
      <c r="H48" s="18"/>
      <c r="I48" s="19"/>
      <c r="J48" s="20"/>
      <c r="K48" s="67">
        <f>E32</f>
        <v>2700</v>
      </c>
      <c r="L48" s="67">
        <f>F32</f>
        <v>1500</v>
      </c>
      <c r="M48" s="67">
        <f t="shared" ref="M48:Q48" si="13">G32</f>
        <v>1000</v>
      </c>
      <c r="N48" s="67">
        <f t="shared" si="13"/>
        <v>1000</v>
      </c>
      <c r="O48" s="67">
        <f t="shared" si="13"/>
        <v>1000</v>
      </c>
      <c r="P48" s="67">
        <f t="shared" si="13"/>
        <v>1000</v>
      </c>
      <c r="Q48" s="67">
        <f t="shared" si="13"/>
        <v>1000</v>
      </c>
    </row>
    <row r="49" spans="2:17" hidden="1" outlineLevel="1" x14ac:dyDescent="0.3">
      <c r="B49" s="130"/>
      <c r="C49" s="116"/>
      <c r="D49" s="27">
        <v>1</v>
      </c>
      <c r="E49" s="16">
        <v>5130</v>
      </c>
      <c r="F49" s="17"/>
      <c r="G49" s="17"/>
      <c r="H49" s="18"/>
      <c r="I49" s="19"/>
      <c r="J49" s="20"/>
      <c r="K49" s="67">
        <f t="shared" ref="K49:L49" si="14">E33</f>
        <v>0</v>
      </c>
      <c r="L49" s="67">
        <f t="shared" si="14"/>
        <v>0</v>
      </c>
      <c r="M49" s="67">
        <f t="shared" ref="M49:M57" si="15">G33</f>
        <v>0</v>
      </c>
      <c r="N49" s="67">
        <f t="shared" ref="N49:N57" si="16">H33</f>
        <v>0</v>
      </c>
      <c r="O49" s="67">
        <f t="shared" ref="O49:O57" si="17">I33</f>
        <v>500</v>
      </c>
      <c r="P49" s="67">
        <f t="shared" ref="P49:P57" si="18">J33</f>
        <v>1000</v>
      </c>
      <c r="Q49" s="67">
        <f t="shared" ref="Q49:Q57" si="19">K33</f>
        <v>1000</v>
      </c>
    </row>
    <row r="50" spans="2:17" hidden="1" outlineLevel="1" x14ac:dyDescent="0.3">
      <c r="B50" s="130"/>
      <c r="C50" s="116"/>
      <c r="D50" s="27">
        <v>2</v>
      </c>
      <c r="E50" s="17"/>
      <c r="F50" s="17">
        <v>5130</v>
      </c>
      <c r="G50" s="17"/>
      <c r="H50" s="18">
        <v>5940</v>
      </c>
      <c r="I50" s="18"/>
      <c r="J50" s="20"/>
      <c r="K50" s="67">
        <f t="shared" ref="K50:L50" si="20">E34</f>
        <v>3240</v>
      </c>
      <c r="L50" s="67">
        <f t="shared" si="20"/>
        <v>3200</v>
      </c>
      <c r="M50" s="67">
        <f t="shared" si="15"/>
        <v>2500</v>
      </c>
      <c r="N50" s="67">
        <f t="shared" si="16"/>
        <v>3000</v>
      </c>
      <c r="O50" s="67">
        <f t="shared" si="17"/>
        <v>3500</v>
      </c>
      <c r="P50" s="67">
        <f t="shared" si="18"/>
        <v>3500</v>
      </c>
      <c r="Q50" s="67">
        <f t="shared" si="19"/>
        <v>4000</v>
      </c>
    </row>
    <row r="51" spans="2:17" hidden="1" outlineLevel="1" x14ac:dyDescent="0.3">
      <c r="B51" s="130"/>
      <c r="C51" s="116"/>
      <c r="D51" s="27">
        <v>3</v>
      </c>
      <c r="E51" s="16">
        <v>810</v>
      </c>
      <c r="F51" s="16">
        <v>810</v>
      </c>
      <c r="G51" s="16"/>
      <c r="H51" s="19"/>
      <c r="I51" s="18"/>
      <c r="J51" s="21"/>
      <c r="K51" s="67">
        <f t="shared" ref="K51:L51" si="21">E35</f>
        <v>0</v>
      </c>
      <c r="L51" s="67">
        <f t="shared" si="21"/>
        <v>0</v>
      </c>
      <c r="M51" s="67">
        <f t="shared" si="15"/>
        <v>0</v>
      </c>
      <c r="N51" s="67">
        <f t="shared" si="16"/>
        <v>0</v>
      </c>
      <c r="O51" s="67">
        <f t="shared" si="17"/>
        <v>0</v>
      </c>
      <c r="P51" s="67">
        <f t="shared" si="18"/>
        <v>0</v>
      </c>
      <c r="Q51" s="67">
        <f t="shared" si="19"/>
        <v>0</v>
      </c>
    </row>
    <row r="52" spans="2:17" hidden="1" outlineLevel="1" x14ac:dyDescent="0.3">
      <c r="B52" s="130"/>
      <c r="C52" s="117" t="s">
        <v>14</v>
      </c>
      <c r="D52" s="30" t="s">
        <v>24</v>
      </c>
      <c r="E52" s="16">
        <v>4992</v>
      </c>
      <c r="F52" s="16">
        <v>17212</v>
      </c>
      <c r="G52" s="16">
        <v>7680</v>
      </c>
      <c r="H52" s="19">
        <v>7296</v>
      </c>
      <c r="I52" s="18"/>
      <c r="J52" s="21"/>
      <c r="K52" s="67">
        <f t="shared" ref="K52:L52" si="22">E36</f>
        <v>0</v>
      </c>
      <c r="L52" s="67">
        <f t="shared" si="22"/>
        <v>15000</v>
      </c>
      <c r="M52" s="67">
        <f t="shared" si="15"/>
        <v>9000</v>
      </c>
      <c r="N52" s="67">
        <f t="shared" si="16"/>
        <v>8000</v>
      </c>
      <c r="O52" s="67">
        <f t="shared" si="17"/>
        <v>9000</v>
      </c>
      <c r="P52" s="67">
        <f t="shared" si="18"/>
        <v>11000</v>
      </c>
      <c r="Q52" s="67">
        <f t="shared" si="19"/>
        <v>10000</v>
      </c>
    </row>
    <row r="53" spans="2:17" hidden="1" outlineLevel="1" x14ac:dyDescent="0.3">
      <c r="B53" s="130"/>
      <c r="C53" s="117"/>
      <c r="D53" s="30">
        <v>1</v>
      </c>
      <c r="E53" s="16">
        <v>3456</v>
      </c>
      <c r="F53" s="16">
        <v>15176</v>
      </c>
      <c r="G53" s="16">
        <v>17664</v>
      </c>
      <c r="H53" s="19">
        <v>14976</v>
      </c>
      <c r="I53" s="18">
        <v>9984</v>
      </c>
      <c r="J53" s="21"/>
      <c r="K53" s="67">
        <f t="shared" ref="K53:L53" si="23">E37</f>
        <v>4608</v>
      </c>
      <c r="L53" s="67">
        <f t="shared" si="23"/>
        <v>28000</v>
      </c>
      <c r="M53" s="67">
        <f t="shared" si="15"/>
        <v>15000</v>
      </c>
      <c r="N53" s="67">
        <f t="shared" si="16"/>
        <v>11000</v>
      </c>
      <c r="O53" s="67">
        <f t="shared" si="17"/>
        <v>16000</v>
      </c>
      <c r="P53" s="67">
        <f t="shared" si="18"/>
        <v>17000</v>
      </c>
      <c r="Q53" s="67">
        <f t="shared" si="19"/>
        <v>14000</v>
      </c>
    </row>
    <row r="54" spans="2:17" hidden="1" outlineLevel="1" x14ac:dyDescent="0.3">
      <c r="B54" s="130"/>
      <c r="C54" s="117"/>
      <c r="D54" s="30">
        <v>2</v>
      </c>
      <c r="E54" s="16"/>
      <c r="F54" s="16"/>
      <c r="G54" s="16"/>
      <c r="H54" s="19">
        <v>11520</v>
      </c>
      <c r="I54" s="18">
        <v>21504</v>
      </c>
      <c r="J54" s="21"/>
      <c r="K54" s="67">
        <f t="shared" ref="K54:L54" si="24">E38</f>
        <v>3840</v>
      </c>
      <c r="L54" s="67">
        <f t="shared" si="24"/>
        <v>27000</v>
      </c>
      <c r="M54" s="67">
        <f t="shared" si="15"/>
        <v>14000</v>
      </c>
      <c r="N54" s="67">
        <f t="shared" si="16"/>
        <v>15000</v>
      </c>
      <c r="O54" s="67">
        <f t="shared" si="17"/>
        <v>15000</v>
      </c>
      <c r="P54" s="67">
        <f t="shared" si="18"/>
        <v>15000</v>
      </c>
      <c r="Q54" s="67">
        <f t="shared" si="19"/>
        <v>16000</v>
      </c>
    </row>
    <row r="55" spans="2:17" hidden="1" outlineLevel="1" x14ac:dyDescent="0.3">
      <c r="B55" s="130"/>
      <c r="C55" s="117"/>
      <c r="D55" s="30" t="s">
        <v>25</v>
      </c>
      <c r="E55" s="16"/>
      <c r="F55" s="16">
        <v>1196</v>
      </c>
      <c r="G55" s="16"/>
      <c r="H55" s="19"/>
      <c r="I55" s="18">
        <v>2304</v>
      </c>
      <c r="J55" s="21"/>
      <c r="K55" s="67">
        <f t="shared" ref="K55:L55" si="25">E39</f>
        <v>0</v>
      </c>
      <c r="L55" s="67">
        <f t="shared" si="25"/>
        <v>2000</v>
      </c>
      <c r="M55" s="67">
        <f t="shared" si="15"/>
        <v>0</v>
      </c>
      <c r="N55" s="67">
        <f t="shared" si="16"/>
        <v>1000</v>
      </c>
      <c r="O55" s="67">
        <f t="shared" si="17"/>
        <v>1000</v>
      </c>
      <c r="P55" s="67">
        <f t="shared" si="18"/>
        <v>1000</v>
      </c>
      <c r="Q55" s="67">
        <f t="shared" si="19"/>
        <v>1000</v>
      </c>
    </row>
    <row r="56" spans="2:17" hidden="1" outlineLevel="1" x14ac:dyDescent="0.3">
      <c r="B56" s="130"/>
      <c r="C56" s="115"/>
      <c r="D56" s="32" t="s">
        <v>26</v>
      </c>
      <c r="E56" s="22"/>
      <c r="F56" s="16"/>
      <c r="G56" s="23"/>
      <c r="H56" s="19">
        <v>3024</v>
      </c>
      <c r="I56" s="19"/>
      <c r="J56" s="21"/>
      <c r="K56" s="67">
        <f t="shared" ref="K56:L56" si="26">E40</f>
        <v>2016</v>
      </c>
      <c r="L56" s="67">
        <f t="shared" si="26"/>
        <v>0</v>
      </c>
      <c r="M56" s="67">
        <f t="shared" si="15"/>
        <v>2000</v>
      </c>
      <c r="N56" s="67">
        <f t="shared" si="16"/>
        <v>0</v>
      </c>
      <c r="O56" s="67">
        <f t="shared" si="17"/>
        <v>0</v>
      </c>
      <c r="P56" s="67">
        <f t="shared" si="18"/>
        <v>1000</v>
      </c>
      <c r="Q56" s="67">
        <f t="shared" si="19"/>
        <v>0</v>
      </c>
    </row>
    <row r="57" spans="2:17" hidden="1" outlineLevel="1" x14ac:dyDescent="0.3">
      <c r="B57" s="130"/>
      <c r="C57" s="115"/>
      <c r="D57" s="32" t="s">
        <v>27</v>
      </c>
      <c r="E57" s="24"/>
      <c r="F57" s="16"/>
      <c r="G57" s="16"/>
      <c r="H57" s="19">
        <v>1008</v>
      </c>
      <c r="I57" s="18"/>
      <c r="J57" s="20"/>
      <c r="K57" s="67">
        <f t="shared" ref="K57:L57" si="27">E41</f>
        <v>0</v>
      </c>
      <c r="L57" s="67">
        <f t="shared" si="27"/>
        <v>500</v>
      </c>
      <c r="M57" s="67">
        <f t="shared" si="15"/>
        <v>0</v>
      </c>
      <c r="N57" s="67">
        <f t="shared" si="16"/>
        <v>1000</v>
      </c>
      <c r="O57" s="67">
        <f t="shared" si="17"/>
        <v>0</v>
      </c>
      <c r="P57" s="67">
        <f t="shared" si="18"/>
        <v>0</v>
      </c>
      <c r="Q57" s="67">
        <f t="shared" si="19"/>
        <v>0</v>
      </c>
    </row>
    <row r="58" spans="2:17" hidden="1" outlineLevel="1" x14ac:dyDescent="0.3">
      <c r="B58" s="131"/>
      <c r="C58" s="103" t="s">
        <v>15</v>
      </c>
      <c r="D58" s="104"/>
      <c r="E58" s="25">
        <f>SUM(E48:E57)</f>
        <v>14388</v>
      </c>
      <c r="F58" s="25">
        <f t="shared" ref="F58:Q58" si="28">SUM(F48:F57)</f>
        <v>39524</v>
      </c>
      <c r="G58" s="25">
        <f t="shared" si="28"/>
        <v>25344</v>
      </c>
      <c r="H58" s="25">
        <f t="shared" si="28"/>
        <v>43764</v>
      </c>
      <c r="I58" s="25">
        <f t="shared" si="28"/>
        <v>33792</v>
      </c>
      <c r="J58" s="25">
        <f t="shared" si="28"/>
        <v>0</v>
      </c>
      <c r="K58" s="25">
        <f t="shared" si="28"/>
        <v>16404</v>
      </c>
      <c r="L58" s="25">
        <f t="shared" si="28"/>
        <v>77200</v>
      </c>
      <c r="M58" s="25">
        <f t="shared" si="28"/>
        <v>43500</v>
      </c>
      <c r="N58" s="25">
        <f t="shared" si="28"/>
        <v>40000</v>
      </c>
      <c r="O58" s="25">
        <f t="shared" si="28"/>
        <v>46000</v>
      </c>
      <c r="P58" s="25">
        <f t="shared" si="28"/>
        <v>50500</v>
      </c>
      <c r="Q58" s="25">
        <f t="shared" si="28"/>
        <v>47000</v>
      </c>
    </row>
    <row r="59" spans="2:17" outlineLevel="1" x14ac:dyDescent="0.3">
      <c r="B59" s="42"/>
      <c r="C59" s="43"/>
      <c r="D59" s="43"/>
      <c r="E59" s="44"/>
      <c r="F59" s="44"/>
      <c r="G59" s="44"/>
      <c r="H59" s="44"/>
      <c r="I59" s="44"/>
      <c r="J59" s="44"/>
      <c r="K59" s="45"/>
      <c r="L59" s="44"/>
      <c r="M59" s="44"/>
      <c r="N59" s="44"/>
      <c r="O59" s="44"/>
      <c r="P59" s="44"/>
      <c r="Q59" s="44"/>
    </row>
    <row r="60" spans="2:17" outlineLevel="1" x14ac:dyDescent="0.3">
      <c r="B60" s="63" t="s">
        <v>58</v>
      </c>
      <c r="C60" s="43"/>
      <c r="D60" s="43"/>
      <c r="E60" s="44"/>
      <c r="F60" s="44"/>
      <c r="G60" s="44"/>
      <c r="H60" s="44"/>
      <c r="I60" s="44"/>
      <c r="J60" s="44"/>
      <c r="K60" s="45" t="s">
        <v>6</v>
      </c>
      <c r="L60" s="44" t="s">
        <v>18</v>
      </c>
      <c r="M60" s="44" t="s">
        <v>8</v>
      </c>
      <c r="N60" s="44" t="s">
        <v>9</v>
      </c>
      <c r="O60" s="44" t="s">
        <v>10</v>
      </c>
      <c r="P60" s="44" t="s">
        <v>11</v>
      </c>
      <c r="Q60" s="44" t="s">
        <v>12</v>
      </c>
    </row>
    <row r="61" spans="2:17" ht="16.5" customHeight="1" outlineLevel="1" x14ac:dyDescent="0.2">
      <c r="B61" s="118" t="s">
        <v>57</v>
      </c>
      <c r="C61" s="119"/>
      <c r="D61" s="120"/>
      <c r="E61" s="5" t="s">
        <v>6</v>
      </c>
      <c r="F61" s="5" t="s">
        <v>18</v>
      </c>
      <c r="G61" s="5" t="s">
        <v>8</v>
      </c>
      <c r="H61" s="5" t="s">
        <v>9</v>
      </c>
      <c r="I61" s="5" t="s">
        <v>10</v>
      </c>
      <c r="J61" s="5" t="s">
        <v>11</v>
      </c>
      <c r="K61" s="5" t="s">
        <v>12</v>
      </c>
      <c r="L61" s="5" t="s">
        <v>20</v>
      </c>
      <c r="M61" s="5" t="s">
        <v>21</v>
      </c>
      <c r="N61" s="5" t="s">
        <v>3</v>
      </c>
      <c r="O61" s="5" t="s">
        <v>4</v>
      </c>
      <c r="P61" s="5" t="s">
        <v>5</v>
      </c>
      <c r="Q61" s="5" t="s">
        <v>59</v>
      </c>
    </row>
    <row r="62" spans="2:17" outlineLevel="1" x14ac:dyDescent="0.2">
      <c r="B62" s="121"/>
      <c r="C62" s="116" t="s">
        <v>13</v>
      </c>
      <c r="D62" s="27" t="s">
        <v>24</v>
      </c>
      <c r="E62" s="64">
        <f t="shared" ref="E62:Q62" si="29">E18/E4</f>
        <v>7.3797468354430382</v>
      </c>
      <c r="F62" s="64">
        <f t="shared" si="29"/>
        <v>8.8276830867203611</v>
      </c>
      <c r="G62" s="64">
        <f t="shared" si="29"/>
        <v>7.5684937732933379</v>
      </c>
      <c r="H62" s="64">
        <f t="shared" si="29"/>
        <v>2.2371364653243848</v>
      </c>
      <c r="I62" s="64">
        <f t="shared" si="29"/>
        <v>1.1734205533372977</v>
      </c>
      <c r="J62" s="64">
        <f t="shared" si="29"/>
        <v>0.13922578261121082</v>
      </c>
      <c r="K62" s="64">
        <f t="shared" si="29"/>
        <v>2.6109712730055366</v>
      </c>
      <c r="L62" s="64">
        <f t="shared" si="29"/>
        <v>3.4093007416775221</v>
      </c>
      <c r="M62" s="64">
        <f t="shared" si="29"/>
        <v>3.523189830530105</v>
      </c>
      <c r="N62" s="64">
        <f t="shared" si="29"/>
        <v>3.598426156296064</v>
      </c>
      <c r="O62" s="64">
        <f t="shared" si="29"/>
        <v>3.5925765976846407</v>
      </c>
      <c r="P62" s="64">
        <f t="shared" si="29"/>
        <v>3.5875029563928185</v>
      </c>
      <c r="Q62" s="64">
        <f t="shared" si="29"/>
        <v>3.5505509402248721</v>
      </c>
    </row>
    <row r="63" spans="2:17" outlineLevel="1" x14ac:dyDescent="0.2">
      <c r="B63" s="122"/>
      <c r="C63" s="116"/>
      <c r="D63" s="27">
        <v>1</v>
      </c>
      <c r="E63" s="64">
        <f t="shared" ref="E63:Q63" si="30">E19/E5</f>
        <v>14.655414908579466</v>
      </c>
      <c r="F63" s="64">
        <f t="shared" si="30"/>
        <v>16.74825413047181</v>
      </c>
      <c r="G63" s="64">
        <f t="shared" si="30"/>
        <v>15.667344690227983</v>
      </c>
      <c r="H63" s="64">
        <f t="shared" si="30"/>
        <v>11.284622541201488</v>
      </c>
      <c r="I63" s="64">
        <f t="shared" si="30"/>
        <v>10.110207973331296</v>
      </c>
      <c r="J63" s="64">
        <f t="shared" si="30"/>
        <v>8.9266641069470669</v>
      </c>
      <c r="K63" s="64">
        <f t="shared" si="30"/>
        <v>7.6675446843941764</v>
      </c>
      <c r="L63" s="64">
        <f t="shared" si="30"/>
        <v>6.4442181401885197</v>
      </c>
      <c r="M63" s="64">
        <f t="shared" si="30"/>
        <v>5.2565224662024468</v>
      </c>
      <c r="N63" s="64">
        <f t="shared" si="30"/>
        <v>4.1034198700994633</v>
      </c>
      <c r="O63" s="64">
        <f t="shared" si="30"/>
        <v>3.4944559121751668</v>
      </c>
      <c r="P63" s="64">
        <f t="shared" si="30"/>
        <v>3.4584229889727363</v>
      </c>
      <c r="Q63" s="64">
        <f t="shared" si="30"/>
        <v>3.3923983835504474</v>
      </c>
    </row>
    <row r="64" spans="2:17" outlineLevel="1" x14ac:dyDescent="0.2">
      <c r="B64" s="122"/>
      <c r="C64" s="116"/>
      <c r="D64" s="27">
        <v>2</v>
      </c>
      <c r="E64" s="64">
        <f t="shared" ref="E64:Q64" si="31">E20/E6</f>
        <v>3.6169590643274856</v>
      </c>
      <c r="F64" s="64">
        <f t="shared" si="31"/>
        <v>4.5826729390963914</v>
      </c>
      <c r="G64" s="64">
        <f t="shared" si="31"/>
        <v>3.4910733624183918</v>
      </c>
      <c r="H64" s="64">
        <f t="shared" si="31"/>
        <v>4.5626320845341022</v>
      </c>
      <c r="I64" s="64">
        <f t="shared" si="31"/>
        <v>3.4741599942522776</v>
      </c>
      <c r="J64" s="64">
        <f t="shared" si="31"/>
        <v>2.3760094187216958</v>
      </c>
      <c r="K64" s="64">
        <f t="shared" si="31"/>
        <v>2.7510035283274465</v>
      </c>
      <c r="L64" s="64">
        <f t="shared" si="31"/>
        <v>3.0530550399547827</v>
      </c>
      <c r="M64" s="64">
        <f t="shared" si="31"/>
        <v>3.0125062796787843</v>
      </c>
      <c r="N64" s="64">
        <f t="shared" si="31"/>
        <v>3.0671966544673013</v>
      </c>
      <c r="O64" s="64">
        <f t="shared" si="31"/>
        <v>3.172925437728404</v>
      </c>
      <c r="P64" s="64">
        <f t="shared" si="31"/>
        <v>3.0721017691346502</v>
      </c>
      <c r="Q64" s="64">
        <f t="shared" si="31"/>
        <v>2.95480933312784</v>
      </c>
    </row>
    <row r="65" spans="2:17" outlineLevel="1" x14ac:dyDescent="0.2">
      <c r="B65" s="122"/>
      <c r="C65" s="116"/>
      <c r="D65" s="27">
        <v>3</v>
      </c>
      <c r="E65" s="64">
        <f t="shared" ref="E65:Q65" si="32">E21/E7</f>
        <v>23.627906976744185</v>
      </c>
      <c r="F65" s="64">
        <f t="shared" si="32"/>
        <v>31.167515563101304</v>
      </c>
      <c r="G65" s="64">
        <f t="shared" si="32"/>
        <v>29.193530701754387</v>
      </c>
      <c r="H65" s="64">
        <f t="shared" si="32"/>
        <v>21.411195286195287</v>
      </c>
      <c r="I65" s="64">
        <f t="shared" si="32"/>
        <v>19.799446849446849</v>
      </c>
      <c r="J65" s="64">
        <f t="shared" si="32"/>
        <v>18.249462214739989</v>
      </c>
      <c r="K65" s="64">
        <f t="shared" si="32"/>
        <v>16.756233506233503</v>
      </c>
      <c r="L65" s="64">
        <f t="shared" si="32"/>
        <v>15.268187870129612</v>
      </c>
      <c r="M65" s="64">
        <f t="shared" si="32"/>
        <v>13.823483369057875</v>
      </c>
      <c r="N65" s="64">
        <f t="shared" si="32"/>
        <v>11.919143335568107</v>
      </c>
      <c r="O65" s="64">
        <f t="shared" si="32"/>
        <v>9.8355848505164616</v>
      </c>
      <c r="P65" s="64">
        <f t="shared" si="32"/>
        <v>8.2788536325627007</v>
      </c>
      <c r="Q65" s="64">
        <f t="shared" si="32"/>
        <v>6.8846225072025717</v>
      </c>
    </row>
    <row r="66" spans="2:17" outlineLevel="1" x14ac:dyDescent="0.2">
      <c r="B66" s="122"/>
      <c r="C66" s="117" t="s">
        <v>14</v>
      </c>
      <c r="D66" s="30" t="s">
        <v>24</v>
      </c>
      <c r="E66" s="64">
        <f t="shared" ref="E66:Q66" si="33">E22/E8</f>
        <v>4.5307201057035895</v>
      </c>
      <c r="F66" s="64">
        <f t="shared" si="33"/>
        <v>6.6755570903329344</v>
      </c>
      <c r="G66" s="64">
        <f t="shared" si="33"/>
        <v>6.9949320660211782</v>
      </c>
      <c r="H66" s="64">
        <f t="shared" si="33"/>
        <v>5.4823572208075664</v>
      </c>
      <c r="I66" s="64">
        <f t="shared" si="33"/>
        <v>4.3271429206302763</v>
      </c>
      <c r="J66" s="64">
        <f t="shared" si="33"/>
        <v>3.2046018084351826</v>
      </c>
      <c r="K66" s="64">
        <f t="shared" si="33"/>
        <v>2.123743387418179</v>
      </c>
      <c r="L66" s="64">
        <f t="shared" si="33"/>
        <v>3.0934015378333912</v>
      </c>
      <c r="M66" s="64">
        <f t="shared" si="33"/>
        <v>3.1867091166919796</v>
      </c>
      <c r="N66" s="64">
        <f t="shared" si="33"/>
        <v>3.115171011050307</v>
      </c>
      <c r="O66" s="64">
        <f t="shared" si="33"/>
        <v>3.0227448197086302</v>
      </c>
      <c r="P66" s="64">
        <f t="shared" si="33"/>
        <v>3.1404920691094724</v>
      </c>
      <c r="Q66" s="64">
        <f t="shared" si="33"/>
        <v>3.1626026080593079</v>
      </c>
    </row>
    <row r="67" spans="2:17" outlineLevel="1" x14ac:dyDescent="0.2">
      <c r="B67" s="122"/>
      <c r="C67" s="117"/>
      <c r="D67" s="30">
        <v>1</v>
      </c>
      <c r="E67" s="64">
        <f t="shared" ref="E67:Q67" si="34">E23/E9</f>
        <v>2.2800934943513829</v>
      </c>
      <c r="F67" s="64">
        <f t="shared" si="34"/>
        <v>3.1560601540033897</v>
      </c>
      <c r="G67" s="64">
        <f t="shared" si="34"/>
        <v>4.241285591026748</v>
      </c>
      <c r="H67" s="64">
        <f t="shared" si="34"/>
        <v>3.6787886539336063</v>
      </c>
      <c r="I67" s="64">
        <f t="shared" si="34"/>
        <v>3.4937300204609212</v>
      </c>
      <c r="J67" s="64">
        <f t="shared" si="34"/>
        <v>2.3947822314599452</v>
      </c>
      <c r="K67" s="64">
        <f t="shared" si="34"/>
        <v>1.7361383070467857</v>
      </c>
      <c r="L67" s="64">
        <f t="shared" si="34"/>
        <v>3.0558706054783333</v>
      </c>
      <c r="M67" s="64">
        <f t="shared" si="34"/>
        <v>3.1996833723029505</v>
      </c>
      <c r="N67" s="64">
        <f t="shared" si="34"/>
        <v>2.9842237125718003</v>
      </c>
      <c r="O67" s="64">
        <f t="shared" si="34"/>
        <v>3.01974449947331</v>
      </c>
      <c r="P67" s="64">
        <f t="shared" si="34"/>
        <v>3.0947248134465277</v>
      </c>
      <c r="Q67" s="64">
        <f t="shared" si="34"/>
        <v>2.9790524970796635</v>
      </c>
    </row>
    <row r="68" spans="2:17" outlineLevel="1" x14ac:dyDescent="0.2">
      <c r="B68" s="122"/>
      <c r="C68" s="117"/>
      <c r="D68" s="30">
        <v>2</v>
      </c>
      <c r="E68" s="64">
        <f t="shared" ref="E68:Q68" si="35">E24/E10</f>
        <v>7.6241930525668611</v>
      </c>
      <c r="F68" s="64">
        <f t="shared" si="35"/>
        <v>4.9374214476377434</v>
      </c>
      <c r="G68" s="64">
        <f t="shared" si="35"/>
        <v>3.7935177975851526</v>
      </c>
      <c r="H68" s="64">
        <f t="shared" si="35"/>
        <v>2.9445873526259376</v>
      </c>
      <c r="I68" s="64">
        <f t="shared" si="35"/>
        <v>3.7275304881022437</v>
      </c>
      <c r="J68" s="64">
        <f t="shared" si="35"/>
        <v>2.6221379119611239</v>
      </c>
      <c r="K68" s="64">
        <f t="shared" si="35"/>
        <v>1.8713882216044291</v>
      </c>
      <c r="L68" s="64">
        <f t="shared" si="35"/>
        <v>2.9716273228824894</v>
      </c>
      <c r="M68" s="64">
        <f t="shared" si="35"/>
        <v>2.9698085393207552</v>
      </c>
      <c r="N68" s="64">
        <f t="shared" si="35"/>
        <v>3.0116727863319301</v>
      </c>
      <c r="O68" s="64">
        <f t="shared" si="35"/>
        <v>3.0194527293081541</v>
      </c>
      <c r="P68" s="64">
        <f t="shared" si="35"/>
        <v>2.9950983467271821</v>
      </c>
      <c r="Q68" s="64">
        <f t="shared" si="35"/>
        <v>3.0093157722731299</v>
      </c>
    </row>
    <row r="69" spans="2:17" outlineLevel="1" x14ac:dyDescent="0.2">
      <c r="B69" s="122"/>
      <c r="C69" s="117"/>
      <c r="D69" s="30" t="s">
        <v>25</v>
      </c>
      <c r="E69" s="64">
        <f t="shared" ref="E69:Q69" si="36">E25/E11</f>
        <v>4.9641255605381165</v>
      </c>
      <c r="F69" s="64">
        <f t="shared" si="36"/>
        <v>6.3105370350519889</v>
      </c>
      <c r="G69" s="64">
        <f t="shared" si="36"/>
        <v>4.7379142300194932</v>
      </c>
      <c r="H69" s="64">
        <f t="shared" si="36"/>
        <v>2.4098625140291814</v>
      </c>
      <c r="I69" s="64">
        <f t="shared" si="36"/>
        <v>4.5315546532866797</v>
      </c>
      <c r="J69" s="64">
        <f t="shared" si="36"/>
        <v>3.4427006404771374</v>
      </c>
      <c r="K69" s="64">
        <f t="shared" si="36"/>
        <v>2.3751967063501342</v>
      </c>
      <c r="L69" s="64">
        <f t="shared" si="36"/>
        <v>3.9207831052635074</v>
      </c>
      <c r="M69" s="64">
        <f t="shared" si="36"/>
        <v>2.8439050051603014</v>
      </c>
      <c r="N69" s="64">
        <f t="shared" si="36"/>
        <v>3.0338932592650067</v>
      </c>
      <c r="O69" s="64">
        <f t="shared" si="36"/>
        <v>3.1957297613805391</v>
      </c>
      <c r="P69" s="64">
        <f t="shared" si="36"/>
        <v>3.3304454574695241</v>
      </c>
      <c r="Q69" s="64">
        <f t="shared" si="36"/>
        <v>3.4390416876752119</v>
      </c>
    </row>
    <row r="70" spans="2:17" outlineLevel="1" x14ac:dyDescent="0.2">
      <c r="B70" s="122"/>
      <c r="C70" s="115"/>
      <c r="D70" s="32" t="s">
        <v>26</v>
      </c>
      <c r="E70" s="64">
        <f t="shared" ref="E70:P70" si="37">E26/E12</f>
        <v>0.20504731861198738</v>
      </c>
      <c r="F70" s="64">
        <f t="shared" si="37"/>
        <v>-0.80395113859146439</v>
      </c>
      <c r="G70" s="64">
        <f t="shared" si="37"/>
        <v>-1.7306743421052633</v>
      </c>
      <c r="H70" s="64">
        <f t="shared" si="37"/>
        <v>3.7248222748815167</v>
      </c>
      <c r="I70" s="64">
        <f t="shared" si="37"/>
        <v>2.6517865440014865</v>
      </c>
      <c r="J70" s="64">
        <f t="shared" si="37"/>
        <v>1.5997907294132223</v>
      </c>
      <c r="K70" s="64">
        <f t="shared" si="37"/>
        <v>4.3198476914138908</v>
      </c>
      <c r="L70" s="64">
        <f t="shared" si="37"/>
        <v>3.2351447955038144</v>
      </c>
      <c r="M70" s="64">
        <f t="shared" si="37"/>
        <v>5.7488464836294639</v>
      </c>
      <c r="N70" s="64">
        <f t="shared" si="37"/>
        <v>4.6361240035582973</v>
      </c>
      <c r="O70" s="64">
        <f t="shared" si="37"/>
        <v>3.5452196113316634</v>
      </c>
      <c r="P70" s="64">
        <f t="shared" si="37"/>
        <v>4.1611130273523758</v>
      </c>
      <c r="Q70" s="64">
        <f>Q26/Q12</f>
        <v>3.079522575835663</v>
      </c>
    </row>
    <row r="71" spans="2:17" outlineLevel="1" x14ac:dyDescent="0.2">
      <c r="B71" s="123"/>
      <c r="C71" s="115"/>
      <c r="D71" s="32" t="s">
        <v>27</v>
      </c>
      <c r="E71" s="64">
        <f t="shared" ref="E71:Q71" si="38">E27/E13</f>
        <v>5.65</v>
      </c>
      <c r="F71" s="64">
        <f t="shared" si="38"/>
        <v>4.4066985645933014</v>
      </c>
      <c r="G71" s="64">
        <f t="shared" si="38"/>
        <v>3.0116152450090747</v>
      </c>
      <c r="H71" s="64">
        <f t="shared" si="38"/>
        <v>6.4106770833333329</v>
      </c>
      <c r="I71" s="64">
        <f t="shared" si="38"/>
        <v>5.2849775326797381</v>
      </c>
      <c r="J71" s="64">
        <f t="shared" si="38"/>
        <v>4.1813505222350376</v>
      </c>
      <c r="K71" s="64">
        <f t="shared" si="38"/>
        <v>3.0993632570931742</v>
      </c>
      <c r="L71" s="64">
        <f t="shared" si="38"/>
        <v>4.4444388921334337</v>
      </c>
      <c r="M71" s="64">
        <f t="shared" si="38"/>
        <v>3.3572930315033669</v>
      </c>
      <c r="N71" s="64">
        <f t="shared" si="38"/>
        <v>6.9163147052622671</v>
      </c>
      <c r="O71" s="64">
        <f t="shared" si="38"/>
        <v>5.7807006914335961</v>
      </c>
      <c r="P71" s="64">
        <f t="shared" si="38"/>
        <v>4.6673536190525446</v>
      </c>
      <c r="Q71" s="64">
        <f t="shared" si="38"/>
        <v>3.5758368814240638</v>
      </c>
    </row>
    <row r="72" spans="2:17" outlineLevel="1" x14ac:dyDescent="0.2">
      <c r="B72" s="6"/>
      <c r="C72" s="124" t="s">
        <v>15</v>
      </c>
      <c r="D72" s="125"/>
      <c r="E72" s="65">
        <f>AVERAGE(E62:E71)</f>
        <v>7.4534207316866112</v>
      </c>
      <c r="F72" s="65">
        <f t="shared" ref="F72:Q72" si="39">AVERAGE(F62:F71)</f>
        <v>8.6008448872417755</v>
      </c>
      <c r="G72" s="65">
        <f t="shared" si="39"/>
        <v>7.6969033115250483</v>
      </c>
      <c r="H72" s="65">
        <f t="shared" si="39"/>
        <v>6.4146681476866405</v>
      </c>
      <c r="I72" s="65">
        <f t="shared" si="39"/>
        <v>5.8573957529529084</v>
      </c>
      <c r="J72" s="65">
        <f t="shared" si="39"/>
        <v>4.7136725367001606</v>
      </c>
      <c r="K72" s="65">
        <f t="shared" si="39"/>
        <v>4.5311430562887249</v>
      </c>
      <c r="L72" s="65">
        <f t="shared" si="39"/>
        <v>4.8896028051045413</v>
      </c>
      <c r="M72" s="65">
        <f t="shared" si="39"/>
        <v>4.6921947494078022</v>
      </c>
      <c r="N72" s="65">
        <f t="shared" si="39"/>
        <v>4.6385585494470547</v>
      </c>
      <c r="O72" s="65">
        <f t="shared" si="39"/>
        <v>4.1679134910740556</v>
      </c>
      <c r="P72" s="65">
        <f t="shared" si="39"/>
        <v>3.9786108680220535</v>
      </c>
      <c r="Q72" s="65">
        <f t="shared" si="39"/>
        <v>3.6027753186452776</v>
      </c>
    </row>
    <row r="73" spans="2:17" outlineLevel="1" x14ac:dyDescent="0.3">
      <c r="B73" s="42"/>
      <c r="C73" s="43"/>
      <c r="D73" s="43"/>
      <c r="E73" s="44"/>
      <c r="F73" s="44"/>
      <c r="G73" s="44"/>
      <c r="H73" s="44"/>
      <c r="I73" s="44"/>
      <c r="J73" s="44"/>
      <c r="K73" s="45"/>
      <c r="L73" s="44"/>
      <c r="M73" s="44"/>
      <c r="N73" s="44"/>
      <c r="O73" s="44"/>
      <c r="P73" s="44"/>
      <c r="Q73" s="44"/>
    </row>
    <row r="74" spans="2:17" x14ac:dyDescent="0.3">
      <c r="B74" s="42"/>
      <c r="C74" s="43"/>
      <c r="D74" s="43"/>
      <c r="E74" s="44"/>
      <c r="F74" s="44"/>
      <c r="G74" s="44"/>
      <c r="H74" s="44"/>
      <c r="I74" s="44"/>
      <c r="J74" s="44"/>
      <c r="K74" s="45"/>
      <c r="L74" s="44"/>
      <c r="M74" s="44"/>
      <c r="N74" s="44"/>
      <c r="O74" s="44"/>
      <c r="P74" s="44"/>
      <c r="Q74" s="44"/>
    </row>
    <row r="75" spans="2:17" ht="18" customHeight="1" x14ac:dyDescent="0.3">
      <c r="B75" s="74" t="s">
        <v>69</v>
      </c>
      <c r="F75" s="68">
        <v>2159000</v>
      </c>
      <c r="G75" s="10"/>
      <c r="H75" s="10"/>
      <c r="I75" s="69">
        <v>2160000</v>
      </c>
      <c r="J75" s="10"/>
      <c r="K75" s="10"/>
    </row>
    <row r="76" spans="2:17" ht="16.5" customHeight="1" x14ac:dyDescent="0.3">
      <c r="B76" s="126" t="s">
        <v>17</v>
      </c>
      <c r="C76" s="127"/>
      <c r="D76" s="128"/>
      <c r="E76" s="14" t="s">
        <v>6</v>
      </c>
      <c r="F76" s="14" t="s">
        <v>18</v>
      </c>
      <c r="G76" s="14" t="s">
        <v>8</v>
      </c>
      <c r="H76" s="14" t="s">
        <v>9</v>
      </c>
      <c r="I76" s="14" t="s">
        <v>10</v>
      </c>
      <c r="J76" s="14" t="s">
        <v>11</v>
      </c>
      <c r="K76" s="14" t="s">
        <v>12</v>
      </c>
    </row>
    <row r="77" spans="2:17" ht="17.25" customHeight="1" x14ac:dyDescent="0.3">
      <c r="B77" s="107"/>
      <c r="C77" s="113" t="s">
        <v>63</v>
      </c>
      <c r="D77" s="114"/>
      <c r="E77" s="26"/>
      <c r="F77" s="26">
        <f>$F$75/3</f>
        <v>719666.66666666663</v>
      </c>
      <c r="G77" s="26">
        <f t="shared" ref="G77:H77" si="40">$F$75/3</f>
        <v>719666.66666666663</v>
      </c>
      <c r="H77" s="26">
        <f t="shared" si="40"/>
        <v>719666.66666666663</v>
      </c>
      <c r="I77" s="26">
        <f>$I$75/3</f>
        <v>720000</v>
      </c>
      <c r="J77" s="26">
        <f t="shared" ref="J77:K77" si="41">$I$75/3</f>
        <v>720000</v>
      </c>
      <c r="K77" s="26">
        <f t="shared" si="41"/>
        <v>720000</v>
      </c>
    </row>
    <row r="78" spans="2:17" ht="16.5" customHeight="1" x14ac:dyDescent="0.3">
      <c r="B78" s="108"/>
      <c r="C78" s="103" t="s">
        <v>19</v>
      </c>
      <c r="D78" s="104"/>
      <c r="E78" s="26"/>
      <c r="F78" s="26">
        <f>F77*단가!$F$2</f>
        <v>1048396006.6666666</v>
      </c>
      <c r="G78" s="26">
        <f>G77*단가!$F$2</f>
        <v>1048396006.6666666</v>
      </c>
      <c r="H78" s="26">
        <f>H77*단가!$F$2</f>
        <v>1048396006.6666666</v>
      </c>
      <c r="I78" s="26">
        <f>I77*단가!$F$2</f>
        <v>1048881600</v>
      </c>
      <c r="J78" s="26">
        <f>J77*단가!$F$2</f>
        <v>1048881600</v>
      </c>
      <c r="K78" s="26">
        <f>K77*단가!$F$2</f>
        <v>1048881600</v>
      </c>
    </row>
    <row r="80" spans="2:17" ht="17.25" x14ac:dyDescent="0.3">
      <c r="B80" s="74" t="s">
        <v>70</v>
      </c>
    </row>
    <row r="81" spans="2:8" x14ac:dyDescent="0.3">
      <c r="B81" s="70"/>
      <c r="C81" s="70" t="s">
        <v>18</v>
      </c>
      <c r="D81" s="70" t="s">
        <v>8</v>
      </c>
      <c r="E81" s="70" t="s">
        <v>9</v>
      </c>
      <c r="F81" s="70" t="s">
        <v>10</v>
      </c>
      <c r="G81" s="70" t="s">
        <v>11</v>
      </c>
      <c r="H81" s="70" t="s">
        <v>12</v>
      </c>
    </row>
    <row r="82" spans="2:8" x14ac:dyDescent="0.3">
      <c r="B82" s="70" t="s">
        <v>73</v>
      </c>
      <c r="C82" s="71">
        <f>$F$75/3</f>
        <v>719666.66666666663</v>
      </c>
      <c r="D82" s="71">
        <f>$F$75/3</f>
        <v>719666.66666666663</v>
      </c>
      <c r="E82" s="71">
        <f>$F$75/3</f>
        <v>719666.66666666663</v>
      </c>
      <c r="F82" s="71">
        <f>+$I$75/3</f>
        <v>720000</v>
      </c>
      <c r="G82" s="71">
        <f>+$I$75/3</f>
        <v>720000</v>
      </c>
      <c r="H82" s="71">
        <f>+$I$75/3</f>
        <v>720000</v>
      </c>
    </row>
    <row r="83" spans="2:8" x14ac:dyDescent="0.3">
      <c r="B83" s="70" t="s">
        <v>71</v>
      </c>
      <c r="C83" s="71">
        <f>F43</f>
        <v>1429385</v>
      </c>
      <c r="D83" s="71">
        <f t="shared" ref="D83:H83" si="42">G43</f>
        <v>799910</v>
      </c>
      <c r="E83" s="71">
        <f t="shared" si="42"/>
        <v>725160</v>
      </c>
      <c r="F83" s="71">
        <f t="shared" si="42"/>
        <v>847030</v>
      </c>
      <c r="G83" s="71">
        <f t="shared" si="42"/>
        <v>920310</v>
      </c>
      <c r="H83" s="71">
        <f t="shared" si="42"/>
        <v>861330</v>
      </c>
    </row>
    <row r="84" spans="2:8" x14ac:dyDescent="0.3">
      <c r="B84" s="70" t="s">
        <v>1</v>
      </c>
      <c r="C84" s="72">
        <f>C83-C82</f>
        <v>709718.33333333337</v>
      </c>
      <c r="D84" s="72">
        <f t="shared" ref="D84:H84" si="43">D83-D82</f>
        <v>80243.333333333372</v>
      </c>
      <c r="E84" s="72">
        <f t="shared" si="43"/>
        <v>5493.3333333333721</v>
      </c>
      <c r="F84" s="72">
        <f t="shared" si="43"/>
        <v>127030</v>
      </c>
      <c r="G84" s="72">
        <f t="shared" si="43"/>
        <v>200310</v>
      </c>
      <c r="H84" s="72">
        <f t="shared" si="43"/>
        <v>141330</v>
      </c>
    </row>
    <row r="86" spans="2:8" x14ac:dyDescent="0.3">
      <c r="B86" s="75"/>
      <c r="C86" s="75" t="s">
        <v>64</v>
      </c>
      <c r="D86" s="75" t="s">
        <v>65</v>
      </c>
    </row>
    <row r="87" spans="2:8" x14ac:dyDescent="0.3">
      <c r="B87" s="75" t="s">
        <v>0</v>
      </c>
      <c r="C87" s="76">
        <f>F75</f>
        <v>2159000</v>
      </c>
      <c r="D87" s="76">
        <f>I75</f>
        <v>2160000</v>
      </c>
    </row>
    <row r="88" spans="2:8" x14ac:dyDescent="0.3">
      <c r="B88" s="75" t="s">
        <v>72</v>
      </c>
      <c r="C88" s="76">
        <f>+C83+D83+E83</f>
        <v>2954455</v>
      </c>
      <c r="D88" s="76">
        <f>+F83+G83+H83</f>
        <v>2628670</v>
      </c>
    </row>
    <row r="89" spans="2:8" x14ac:dyDescent="0.3">
      <c r="B89" s="75" t="s">
        <v>1</v>
      </c>
      <c r="C89" s="77">
        <f>C88-C87</f>
        <v>795455</v>
      </c>
      <c r="D89" s="77">
        <f>D88-D87</f>
        <v>468670</v>
      </c>
    </row>
  </sheetData>
  <mergeCells count="36">
    <mergeCell ref="B3:D3"/>
    <mergeCell ref="C4:C7"/>
    <mergeCell ref="C8:C11"/>
    <mergeCell ref="C14:D14"/>
    <mergeCell ref="B17:D17"/>
    <mergeCell ref="B4:B13"/>
    <mergeCell ref="B18:B27"/>
    <mergeCell ref="C28:D28"/>
    <mergeCell ref="B31:D31"/>
    <mergeCell ref="B32:B44"/>
    <mergeCell ref="C42:D42"/>
    <mergeCell ref="C43:D43"/>
    <mergeCell ref="C70:C71"/>
    <mergeCell ref="C44:D44"/>
    <mergeCell ref="B47:D47"/>
    <mergeCell ref="B48:B58"/>
    <mergeCell ref="C58:D58"/>
    <mergeCell ref="C48:C51"/>
    <mergeCell ref="C52:C55"/>
    <mergeCell ref="C56:C57"/>
    <mergeCell ref="B77:B78"/>
    <mergeCell ref="C77:D77"/>
    <mergeCell ref="C78:D78"/>
    <mergeCell ref="C12:C13"/>
    <mergeCell ref="C18:C21"/>
    <mergeCell ref="C22:C25"/>
    <mergeCell ref="C26:C27"/>
    <mergeCell ref="C32:C35"/>
    <mergeCell ref="C36:C39"/>
    <mergeCell ref="C40:C41"/>
    <mergeCell ref="B61:D61"/>
    <mergeCell ref="B62:B71"/>
    <mergeCell ref="C72:D72"/>
    <mergeCell ref="B76:D76"/>
    <mergeCell ref="C62:C65"/>
    <mergeCell ref="C66:C69"/>
  </mergeCells>
  <phoneticPr fontId="2" type="noConversion"/>
  <conditionalFormatting sqref="E62:Q71">
    <cfRule type="colorScale" priority="1">
      <colorScale>
        <cfvo type="num" val="3"/>
        <cfvo type="num" val="20"/>
        <color theme="0"/>
        <color rgb="FFF98683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CD69-B05A-476F-A04D-96842678BF76}">
  <dimension ref="A2:AD36"/>
  <sheetViews>
    <sheetView topLeftCell="C1" workbookViewId="0">
      <selection activeCell="W21" sqref="W21"/>
    </sheetView>
  </sheetViews>
  <sheetFormatPr defaultRowHeight="16.5" x14ac:dyDescent="0.3"/>
  <cols>
    <col min="5" max="5" width="10.875" bestFit="1" customWidth="1"/>
  </cols>
  <sheetData>
    <row r="2" spans="1:30" x14ac:dyDescent="0.3">
      <c r="O2" t="s">
        <v>78</v>
      </c>
      <c r="P2" t="s">
        <v>78</v>
      </c>
      <c r="Q2" s="90" t="s">
        <v>79</v>
      </c>
    </row>
    <row r="3" spans="1:30" x14ac:dyDescent="0.3">
      <c r="A3" s="116" t="s">
        <v>2</v>
      </c>
      <c r="B3" s="116"/>
      <c r="C3" s="116"/>
      <c r="D3" s="28" t="s">
        <v>8</v>
      </c>
      <c r="E3" s="28" t="s">
        <v>9</v>
      </c>
      <c r="F3" s="28" t="s">
        <v>10</v>
      </c>
      <c r="G3" s="28" t="s">
        <v>11</v>
      </c>
      <c r="H3" s="28" t="s">
        <v>12</v>
      </c>
      <c r="I3" s="28" t="s">
        <v>20</v>
      </c>
      <c r="J3" s="28" t="s">
        <v>21</v>
      </c>
      <c r="K3" s="28" t="s">
        <v>3</v>
      </c>
      <c r="L3" s="28" t="s">
        <v>4</v>
      </c>
      <c r="M3" s="28" t="s">
        <v>5</v>
      </c>
      <c r="N3" s="28" t="s">
        <v>6</v>
      </c>
      <c r="O3" s="28" t="s">
        <v>7</v>
      </c>
      <c r="P3" s="28" t="s">
        <v>8</v>
      </c>
      <c r="Q3" s="28" t="s">
        <v>9</v>
      </c>
      <c r="R3" s="28" t="s">
        <v>10</v>
      </c>
      <c r="S3" s="28" t="s">
        <v>11</v>
      </c>
      <c r="T3" s="28" t="s">
        <v>12</v>
      </c>
      <c r="U3" s="28" t="s">
        <v>20</v>
      </c>
      <c r="V3" s="28" t="s">
        <v>21</v>
      </c>
      <c r="W3" s="79" t="s">
        <v>3</v>
      </c>
      <c r="X3" s="79" t="s">
        <v>4</v>
      </c>
      <c r="Y3" s="79" t="s">
        <v>5</v>
      </c>
      <c r="Z3" s="28" t="s">
        <v>6</v>
      </c>
    </row>
    <row r="4" spans="1:30" ht="17.25" customHeight="1" x14ac:dyDescent="0.3">
      <c r="A4" s="149" t="s">
        <v>28</v>
      </c>
      <c r="B4" s="116" t="s">
        <v>13</v>
      </c>
      <c r="C4" s="27" t="s">
        <v>24</v>
      </c>
      <c r="D4" s="29">
        <v>6</v>
      </c>
      <c r="E4" s="29">
        <v>88</v>
      </c>
      <c r="F4" s="29">
        <v>67</v>
      </c>
      <c r="G4" s="29">
        <v>150</v>
      </c>
      <c r="H4" s="29">
        <v>250</v>
      </c>
      <c r="I4" s="29">
        <v>377</v>
      </c>
      <c r="J4" s="29">
        <v>342</v>
      </c>
      <c r="K4" s="29">
        <v>302</v>
      </c>
      <c r="L4" s="29">
        <v>565</v>
      </c>
      <c r="M4" s="29">
        <v>470</v>
      </c>
      <c r="N4" s="29">
        <v>711</v>
      </c>
      <c r="O4" s="94">
        <v>533.9</v>
      </c>
      <c r="P4" s="94">
        <v>550.04999999999995</v>
      </c>
      <c r="Q4" s="88">
        <v>715.2</v>
      </c>
      <c r="R4" s="82">
        <f t="shared" ref="R4:R13" si="0">Q4+(R19*Q4)</f>
        <v>736.16677524429974</v>
      </c>
      <c r="S4" s="82">
        <f t="shared" ref="S4:S13" si="1">R4+(S19*R4)</f>
        <v>758.26340830850461</v>
      </c>
      <c r="T4" s="82">
        <f t="shared" ref="T4:T13" si="2">S4+(T19*S4)</f>
        <v>776.95711328991615</v>
      </c>
      <c r="U4" s="82">
        <f t="shared" ref="U4:Y10" si="3">T4+(U19*T4)</f>
        <v>800.26582668861363</v>
      </c>
      <c r="V4" s="82">
        <f t="shared" si="3"/>
        <v>824.27380148927205</v>
      </c>
      <c r="W4" s="82">
        <f t="shared" si="3"/>
        <v>849.00201553395016</v>
      </c>
      <c r="X4" s="82">
        <f t="shared" si="3"/>
        <v>882.96209615530813</v>
      </c>
      <c r="Y4" s="82">
        <f t="shared" si="3"/>
        <v>909.45095903996742</v>
      </c>
      <c r="Z4" s="82">
        <f t="shared" ref="Z4" si="4">Y4+(Z19*Y4)</f>
        <v>936.73448781116645</v>
      </c>
      <c r="AA4" s="93"/>
      <c r="AD4" s="93"/>
    </row>
    <row r="5" spans="1:30" ht="17.25" customHeight="1" x14ac:dyDescent="0.3">
      <c r="A5" s="149"/>
      <c r="B5" s="116"/>
      <c r="C5" s="27">
        <v>1</v>
      </c>
      <c r="D5" s="29">
        <v>22</v>
      </c>
      <c r="E5" s="29">
        <v>138</v>
      </c>
      <c r="F5" s="29">
        <v>316</v>
      </c>
      <c r="G5" s="29">
        <v>832</v>
      </c>
      <c r="H5" s="7">
        <v>1229</v>
      </c>
      <c r="I5" s="7">
        <v>1014</v>
      </c>
      <c r="J5" s="29">
        <v>933</v>
      </c>
      <c r="K5" s="29">
        <v>743</v>
      </c>
      <c r="L5" s="29">
        <v>744</v>
      </c>
      <c r="M5" s="29">
        <v>700</v>
      </c>
      <c r="N5" s="29">
        <v>711</v>
      </c>
      <c r="O5" s="94">
        <v>587.1</v>
      </c>
      <c r="P5" s="94">
        <v>589.95000000000005</v>
      </c>
      <c r="Q5" s="88">
        <v>752.4</v>
      </c>
      <c r="R5" s="82">
        <f t="shared" si="0"/>
        <v>764.21161695447404</v>
      </c>
      <c r="S5" s="82">
        <f t="shared" si="1"/>
        <v>778.34187797674474</v>
      </c>
      <c r="T5" s="82">
        <f t="shared" si="2"/>
        <v>801.61069346184922</v>
      </c>
      <c r="U5" s="82">
        <f t="shared" si="3"/>
        <v>825.65901426570474</v>
      </c>
      <c r="V5" s="82">
        <f t="shared" si="3"/>
        <v>850.42878469367588</v>
      </c>
      <c r="W5" s="82">
        <f t="shared" si="3"/>
        <v>875.94164823448614</v>
      </c>
      <c r="X5" s="82">
        <f t="shared" si="3"/>
        <v>910.97931416386564</v>
      </c>
      <c r="Y5" s="82">
        <f t="shared" si="3"/>
        <v>938.30869358878158</v>
      </c>
      <c r="Z5" s="82">
        <f t="shared" ref="Z5" si="5">Y5+(Z20*Y5)</f>
        <v>966.45795439644507</v>
      </c>
      <c r="AA5" s="93"/>
      <c r="AC5" s="93"/>
      <c r="AD5" s="93"/>
    </row>
    <row r="6" spans="1:30" x14ac:dyDescent="0.3">
      <c r="A6" s="149"/>
      <c r="B6" s="116"/>
      <c r="C6" s="27">
        <v>2</v>
      </c>
      <c r="D6" s="29">
        <v>10</v>
      </c>
      <c r="E6" s="29">
        <v>68</v>
      </c>
      <c r="F6" s="29">
        <v>161</v>
      </c>
      <c r="G6" s="29">
        <v>275</v>
      </c>
      <c r="H6" s="29">
        <v>761</v>
      </c>
      <c r="I6" s="29">
        <v>743</v>
      </c>
      <c r="J6" s="7">
        <v>1467</v>
      </c>
      <c r="K6" s="29">
        <v>1179</v>
      </c>
      <c r="L6" s="7">
        <v>1336</v>
      </c>
      <c r="M6" s="7">
        <v>1178</v>
      </c>
      <c r="N6" s="7">
        <v>1026</v>
      </c>
      <c r="O6" s="95">
        <v>1583.65</v>
      </c>
      <c r="P6" s="95">
        <v>1615.95</v>
      </c>
      <c r="Q6" s="89">
        <v>2082</v>
      </c>
      <c r="R6" s="82">
        <f t="shared" si="0"/>
        <v>2123.1694915254238</v>
      </c>
      <c r="S6" s="82">
        <f t="shared" si="1"/>
        <v>2184.8963061446493</v>
      </c>
      <c r="T6" s="82">
        <f t="shared" si="2"/>
        <v>2247.7542712654863</v>
      </c>
      <c r="U6" s="82">
        <f t="shared" si="3"/>
        <v>2315.1868994034508</v>
      </c>
      <c r="V6" s="82">
        <f t="shared" si="3"/>
        <v>2384.642506385554</v>
      </c>
      <c r="W6" s="82">
        <f t="shared" si="3"/>
        <v>2503.8746317048317</v>
      </c>
      <c r="X6" s="82">
        <f t="shared" si="3"/>
        <v>2679.1458559241701</v>
      </c>
      <c r="Y6" s="82">
        <f t="shared" si="3"/>
        <v>2947.0604415165872</v>
      </c>
      <c r="Z6" s="82">
        <f t="shared" ref="Z6" si="6">Y6+(Z21*Y6)</f>
        <v>3300.7076944985774</v>
      </c>
      <c r="AA6" s="93"/>
      <c r="AC6" s="93"/>
      <c r="AD6" s="93"/>
    </row>
    <row r="7" spans="1:30" x14ac:dyDescent="0.3">
      <c r="A7" s="149"/>
      <c r="B7" s="116"/>
      <c r="C7" s="27">
        <v>3</v>
      </c>
      <c r="D7" s="29">
        <v>0</v>
      </c>
      <c r="E7" s="29">
        <v>4</v>
      </c>
      <c r="F7" s="29">
        <v>8</v>
      </c>
      <c r="G7" s="29">
        <v>24</v>
      </c>
      <c r="H7" s="29">
        <v>232</v>
      </c>
      <c r="I7" s="29">
        <v>207</v>
      </c>
      <c r="J7" s="29">
        <v>358</v>
      </c>
      <c r="K7" s="29">
        <v>105</v>
      </c>
      <c r="L7" s="29">
        <v>86</v>
      </c>
      <c r="M7" s="29">
        <v>94</v>
      </c>
      <c r="N7" s="29">
        <v>86</v>
      </c>
      <c r="O7" s="94">
        <v>88.35</v>
      </c>
      <c r="P7" s="94">
        <v>91.2</v>
      </c>
      <c r="Q7" s="88">
        <v>118.8</v>
      </c>
      <c r="R7" s="82">
        <f t="shared" si="0"/>
        <v>122.29411764705883</v>
      </c>
      <c r="S7" s="82">
        <f t="shared" si="1"/>
        <v>125.78823529411765</v>
      </c>
      <c r="T7" s="82">
        <f t="shared" si="2"/>
        <v>129.28235294117647</v>
      </c>
      <c r="U7" s="82">
        <f t="shared" si="3"/>
        <v>133.16082352941177</v>
      </c>
      <c r="V7" s="82">
        <f t="shared" si="3"/>
        <v>137.15564823529414</v>
      </c>
      <c r="W7" s="82">
        <f t="shared" si="3"/>
        <v>146.75654361176473</v>
      </c>
      <c r="X7" s="82">
        <f t="shared" si="3"/>
        <v>161.4321979729412</v>
      </c>
      <c r="Y7" s="82">
        <f t="shared" si="3"/>
        <v>171.11812985131766</v>
      </c>
      <c r="Z7" s="82">
        <f t="shared" ref="Z7" si="7">Y7+(Z22*Y7)</f>
        <v>179.67403634388356</v>
      </c>
      <c r="AA7" s="93"/>
      <c r="AC7" s="93"/>
      <c r="AD7" s="93"/>
    </row>
    <row r="8" spans="1:30" x14ac:dyDescent="0.3">
      <c r="A8" s="149"/>
      <c r="B8" s="117" t="s">
        <v>14</v>
      </c>
      <c r="C8" s="30" t="s">
        <v>24</v>
      </c>
      <c r="D8" s="29">
        <v>184</v>
      </c>
      <c r="E8" s="7">
        <v>1248</v>
      </c>
      <c r="F8" s="7">
        <v>1712</v>
      </c>
      <c r="G8" s="7">
        <v>2254</v>
      </c>
      <c r="H8" s="7">
        <v>3248</v>
      </c>
      <c r="I8" s="7">
        <v>4757</v>
      </c>
      <c r="J8" s="7">
        <v>3703</v>
      </c>
      <c r="K8" s="29">
        <v>5085</v>
      </c>
      <c r="L8" s="7">
        <v>4611</v>
      </c>
      <c r="M8" s="7">
        <v>5026</v>
      </c>
      <c r="N8" s="7">
        <v>4541</v>
      </c>
      <c r="O8" s="95">
        <v>4922.8999999999996</v>
      </c>
      <c r="P8" s="95">
        <v>5071.1000000000004</v>
      </c>
      <c r="Q8" s="89">
        <v>6597.6</v>
      </c>
      <c r="R8" s="82">
        <f t="shared" si="0"/>
        <v>6789.8309729825178</v>
      </c>
      <c r="S8" s="82">
        <f t="shared" si="1"/>
        <v>6987.717354845543</v>
      </c>
      <c r="T8" s="82">
        <f t="shared" si="2"/>
        <v>7168.5951420868687</v>
      </c>
      <c r="U8" s="82">
        <f t="shared" si="3"/>
        <v>7383.652996349475</v>
      </c>
      <c r="V8" s="82">
        <f t="shared" ref="V8:Z9" si="8">U8+(V23*U8)</f>
        <v>7605.1625862399596</v>
      </c>
      <c r="W8" s="82">
        <f t="shared" si="8"/>
        <v>7833.3174638271585</v>
      </c>
      <c r="X8" s="82">
        <f t="shared" si="8"/>
        <v>8303.316511656787</v>
      </c>
      <c r="Y8" s="82">
        <f t="shared" si="8"/>
        <v>8718.4823372396258</v>
      </c>
      <c r="Z8" s="82">
        <f t="shared" si="8"/>
        <v>8980.0368073568152</v>
      </c>
      <c r="AA8" s="93"/>
      <c r="AC8" s="93"/>
      <c r="AD8" s="93"/>
    </row>
    <row r="9" spans="1:30" x14ac:dyDescent="0.3">
      <c r="A9" s="149"/>
      <c r="B9" s="117"/>
      <c r="C9" s="30">
        <v>1</v>
      </c>
      <c r="D9" s="29">
        <v>258</v>
      </c>
      <c r="E9" s="7">
        <v>1350</v>
      </c>
      <c r="F9" s="7">
        <v>1896</v>
      </c>
      <c r="G9" s="7">
        <v>4155</v>
      </c>
      <c r="H9" s="7">
        <v>5197</v>
      </c>
      <c r="I9" s="7">
        <v>6023</v>
      </c>
      <c r="J9" s="7">
        <v>5139</v>
      </c>
      <c r="K9" s="29">
        <v>7077</v>
      </c>
      <c r="L9" s="7">
        <v>6977</v>
      </c>
      <c r="M9" s="7">
        <v>8068</v>
      </c>
      <c r="N9" s="7">
        <v>7701</v>
      </c>
      <c r="O9" s="95">
        <v>7876.45</v>
      </c>
      <c r="P9" s="95">
        <v>8113</v>
      </c>
      <c r="Q9" s="89">
        <v>10555.2</v>
      </c>
      <c r="R9" s="82">
        <f t="shared" si="0"/>
        <v>10862.768741721855</v>
      </c>
      <c r="S9" s="82">
        <f t="shared" si="1"/>
        <v>11179.386090387559</v>
      </c>
      <c r="T9" s="82">
        <f t="shared" si="2"/>
        <v>11468.789822163772</v>
      </c>
      <c r="U9" s="82">
        <f t="shared" si="3"/>
        <v>11812.853516828685</v>
      </c>
      <c r="V9" s="82">
        <f t="shared" si="8"/>
        <v>12167.239122333545</v>
      </c>
      <c r="W9" s="82">
        <f t="shared" si="8"/>
        <v>12532.256296003552</v>
      </c>
      <c r="X9" s="82">
        <f t="shared" si="8"/>
        <v>13284.191673763766</v>
      </c>
      <c r="Y9" s="82">
        <f t="shared" si="8"/>
        <v>13948.401257451955</v>
      </c>
      <c r="Z9" s="82">
        <f t="shared" si="8"/>
        <v>14366.853295175513</v>
      </c>
      <c r="AA9" s="93"/>
      <c r="AC9" s="93"/>
      <c r="AD9" s="93"/>
    </row>
    <row r="10" spans="1:30" x14ac:dyDescent="0.3">
      <c r="A10" s="149"/>
      <c r="B10" s="117"/>
      <c r="C10" s="30">
        <v>2</v>
      </c>
      <c r="D10" s="29">
        <v>110</v>
      </c>
      <c r="E10" s="29">
        <v>460</v>
      </c>
      <c r="F10" s="29">
        <v>691</v>
      </c>
      <c r="G10" s="7">
        <v>1132</v>
      </c>
      <c r="H10" s="7">
        <v>2328</v>
      </c>
      <c r="I10" s="7">
        <v>2898</v>
      </c>
      <c r="J10" s="7">
        <v>3723</v>
      </c>
      <c r="K10" s="29">
        <v>8699</v>
      </c>
      <c r="L10" s="7">
        <v>11723</v>
      </c>
      <c r="M10" s="7">
        <v>11363</v>
      </c>
      <c r="N10" s="7">
        <v>6506</v>
      </c>
      <c r="O10" s="95">
        <v>8354.2999999999993</v>
      </c>
      <c r="P10" s="95">
        <v>8605.1</v>
      </c>
      <c r="Q10" s="89">
        <v>11196</v>
      </c>
      <c r="R10" s="82">
        <f t="shared" si="0"/>
        <v>11522.210197710718</v>
      </c>
      <c r="S10" s="82">
        <f t="shared" si="1"/>
        <v>11857.469496249887</v>
      </c>
      <c r="T10" s="82">
        <f t="shared" si="2"/>
        <v>12165.516332208357</v>
      </c>
      <c r="U10" s="82">
        <f t="shared" si="3"/>
        <v>12530.481822174608</v>
      </c>
      <c r="V10" s="82">
        <f t="shared" si="3"/>
        <v>12906.396276839847</v>
      </c>
      <c r="W10" s="82">
        <f t="shared" si="3"/>
        <v>13293.588165145042</v>
      </c>
      <c r="X10" s="82">
        <f t="shared" si="3"/>
        <v>13692.395810099393</v>
      </c>
      <c r="Y10" s="82">
        <f t="shared" si="3"/>
        <v>14103.167684402375</v>
      </c>
      <c r="Z10" s="82">
        <f t="shared" ref="Z10" si="9">Y10+(Z25*Y10)</f>
        <v>14526.262714934446</v>
      </c>
      <c r="AA10" s="93"/>
      <c r="AC10" s="93"/>
      <c r="AD10" s="93"/>
    </row>
    <row r="11" spans="1:30" x14ac:dyDescent="0.3">
      <c r="A11" s="149"/>
      <c r="B11" s="117"/>
      <c r="C11" s="30" t="s">
        <v>25</v>
      </c>
      <c r="D11" s="29"/>
      <c r="E11" s="29"/>
      <c r="F11" s="29"/>
      <c r="G11" s="29"/>
      <c r="H11" s="29"/>
      <c r="I11" s="29"/>
      <c r="J11" s="29"/>
      <c r="K11" s="29">
        <v>27</v>
      </c>
      <c r="L11" s="29">
        <v>400</v>
      </c>
      <c r="M11" s="29">
        <v>335</v>
      </c>
      <c r="N11" s="29">
        <v>446</v>
      </c>
      <c r="O11" s="94">
        <v>466.45</v>
      </c>
      <c r="P11" s="94">
        <v>513</v>
      </c>
      <c r="Q11" s="88">
        <v>712.8</v>
      </c>
      <c r="R11" s="82">
        <f t="shared" si="0"/>
        <v>727.05599999999993</v>
      </c>
      <c r="S11" s="82">
        <f t="shared" si="1"/>
        <v>741.5971199999999</v>
      </c>
      <c r="T11" s="82">
        <f t="shared" si="2"/>
        <v>756.42906239999991</v>
      </c>
      <c r="U11" s="82">
        <f>T11+(U26*T11)</f>
        <v>771.55764364799995</v>
      </c>
      <c r="V11" s="82">
        <f t="shared" ref="V11:Y11" si="10">U11+(V26*U11)</f>
        <v>786.98879652095991</v>
      </c>
      <c r="W11" s="82">
        <f t="shared" si="10"/>
        <v>802.72857245137914</v>
      </c>
      <c r="X11" s="82">
        <f t="shared" si="10"/>
        <v>818.78314390040669</v>
      </c>
      <c r="Y11" s="82">
        <f t="shared" si="10"/>
        <v>835.15880677841483</v>
      </c>
      <c r="Z11" s="82">
        <f t="shared" ref="Z11" si="11">Y11+(Z26*Y11)</f>
        <v>851.86198291398307</v>
      </c>
      <c r="AA11" s="93"/>
      <c r="AC11" s="93"/>
      <c r="AD11" s="93"/>
    </row>
    <row r="12" spans="1:30" x14ac:dyDescent="0.3">
      <c r="A12" s="149"/>
      <c r="B12" s="115"/>
      <c r="C12" s="32" t="s">
        <v>26</v>
      </c>
      <c r="D12" s="33"/>
      <c r="E12" s="33"/>
      <c r="F12" s="33"/>
      <c r="G12" s="33"/>
      <c r="H12" s="33"/>
      <c r="I12" s="33"/>
      <c r="J12" s="33"/>
      <c r="K12" s="34">
        <v>116</v>
      </c>
      <c r="L12" s="33">
        <v>274</v>
      </c>
      <c r="M12" s="29">
        <v>260</v>
      </c>
      <c r="N12" s="29">
        <v>317</v>
      </c>
      <c r="O12" s="94">
        <v>331.55</v>
      </c>
      <c r="P12" s="94">
        <v>364.8</v>
      </c>
      <c r="Q12" s="88">
        <v>506.4</v>
      </c>
      <c r="R12" s="82">
        <f t="shared" si="0"/>
        <v>516.52800000000002</v>
      </c>
      <c r="S12" s="82">
        <f t="shared" si="1"/>
        <v>526.85856000000001</v>
      </c>
      <c r="T12" s="82">
        <f t="shared" si="2"/>
        <v>537.3957312</v>
      </c>
      <c r="U12" s="82">
        <f>T12+(U27*T12)</f>
        <v>548.14364582400003</v>
      </c>
      <c r="V12" s="82">
        <f t="shared" ref="V12:Y12" si="12">U12+(V27*U12)</f>
        <v>559.10651874048006</v>
      </c>
      <c r="W12" s="82">
        <f t="shared" si="12"/>
        <v>570.28864911528967</v>
      </c>
      <c r="X12" s="82">
        <f t="shared" si="12"/>
        <v>581.69442209759552</v>
      </c>
      <c r="Y12" s="82">
        <f t="shared" si="12"/>
        <v>593.32831053954737</v>
      </c>
      <c r="Z12" s="82">
        <f t="shared" ref="Z12" si="13">Y12+(Z27*Y12)</f>
        <v>605.19487675033827</v>
      </c>
      <c r="AA12" s="93"/>
      <c r="AC12" s="93"/>
      <c r="AD12" s="93"/>
    </row>
    <row r="13" spans="1:30" x14ac:dyDescent="0.3">
      <c r="A13" s="149"/>
      <c r="B13" s="115"/>
      <c r="C13" s="32" t="s">
        <v>27</v>
      </c>
      <c r="D13" s="33"/>
      <c r="E13" s="33"/>
      <c r="F13" s="33"/>
      <c r="G13" s="33"/>
      <c r="H13" s="33"/>
      <c r="I13" s="33"/>
      <c r="J13" s="33"/>
      <c r="K13" s="34">
        <v>26</v>
      </c>
      <c r="L13" s="33">
        <v>106</v>
      </c>
      <c r="M13" s="29">
        <v>86</v>
      </c>
      <c r="N13" s="29">
        <v>120</v>
      </c>
      <c r="O13" s="94">
        <v>125.4</v>
      </c>
      <c r="P13" s="94">
        <v>137.75</v>
      </c>
      <c r="Q13" s="88">
        <v>192</v>
      </c>
      <c r="R13" s="82">
        <f t="shared" si="0"/>
        <v>195.84</v>
      </c>
      <c r="S13" s="82">
        <f t="shared" si="1"/>
        <v>199.7568</v>
      </c>
      <c r="T13" s="82">
        <f t="shared" si="2"/>
        <v>203.751936</v>
      </c>
      <c r="U13" s="82">
        <f>T13+(U28*T13)</f>
        <v>207.82697472000001</v>
      </c>
      <c r="V13" s="82">
        <f t="shared" ref="V13:Y13" si="14">U13+(V28*U13)</f>
        <v>211.9835142144</v>
      </c>
      <c r="W13" s="82">
        <f t="shared" si="14"/>
        <v>216.223184498688</v>
      </c>
      <c r="X13" s="82">
        <f t="shared" si="14"/>
        <v>220.54764818866175</v>
      </c>
      <c r="Y13" s="82">
        <f t="shared" si="14"/>
        <v>224.95860115243499</v>
      </c>
      <c r="Z13" s="82">
        <f t="shared" ref="Z13" si="15">Y13+(Z28*Y13)</f>
        <v>229.45777317548368</v>
      </c>
      <c r="AA13" s="93"/>
      <c r="AC13" s="93"/>
      <c r="AD13" s="93"/>
    </row>
    <row r="14" spans="1:30" x14ac:dyDescent="0.3">
      <c r="A14" s="27"/>
      <c r="B14" s="148" t="s">
        <v>15</v>
      </c>
      <c r="C14" s="148"/>
      <c r="D14" s="35">
        <f t="shared" ref="D14:Y14" si="16">SUM(D4:D13)</f>
        <v>590</v>
      </c>
      <c r="E14" s="35">
        <f t="shared" si="16"/>
        <v>3356</v>
      </c>
      <c r="F14" s="35">
        <f t="shared" si="16"/>
        <v>4851</v>
      </c>
      <c r="G14" s="35">
        <f t="shared" si="16"/>
        <v>8822</v>
      </c>
      <c r="H14" s="35">
        <f t="shared" si="16"/>
        <v>13245</v>
      </c>
      <c r="I14" s="35">
        <f t="shared" si="16"/>
        <v>16019</v>
      </c>
      <c r="J14" s="35">
        <f t="shared" si="16"/>
        <v>15665</v>
      </c>
      <c r="K14" s="35">
        <f t="shared" si="16"/>
        <v>23359</v>
      </c>
      <c r="L14" s="35">
        <f t="shared" si="16"/>
        <v>26822</v>
      </c>
      <c r="M14" s="35">
        <f t="shared" si="16"/>
        <v>27580</v>
      </c>
      <c r="N14" s="35">
        <f t="shared" si="16"/>
        <v>22165</v>
      </c>
      <c r="O14" s="35">
        <f t="shared" si="16"/>
        <v>24870.05</v>
      </c>
      <c r="P14" s="35">
        <f t="shared" si="16"/>
        <v>25651.899999999998</v>
      </c>
      <c r="Q14" s="35">
        <f t="shared" si="16"/>
        <v>33428.400000000001</v>
      </c>
      <c r="R14" s="35">
        <f t="shared" si="16"/>
        <v>34360.075913786335</v>
      </c>
      <c r="S14" s="35">
        <f t="shared" si="16"/>
        <v>35340.075249207002</v>
      </c>
      <c r="T14" s="35">
        <f t="shared" si="16"/>
        <v>36256.082457017423</v>
      </c>
      <c r="U14" s="35">
        <f t="shared" si="16"/>
        <v>37328.789163431946</v>
      </c>
      <c r="V14" s="35">
        <f t="shared" si="16"/>
        <v>38433.37755569299</v>
      </c>
      <c r="W14" s="35">
        <f t="shared" si="16"/>
        <v>39623.977170126142</v>
      </c>
      <c r="X14" s="35">
        <f t="shared" si="16"/>
        <v>41535.448673922896</v>
      </c>
      <c r="Y14" s="35">
        <f t="shared" si="16"/>
        <v>43389.435221561005</v>
      </c>
      <c r="Z14" s="35">
        <f>SUM(Z4:Z13)</f>
        <v>44943.241623356662</v>
      </c>
      <c r="AC14" s="93"/>
    </row>
    <row r="15" spans="1:30" x14ac:dyDescent="0.3">
      <c r="L15" s="87">
        <f t="shared" ref="L15:T15" si="17">L14*800/1000000</f>
        <v>21.457599999999999</v>
      </c>
      <c r="M15" s="87">
        <f t="shared" si="17"/>
        <v>22.064</v>
      </c>
      <c r="N15" s="87">
        <f t="shared" si="17"/>
        <v>17.731999999999999</v>
      </c>
      <c r="O15" s="87">
        <f t="shared" si="17"/>
        <v>19.896039999999999</v>
      </c>
      <c r="P15" s="87">
        <f t="shared" si="17"/>
        <v>20.521519999999999</v>
      </c>
      <c r="Q15" s="87">
        <f t="shared" si="17"/>
        <v>26.742719999999998</v>
      </c>
      <c r="R15" s="87">
        <f t="shared" si="17"/>
        <v>27.488060731029066</v>
      </c>
      <c r="S15" s="87">
        <f t="shared" si="17"/>
        <v>28.272060199365601</v>
      </c>
      <c r="T15" s="87">
        <f t="shared" si="17"/>
        <v>29.004865965613938</v>
      </c>
    </row>
    <row r="16" spans="1:30" x14ac:dyDescent="0.3">
      <c r="D16">
        <v>590</v>
      </c>
      <c r="E16">
        <v>3356</v>
      </c>
      <c r="F16">
        <v>4851</v>
      </c>
      <c r="G16">
        <v>8822</v>
      </c>
      <c r="H16">
        <v>13245</v>
      </c>
      <c r="I16">
        <v>16019</v>
      </c>
      <c r="J16">
        <v>15665</v>
      </c>
      <c r="K16">
        <v>23359</v>
      </c>
      <c r="L16">
        <v>26822</v>
      </c>
      <c r="M16">
        <v>27580</v>
      </c>
      <c r="N16">
        <v>22165</v>
      </c>
      <c r="O16">
        <v>26179</v>
      </c>
      <c r="P16">
        <v>27002</v>
      </c>
      <c r="Q16" s="87">
        <v>33428.400000000001</v>
      </c>
      <c r="R16" s="87">
        <v>34498.799999999996</v>
      </c>
      <c r="S16" s="87">
        <v>35634</v>
      </c>
      <c r="T16" s="87">
        <v>36717.599999999999</v>
      </c>
      <c r="U16" s="87">
        <v>37950.587999999996</v>
      </c>
      <c r="V16" s="87">
        <v>39233.711640000001</v>
      </c>
      <c r="W16" s="87">
        <v>40623.080717999997</v>
      </c>
      <c r="X16" s="87">
        <v>42757.105818924007</v>
      </c>
      <c r="Y16" s="87">
        <v>44857.846709420162</v>
      </c>
      <c r="Z16" s="87">
        <v>46684.514163280845</v>
      </c>
    </row>
    <row r="18" spans="1:26" x14ac:dyDescent="0.3">
      <c r="A18" s="116" t="s">
        <v>2</v>
      </c>
      <c r="B18" s="116"/>
      <c r="C18" s="116"/>
      <c r="D18" s="28" t="s">
        <v>8</v>
      </c>
      <c r="E18" s="28" t="s">
        <v>9</v>
      </c>
      <c r="F18" s="28" t="s">
        <v>10</v>
      </c>
      <c r="G18" s="28" t="s">
        <v>11</v>
      </c>
      <c r="H18" s="28" t="s">
        <v>12</v>
      </c>
      <c r="I18" s="28" t="s">
        <v>20</v>
      </c>
      <c r="J18" s="28" t="s">
        <v>21</v>
      </c>
      <c r="K18" s="28" t="s">
        <v>3</v>
      </c>
      <c r="L18" s="28" t="s">
        <v>4</v>
      </c>
      <c r="M18" s="28" t="s">
        <v>5</v>
      </c>
      <c r="N18" s="28" t="s">
        <v>6</v>
      </c>
      <c r="O18" s="28" t="s">
        <v>7</v>
      </c>
      <c r="P18" s="28" t="s">
        <v>8</v>
      </c>
      <c r="Q18" s="28" t="s">
        <v>9</v>
      </c>
      <c r="R18" s="28" t="s">
        <v>10</v>
      </c>
      <c r="S18" s="28" t="s">
        <v>11</v>
      </c>
      <c r="T18" s="28" t="s">
        <v>12</v>
      </c>
      <c r="U18" s="28" t="s">
        <v>20</v>
      </c>
      <c r="V18" s="28" t="s">
        <v>21</v>
      </c>
      <c r="W18" s="28" t="s">
        <v>3</v>
      </c>
      <c r="X18" s="28" t="s">
        <v>4</v>
      </c>
      <c r="Y18" s="28" t="s">
        <v>5</v>
      </c>
      <c r="Z18" s="28" t="s">
        <v>6</v>
      </c>
    </row>
    <row r="19" spans="1:26" ht="17.25" customHeight="1" x14ac:dyDescent="0.3">
      <c r="A19" s="149" t="s">
        <v>28</v>
      </c>
      <c r="B19" s="116" t="s">
        <v>13</v>
      </c>
      <c r="C19" s="27" t="s">
        <v>24</v>
      </c>
      <c r="D19" s="29"/>
      <c r="E19" s="78">
        <f>1-(D4/E4)</f>
        <v>0.93181818181818188</v>
      </c>
      <c r="F19" s="78">
        <f t="shared" ref="F19:Q19" si="18">1-(E4/F4)</f>
        <v>-0.31343283582089554</v>
      </c>
      <c r="G19" s="78">
        <f t="shared" si="18"/>
        <v>0.55333333333333334</v>
      </c>
      <c r="H19" s="78">
        <f t="shared" si="18"/>
        <v>0.4</v>
      </c>
      <c r="I19" s="78">
        <f t="shared" si="18"/>
        <v>0.33687002652519893</v>
      </c>
      <c r="J19" s="78">
        <f t="shared" si="18"/>
        <v>-0.10233918128654973</v>
      </c>
      <c r="K19" s="78">
        <f t="shared" si="18"/>
        <v>-0.13245033112582782</v>
      </c>
      <c r="L19" s="78">
        <f t="shared" si="18"/>
        <v>0.46548672566371685</v>
      </c>
      <c r="M19" s="78">
        <f t="shared" si="18"/>
        <v>-0.2021276595744681</v>
      </c>
      <c r="N19" s="78">
        <f t="shared" si="18"/>
        <v>0.33895921237693394</v>
      </c>
      <c r="O19" s="78">
        <f t="shared" si="18"/>
        <v>-0.33171005806330789</v>
      </c>
      <c r="P19" s="78">
        <f t="shared" si="18"/>
        <v>2.9360967184801301E-2</v>
      </c>
      <c r="Q19" s="78">
        <f t="shared" si="18"/>
        <v>0.23091442953020147</v>
      </c>
      <c r="R19" s="81">
        <v>2.931596091205213E-2</v>
      </c>
      <c r="S19" s="81">
        <v>3.0015797788309651E-2</v>
      </c>
      <c r="T19" s="81">
        <v>2.4653312788906034E-2</v>
      </c>
      <c r="U19" s="81">
        <v>0.03</v>
      </c>
      <c r="V19" s="81">
        <v>0.03</v>
      </c>
      <c r="W19" s="81">
        <v>0.03</v>
      </c>
      <c r="X19" s="81">
        <v>0.04</v>
      </c>
      <c r="Y19" s="81">
        <v>0.03</v>
      </c>
      <c r="Z19" s="81">
        <v>0.03</v>
      </c>
    </row>
    <row r="20" spans="1:26" ht="17.25" customHeight="1" x14ac:dyDescent="0.3">
      <c r="A20" s="149"/>
      <c r="B20" s="116"/>
      <c r="C20" s="27">
        <v>1</v>
      </c>
      <c r="D20" s="29"/>
      <c r="E20" s="78">
        <f t="shared" ref="E20:Q20" si="19">1-(D5/E5)</f>
        <v>0.84057971014492749</v>
      </c>
      <c r="F20" s="78">
        <f t="shared" si="19"/>
        <v>0.56329113924050633</v>
      </c>
      <c r="G20" s="78">
        <f t="shared" si="19"/>
        <v>0.62019230769230771</v>
      </c>
      <c r="H20" s="78">
        <f t="shared" si="19"/>
        <v>0.32302685109845408</v>
      </c>
      <c r="I20" s="78">
        <f t="shared" si="19"/>
        <v>-0.21203155818540442</v>
      </c>
      <c r="J20" s="78">
        <f t="shared" si="19"/>
        <v>-8.6816720257234747E-2</v>
      </c>
      <c r="K20" s="78">
        <f t="shared" si="19"/>
        <v>-0.25572005383580088</v>
      </c>
      <c r="L20" s="78">
        <f t="shared" si="19"/>
        <v>1.3440860215053752E-3</v>
      </c>
      <c r="M20" s="78">
        <f t="shared" si="19"/>
        <v>-6.2857142857142945E-2</v>
      </c>
      <c r="N20" s="78">
        <f t="shared" si="19"/>
        <v>1.5471167369901506E-2</v>
      </c>
      <c r="O20" s="78">
        <f t="shared" si="19"/>
        <v>-0.2110373019928462</v>
      </c>
      <c r="P20" s="78">
        <f t="shared" si="19"/>
        <v>4.8309178743961567E-3</v>
      </c>
      <c r="Q20" s="78">
        <f t="shared" si="19"/>
        <v>0.21590909090909083</v>
      </c>
      <c r="R20" s="81">
        <v>1.5698587127158548E-2</v>
      </c>
      <c r="S20" s="81">
        <v>1.8489984591679498E-2</v>
      </c>
      <c r="T20" s="81">
        <v>2.9895366218236186E-2</v>
      </c>
      <c r="U20" s="81">
        <v>0.03</v>
      </c>
      <c r="V20" s="81">
        <v>0.03</v>
      </c>
      <c r="W20" s="81">
        <v>0.03</v>
      </c>
      <c r="X20" s="81">
        <v>0.04</v>
      </c>
      <c r="Y20" s="81">
        <v>0.03</v>
      </c>
      <c r="Z20" s="81">
        <v>0.03</v>
      </c>
    </row>
    <row r="21" spans="1:26" x14ac:dyDescent="0.3">
      <c r="A21" s="149"/>
      <c r="B21" s="116"/>
      <c r="C21" s="27">
        <v>2</v>
      </c>
      <c r="D21" s="29"/>
      <c r="E21" s="78">
        <f t="shared" ref="E21:Q21" si="20">1-(D6/E6)</f>
        <v>0.8529411764705882</v>
      </c>
      <c r="F21" s="78">
        <f t="shared" si="20"/>
        <v>0.57763975155279501</v>
      </c>
      <c r="G21" s="78">
        <f t="shared" si="20"/>
        <v>0.41454545454545455</v>
      </c>
      <c r="H21" s="78">
        <f t="shared" si="20"/>
        <v>0.63863337713534829</v>
      </c>
      <c r="I21" s="78">
        <f t="shared" si="20"/>
        <v>-2.4226110363391617E-2</v>
      </c>
      <c r="J21" s="78">
        <f t="shared" si="20"/>
        <v>0.49352419904567146</v>
      </c>
      <c r="K21" s="78">
        <f t="shared" si="20"/>
        <v>-0.24427480916030531</v>
      </c>
      <c r="L21" s="78">
        <f t="shared" si="20"/>
        <v>0.11751497005988021</v>
      </c>
      <c r="M21" s="78">
        <f t="shared" si="20"/>
        <v>-0.13412563667232602</v>
      </c>
      <c r="N21" s="78">
        <f t="shared" si="20"/>
        <v>-0.14814814814814814</v>
      </c>
      <c r="O21" s="78">
        <f t="shared" si="20"/>
        <v>0.35212957408518297</v>
      </c>
      <c r="P21" s="78">
        <f t="shared" si="20"/>
        <v>1.9988242210464358E-2</v>
      </c>
      <c r="Q21" s="78">
        <f t="shared" si="20"/>
        <v>0.22384726224783857</v>
      </c>
      <c r="R21" s="81">
        <v>1.9774011299435013E-2</v>
      </c>
      <c r="S21" s="81">
        <v>2.9072956664838223E-2</v>
      </c>
      <c r="T21" s="81">
        <v>2.8769312733084695E-2</v>
      </c>
      <c r="U21" s="81">
        <v>0.03</v>
      </c>
      <c r="V21" s="81">
        <v>0.03</v>
      </c>
      <c r="W21" s="81">
        <v>0.05</v>
      </c>
      <c r="X21" s="81">
        <v>7.0000000000000007E-2</v>
      </c>
      <c r="Y21" s="81">
        <v>0.1</v>
      </c>
      <c r="Z21" s="81">
        <v>0.12</v>
      </c>
    </row>
    <row r="22" spans="1:26" x14ac:dyDescent="0.3">
      <c r="A22" s="149"/>
      <c r="B22" s="116"/>
      <c r="C22" s="27">
        <v>3</v>
      </c>
      <c r="D22" s="29"/>
      <c r="E22" s="78">
        <f t="shared" ref="E22:Q22" si="21">1-(D7/E7)</f>
        <v>1</v>
      </c>
      <c r="F22" s="78">
        <f t="shared" si="21"/>
        <v>0.5</v>
      </c>
      <c r="G22" s="78">
        <f t="shared" si="21"/>
        <v>0.66666666666666674</v>
      </c>
      <c r="H22" s="78">
        <f t="shared" si="21"/>
        <v>0.89655172413793105</v>
      </c>
      <c r="I22" s="78">
        <f t="shared" si="21"/>
        <v>-0.12077294685990347</v>
      </c>
      <c r="J22" s="78">
        <f t="shared" si="21"/>
        <v>0.42178770949720668</v>
      </c>
      <c r="K22" s="78">
        <f t="shared" si="21"/>
        <v>-2.4095238095238094</v>
      </c>
      <c r="L22" s="78">
        <f t="shared" si="21"/>
        <v>-0.22093023255813948</v>
      </c>
      <c r="M22" s="78">
        <f t="shared" si="21"/>
        <v>8.5106382978723416E-2</v>
      </c>
      <c r="N22" s="78">
        <f t="shared" si="21"/>
        <v>-9.3023255813953432E-2</v>
      </c>
      <c r="O22" s="78">
        <f t="shared" si="21"/>
        <v>2.6598754951895787E-2</v>
      </c>
      <c r="P22" s="78">
        <f t="shared" si="21"/>
        <v>3.1250000000000111E-2</v>
      </c>
      <c r="Q22" s="78">
        <f t="shared" si="21"/>
        <v>0.23232323232323226</v>
      </c>
      <c r="R22" s="81">
        <v>2.9411764705882359E-2</v>
      </c>
      <c r="S22" s="81">
        <v>2.8571428571428581E-2</v>
      </c>
      <c r="T22" s="81">
        <v>2.777777777777779E-2</v>
      </c>
      <c r="U22" s="81">
        <v>0.03</v>
      </c>
      <c r="V22" s="81">
        <v>0.03</v>
      </c>
      <c r="W22" s="81">
        <v>7.0000000000000007E-2</v>
      </c>
      <c r="X22" s="81">
        <v>0.1</v>
      </c>
      <c r="Y22" s="81">
        <v>0.06</v>
      </c>
      <c r="Z22" s="81">
        <v>0.05</v>
      </c>
    </row>
    <row r="23" spans="1:26" x14ac:dyDescent="0.3">
      <c r="A23" s="149"/>
      <c r="B23" s="117" t="s">
        <v>14</v>
      </c>
      <c r="C23" s="30" t="s">
        <v>24</v>
      </c>
      <c r="D23" s="29"/>
      <c r="E23" s="78">
        <f t="shared" ref="E23:Q23" si="22">1-(D8/E8)</f>
        <v>0.85256410256410253</v>
      </c>
      <c r="F23" s="78">
        <f t="shared" si="22"/>
        <v>0.2710280373831776</v>
      </c>
      <c r="G23" s="78">
        <f t="shared" si="22"/>
        <v>0.24046140195208521</v>
      </c>
      <c r="H23" s="78">
        <f t="shared" si="22"/>
        <v>0.30603448275862066</v>
      </c>
      <c r="I23" s="78">
        <f t="shared" si="22"/>
        <v>0.31721673323523225</v>
      </c>
      <c r="J23" s="78">
        <f t="shared" si="22"/>
        <v>-0.28463408047529026</v>
      </c>
      <c r="K23" s="78">
        <f t="shared" si="22"/>
        <v>0.27177974434611607</v>
      </c>
      <c r="L23" s="78">
        <f t="shared" si="22"/>
        <v>-0.10279765777488614</v>
      </c>
      <c r="M23" s="78">
        <f t="shared" si="22"/>
        <v>8.2570632709908498E-2</v>
      </c>
      <c r="N23" s="78">
        <f t="shared" si="22"/>
        <v>-0.10680466857520377</v>
      </c>
      <c r="O23" s="78">
        <f t="shared" si="22"/>
        <v>7.7576225395600051E-2</v>
      </c>
      <c r="P23" s="78">
        <f t="shared" si="22"/>
        <v>2.9224428624953336E-2</v>
      </c>
      <c r="Q23" s="78">
        <f t="shared" si="22"/>
        <v>0.23137201406572083</v>
      </c>
      <c r="R23" s="81">
        <v>2.9136500088292383E-2</v>
      </c>
      <c r="S23" s="81">
        <v>2.9144522544145346E-2</v>
      </c>
      <c r="T23" s="81">
        <v>2.5885103540414178E-2</v>
      </c>
      <c r="U23" s="81">
        <v>0.03</v>
      </c>
      <c r="V23" s="81">
        <v>0.03</v>
      </c>
      <c r="W23" s="81">
        <v>0.03</v>
      </c>
      <c r="X23" s="81">
        <v>0.06</v>
      </c>
      <c r="Y23" s="81">
        <v>0.05</v>
      </c>
      <c r="Z23" s="81">
        <v>0.03</v>
      </c>
    </row>
    <row r="24" spans="1:26" x14ac:dyDescent="0.3">
      <c r="A24" s="149"/>
      <c r="B24" s="117"/>
      <c r="C24" s="30">
        <v>1</v>
      </c>
      <c r="D24" s="29"/>
      <c r="E24" s="78">
        <f t="shared" ref="E24:Q24" si="23">1-(D9/E9)</f>
        <v>0.80888888888888888</v>
      </c>
      <c r="F24" s="78">
        <f t="shared" si="23"/>
        <v>0.28797468354430378</v>
      </c>
      <c r="G24" s="78">
        <f t="shared" si="23"/>
        <v>0.54368231046931403</v>
      </c>
      <c r="H24" s="78">
        <f t="shared" si="23"/>
        <v>0.20050028862805469</v>
      </c>
      <c r="I24" s="78">
        <f t="shared" si="23"/>
        <v>0.13714095965465711</v>
      </c>
      <c r="J24" s="78">
        <f t="shared" si="23"/>
        <v>-0.17201790231562564</v>
      </c>
      <c r="K24" s="78">
        <f t="shared" si="23"/>
        <v>0.27384484951250532</v>
      </c>
      <c r="L24" s="78">
        <f t="shared" si="23"/>
        <v>-1.4332807797047487E-2</v>
      </c>
      <c r="M24" s="78">
        <f t="shared" si="23"/>
        <v>0.13522558254833916</v>
      </c>
      <c r="N24" s="78">
        <f t="shared" si="23"/>
        <v>-4.7656148552136068E-2</v>
      </c>
      <c r="O24" s="78">
        <f t="shared" si="23"/>
        <v>2.2275263602257289E-2</v>
      </c>
      <c r="P24" s="78">
        <f t="shared" si="23"/>
        <v>2.9156908665105452E-2</v>
      </c>
      <c r="Q24" s="78">
        <f t="shared" si="23"/>
        <v>0.23137410944368653</v>
      </c>
      <c r="R24" s="81">
        <v>2.9139072847682135E-2</v>
      </c>
      <c r="S24" s="81">
        <v>2.9147021003000484E-2</v>
      </c>
      <c r="T24" s="81">
        <v>2.5887265135699389E-2</v>
      </c>
      <c r="U24" s="81">
        <v>0.03</v>
      </c>
      <c r="V24" s="81">
        <v>0.03</v>
      </c>
      <c r="W24" s="81">
        <v>0.03</v>
      </c>
      <c r="X24" s="81">
        <v>0.06</v>
      </c>
      <c r="Y24" s="81">
        <v>0.05</v>
      </c>
      <c r="Z24" s="81">
        <v>0.03</v>
      </c>
    </row>
    <row r="25" spans="1:26" x14ac:dyDescent="0.3">
      <c r="A25" s="149"/>
      <c r="B25" s="117"/>
      <c r="C25" s="30">
        <v>2</v>
      </c>
      <c r="D25" s="29"/>
      <c r="E25" s="78">
        <f t="shared" ref="E25:Q25" si="24">1-(D10/E10)</f>
        <v>0.76086956521739135</v>
      </c>
      <c r="F25" s="78">
        <f t="shared" si="24"/>
        <v>0.33429811866859627</v>
      </c>
      <c r="G25" s="78">
        <f t="shared" si="24"/>
        <v>0.38957597173144876</v>
      </c>
      <c r="H25" s="78">
        <f t="shared" si="24"/>
        <v>0.5137457044673539</v>
      </c>
      <c r="I25" s="78">
        <f t="shared" si="24"/>
        <v>0.19668737060041408</v>
      </c>
      <c r="J25" s="78">
        <f t="shared" si="24"/>
        <v>0.22159548751007252</v>
      </c>
      <c r="K25" s="78">
        <f t="shared" si="24"/>
        <v>0.5720197723876308</v>
      </c>
      <c r="L25" s="78">
        <f t="shared" si="24"/>
        <v>0.25795444852000338</v>
      </c>
      <c r="M25" s="78">
        <f t="shared" si="24"/>
        <v>-3.1681774179354028E-2</v>
      </c>
      <c r="N25" s="78">
        <f t="shared" si="24"/>
        <v>-0.74654165385797722</v>
      </c>
      <c r="O25" s="78">
        <f t="shared" si="24"/>
        <v>0.22123936176579717</v>
      </c>
      <c r="P25" s="78">
        <f t="shared" si="24"/>
        <v>2.9145506734378546E-2</v>
      </c>
      <c r="Q25" s="78">
        <f t="shared" si="24"/>
        <v>0.23141300464451586</v>
      </c>
      <c r="R25" s="81">
        <v>2.9136316337148749E-2</v>
      </c>
      <c r="S25" s="81">
        <v>2.9096787229743404E-2</v>
      </c>
      <c r="T25" s="81">
        <v>2.5979137964967536E-2</v>
      </c>
      <c r="U25" s="81">
        <v>0.03</v>
      </c>
      <c r="V25" s="81">
        <v>0.03</v>
      </c>
      <c r="W25" s="81">
        <v>0.03</v>
      </c>
      <c r="X25" s="81">
        <v>0.03</v>
      </c>
      <c r="Y25" s="81">
        <v>0.03</v>
      </c>
      <c r="Z25" s="81">
        <v>0.03</v>
      </c>
    </row>
    <row r="26" spans="1:26" x14ac:dyDescent="0.3">
      <c r="A26" s="149"/>
      <c r="B26" s="117"/>
      <c r="C26" s="30" t="s">
        <v>25</v>
      </c>
      <c r="D26" s="29"/>
      <c r="E26" s="78"/>
      <c r="F26" s="78"/>
      <c r="G26" s="78"/>
      <c r="H26" s="78"/>
      <c r="I26" s="78"/>
      <c r="J26" s="78"/>
      <c r="K26" s="78"/>
      <c r="L26" s="78">
        <f t="shared" ref="L26:P26" si="25">1-(K11/L11)</f>
        <v>0.9325</v>
      </c>
      <c r="M26" s="78">
        <f t="shared" si="25"/>
        <v>-0.19402985074626855</v>
      </c>
      <c r="N26" s="78">
        <f t="shared" si="25"/>
        <v>0.2488789237668162</v>
      </c>
      <c r="O26" s="78">
        <f t="shared" si="25"/>
        <v>4.3841783685282465E-2</v>
      </c>
      <c r="P26" s="78">
        <f t="shared" si="25"/>
        <v>9.0740740740740788E-2</v>
      </c>
      <c r="Q26" s="78">
        <v>0.03</v>
      </c>
      <c r="R26" s="81">
        <v>0.02</v>
      </c>
      <c r="S26" s="81">
        <v>0.02</v>
      </c>
      <c r="T26" s="81">
        <v>0.02</v>
      </c>
      <c r="U26" s="81">
        <v>0.02</v>
      </c>
      <c r="V26" s="81">
        <v>0.02</v>
      </c>
      <c r="W26" s="81">
        <v>0.02</v>
      </c>
      <c r="X26" s="81">
        <v>0.02</v>
      </c>
      <c r="Y26" s="81">
        <v>0.02</v>
      </c>
      <c r="Z26" s="81">
        <v>0.02</v>
      </c>
    </row>
    <row r="27" spans="1:26" x14ac:dyDescent="0.3">
      <c r="A27" s="149"/>
      <c r="B27" s="115"/>
      <c r="C27" s="32" t="s">
        <v>26</v>
      </c>
      <c r="D27" s="29"/>
      <c r="E27" s="78"/>
      <c r="F27" s="78"/>
      <c r="G27" s="78"/>
      <c r="H27" s="78"/>
      <c r="I27" s="78"/>
      <c r="J27" s="78"/>
      <c r="K27" s="78"/>
      <c r="L27" s="78">
        <f t="shared" ref="L27:Q27" si="26">1-(K12/L12)</f>
        <v>0.57664233576642343</v>
      </c>
      <c r="M27" s="78">
        <f t="shared" si="26"/>
        <v>-5.3846153846153877E-2</v>
      </c>
      <c r="N27" s="78">
        <f t="shared" si="26"/>
        <v>0.17981072555205047</v>
      </c>
      <c r="O27" s="78">
        <f t="shared" si="26"/>
        <v>4.3884783592218368E-2</v>
      </c>
      <c r="P27" s="78">
        <f t="shared" si="26"/>
        <v>9.114583333333337E-2</v>
      </c>
      <c r="Q27" s="78">
        <f t="shared" si="26"/>
        <v>0.27962085308056872</v>
      </c>
      <c r="R27" s="81">
        <v>0.02</v>
      </c>
      <c r="S27" s="81">
        <v>0.02</v>
      </c>
      <c r="T27" s="81">
        <v>0.02</v>
      </c>
      <c r="U27" s="81">
        <v>0.02</v>
      </c>
      <c r="V27" s="81">
        <v>0.02</v>
      </c>
      <c r="W27" s="81">
        <v>0.02</v>
      </c>
      <c r="X27" s="81">
        <v>0.02</v>
      </c>
      <c r="Y27" s="81">
        <v>0.02</v>
      </c>
      <c r="Z27" s="81">
        <v>0.02</v>
      </c>
    </row>
    <row r="28" spans="1:26" x14ac:dyDescent="0.3">
      <c r="A28" s="149"/>
      <c r="B28" s="115"/>
      <c r="C28" s="32" t="s">
        <v>27</v>
      </c>
      <c r="D28" s="29"/>
      <c r="E28" s="78"/>
      <c r="F28" s="78"/>
      <c r="G28" s="78"/>
      <c r="H28" s="78"/>
      <c r="I28" s="78"/>
      <c r="J28" s="78"/>
      <c r="K28" s="78"/>
      <c r="L28" s="78">
        <f t="shared" ref="L28:Q28" si="27">1-(K13/L13)</f>
        <v>0.75471698113207553</v>
      </c>
      <c r="M28" s="78">
        <f t="shared" si="27"/>
        <v>-0.23255813953488369</v>
      </c>
      <c r="N28" s="78">
        <f t="shared" si="27"/>
        <v>0.28333333333333333</v>
      </c>
      <c r="O28" s="78">
        <f t="shared" si="27"/>
        <v>4.3062200956937802E-2</v>
      </c>
      <c r="P28" s="78">
        <f t="shared" si="27"/>
        <v>8.9655172413793061E-2</v>
      </c>
      <c r="Q28" s="78">
        <f t="shared" si="27"/>
        <v>0.28255208333333337</v>
      </c>
      <c r="R28" s="81">
        <v>0.02</v>
      </c>
      <c r="S28" s="81">
        <v>0.02</v>
      </c>
      <c r="T28" s="81">
        <v>0.02</v>
      </c>
      <c r="U28" s="81">
        <v>0.02</v>
      </c>
      <c r="V28" s="81">
        <v>0.02</v>
      </c>
      <c r="W28" s="81">
        <v>0.02</v>
      </c>
      <c r="X28" s="81">
        <v>0.02</v>
      </c>
      <c r="Y28" s="81">
        <v>0.02</v>
      </c>
      <c r="Z28" s="81">
        <v>0.02</v>
      </c>
    </row>
    <row r="29" spans="1:26" x14ac:dyDescent="0.3">
      <c r="A29" s="27"/>
      <c r="B29" s="148" t="s">
        <v>15</v>
      </c>
      <c r="C29" s="148"/>
      <c r="D29" s="28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1" spans="1:26" x14ac:dyDescent="0.3">
      <c r="V31" s="1">
        <v>1</v>
      </c>
      <c r="W31" s="38">
        <v>-3.5452611675725887E-3</v>
      </c>
      <c r="X31" s="38">
        <v>-7.8608861362554627E-3</v>
      </c>
      <c r="Y31" s="38">
        <v>1.9387993459472064E-2</v>
      </c>
      <c r="Z31" s="38">
        <v>3.1338386695327514E-2</v>
      </c>
    </row>
    <row r="32" spans="1:26" x14ac:dyDescent="0.3">
      <c r="V32" s="1">
        <v>2</v>
      </c>
      <c r="W32" s="38">
        <v>-2.371876323591704E-2</v>
      </c>
      <c r="X32" s="38">
        <v>-3.7255074246551168E-2</v>
      </c>
      <c r="Y32" s="38">
        <v>-7.3173031588873227E-2</v>
      </c>
      <c r="Z32" s="38">
        <v>-8.5576824649401084E-2</v>
      </c>
    </row>
    <row r="33" spans="22:26" x14ac:dyDescent="0.3">
      <c r="V33" s="1">
        <v>3</v>
      </c>
      <c r="W33" s="38">
        <v>4.2343541944074525E-2</v>
      </c>
      <c r="X33" s="38">
        <v>-7.3470554602629967E-2</v>
      </c>
      <c r="Y33" s="38">
        <v>2.8333333333333321E-2</v>
      </c>
      <c r="Z33" s="38">
        <v>-2.1856372409877922E-2</v>
      </c>
    </row>
    <row r="34" spans="22:26" x14ac:dyDescent="0.3">
      <c r="V34" s="3">
        <v>1</v>
      </c>
      <c r="W34" s="38">
        <v>-1.6157699143641846E-3</v>
      </c>
      <c r="X34" s="38">
        <v>-3.4344447229882169E-2</v>
      </c>
      <c r="Y34" s="38">
        <v>-2.1598087758238016E-2</v>
      </c>
      <c r="Z34" s="38">
        <v>2.21220469154354E-2</v>
      </c>
    </row>
    <row r="35" spans="22:26" x14ac:dyDescent="0.3">
      <c r="V35" s="3">
        <v>2</v>
      </c>
      <c r="W35" s="38">
        <v>8.5832675611681175E-3</v>
      </c>
      <c r="X35" s="38">
        <v>4.897729405141682E-2</v>
      </c>
      <c r="Y35" s="38">
        <v>7.7273996834559266E-3</v>
      </c>
      <c r="Z35" s="38">
        <v>5.4073095552619965E-2</v>
      </c>
    </row>
    <row r="36" spans="22:26" x14ac:dyDescent="0.3">
      <c r="V36" s="3">
        <v>3</v>
      </c>
      <c r="W36" s="38">
        <v>8.259587020648973E-2</v>
      </c>
      <c r="X36" s="38">
        <v>-0.12797542871768619</v>
      </c>
      <c r="Y36" s="38">
        <v>8.1238893120081368E-3</v>
      </c>
      <c r="Z36" s="38">
        <v>-1.8882565959648323E-2</v>
      </c>
    </row>
  </sheetData>
  <mergeCells count="12">
    <mergeCell ref="B29:C29"/>
    <mergeCell ref="A3:C3"/>
    <mergeCell ref="A4:A13"/>
    <mergeCell ref="B4:B7"/>
    <mergeCell ref="B8:B11"/>
    <mergeCell ref="B12:B13"/>
    <mergeCell ref="B14:C14"/>
    <mergeCell ref="A18:C18"/>
    <mergeCell ref="A19:A28"/>
    <mergeCell ref="B19:B22"/>
    <mergeCell ref="B23:B26"/>
    <mergeCell ref="B27:B28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FB06-6FCC-4B2B-9BFB-6E272477ED0F}">
  <dimension ref="A1:J48"/>
  <sheetViews>
    <sheetView workbookViewId="0">
      <selection activeCell="F15" sqref="F15"/>
    </sheetView>
  </sheetViews>
  <sheetFormatPr defaultRowHeight="16.5" x14ac:dyDescent="0.3"/>
  <cols>
    <col min="1" max="1" width="4.75" bestFit="1" customWidth="1"/>
    <col min="2" max="2" width="6.75" bestFit="1" customWidth="1"/>
    <col min="3" max="3" width="32.5" bestFit="1" customWidth="1"/>
    <col min="4" max="4" width="11.875" bestFit="1" customWidth="1"/>
    <col min="5" max="5" width="8" bestFit="1" customWidth="1"/>
    <col min="6" max="6" width="7.75" bestFit="1" customWidth="1"/>
    <col min="7" max="7" width="11.125" bestFit="1" customWidth="1"/>
    <col min="8" max="8" width="10.125" bestFit="1" customWidth="1"/>
  </cols>
  <sheetData>
    <row r="1" spans="1:8" ht="17.25" thickBot="1" x14ac:dyDescent="0.35">
      <c r="A1" s="52" t="s">
        <v>34</v>
      </c>
      <c r="B1" s="52" t="s">
        <v>35</v>
      </c>
      <c r="C1" s="52"/>
      <c r="D1" s="52" t="s">
        <v>36</v>
      </c>
      <c r="E1" s="52" t="s">
        <v>37</v>
      </c>
      <c r="F1" s="52" t="s">
        <v>38</v>
      </c>
      <c r="G1" s="52" t="s">
        <v>36</v>
      </c>
      <c r="H1" s="52" t="s">
        <v>37</v>
      </c>
    </row>
    <row r="2" spans="1:8" ht="18" thickTop="1" thickBot="1" x14ac:dyDescent="0.35">
      <c r="A2" s="53" t="s">
        <v>39</v>
      </c>
      <c r="B2" s="46">
        <v>676366</v>
      </c>
      <c r="C2" s="46" t="s">
        <v>40</v>
      </c>
      <c r="D2" s="47">
        <v>63.18</v>
      </c>
      <c r="E2" s="54">
        <v>15.8</v>
      </c>
      <c r="F2" s="55">
        <v>1456.78</v>
      </c>
      <c r="G2" s="56">
        <v>92039.360000000001</v>
      </c>
      <c r="H2" s="57">
        <v>23009.84</v>
      </c>
    </row>
    <row r="3" spans="1:8" ht="17.25" thickBot="1" x14ac:dyDescent="0.35">
      <c r="A3" s="53" t="s">
        <v>39</v>
      </c>
      <c r="B3" s="46">
        <v>676367</v>
      </c>
      <c r="C3" s="46" t="s">
        <v>41</v>
      </c>
      <c r="D3" s="47">
        <v>63.18</v>
      </c>
      <c r="E3" s="54">
        <v>15.8</v>
      </c>
      <c r="F3" s="55">
        <v>1456.78</v>
      </c>
      <c r="G3" s="56">
        <v>92039.360000000001</v>
      </c>
      <c r="H3" s="57">
        <v>23009.84</v>
      </c>
    </row>
    <row r="4" spans="1:8" ht="17.25" thickBot="1" x14ac:dyDescent="0.35">
      <c r="A4" s="53" t="s">
        <v>39</v>
      </c>
      <c r="B4" s="46">
        <v>676369</v>
      </c>
      <c r="C4" s="46" t="s">
        <v>42</v>
      </c>
      <c r="D4" s="47">
        <v>63.18</v>
      </c>
      <c r="E4" s="54">
        <v>15.8</v>
      </c>
      <c r="F4" s="55">
        <v>1456.78</v>
      </c>
      <c r="G4" s="56">
        <v>92039.360000000001</v>
      </c>
      <c r="H4" s="57">
        <v>23009.84</v>
      </c>
    </row>
    <row r="5" spans="1:8" ht="17.25" thickBot="1" x14ac:dyDescent="0.35">
      <c r="A5" s="53" t="s">
        <v>39</v>
      </c>
      <c r="B5" s="46">
        <v>677211</v>
      </c>
      <c r="C5" s="46" t="s">
        <v>43</v>
      </c>
      <c r="D5" s="47">
        <v>85.32</v>
      </c>
      <c r="E5" s="54">
        <v>21.33</v>
      </c>
      <c r="F5" s="55">
        <v>1456.78</v>
      </c>
      <c r="G5" s="56">
        <v>124292.47</v>
      </c>
      <c r="H5" s="57">
        <v>31073.119999999999</v>
      </c>
    </row>
    <row r="6" spans="1:8" ht="17.25" thickBot="1" x14ac:dyDescent="0.35">
      <c r="A6" s="53" t="s">
        <v>39</v>
      </c>
      <c r="B6" s="46">
        <v>677200</v>
      </c>
      <c r="C6" s="46" t="s">
        <v>44</v>
      </c>
      <c r="D6" s="47">
        <v>85.32</v>
      </c>
      <c r="E6" s="54">
        <v>21.33</v>
      </c>
      <c r="F6" s="55">
        <v>1456.78</v>
      </c>
      <c r="G6" s="56">
        <v>124292.47</v>
      </c>
      <c r="H6" s="57">
        <v>31073.119999999999</v>
      </c>
    </row>
    <row r="7" spans="1:8" ht="17.25" thickBot="1" x14ac:dyDescent="0.35">
      <c r="A7" s="58" t="s">
        <v>39</v>
      </c>
      <c r="B7" s="48">
        <v>677281</v>
      </c>
      <c r="C7" s="48" t="s">
        <v>45</v>
      </c>
      <c r="D7" s="49">
        <v>85.32</v>
      </c>
      <c r="E7" s="59">
        <v>21.33</v>
      </c>
      <c r="F7" s="60">
        <v>1456.78</v>
      </c>
      <c r="G7" s="61">
        <v>124292.47</v>
      </c>
      <c r="H7" s="62">
        <v>31073.119999999999</v>
      </c>
    </row>
    <row r="8" spans="1:8" ht="18" thickTop="1" thickBot="1" x14ac:dyDescent="0.35">
      <c r="A8" s="53" t="s">
        <v>46</v>
      </c>
      <c r="B8" s="46">
        <v>673676</v>
      </c>
      <c r="C8" s="46" t="s">
        <v>47</v>
      </c>
      <c r="D8" s="47">
        <v>85.8</v>
      </c>
      <c r="E8" s="54">
        <v>14.3</v>
      </c>
      <c r="F8" s="55">
        <v>1456.78</v>
      </c>
      <c r="G8" s="56">
        <v>124991.72</v>
      </c>
      <c r="H8" s="57">
        <v>31247.93</v>
      </c>
    </row>
    <row r="9" spans="1:8" ht="17.25" thickBot="1" x14ac:dyDescent="0.35">
      <c r="A9" s="53" t="s">
        <v>46</v>
      </c>
      <c r="B9" s="46">
        <v>673674</v>
      </c>
      <c r="C9" s="46" t="s">
        <v>48</v>
      </c>
      <c r="D9" s="47">
        <v>85.8</v>
      </c>
      <c r="E9" s="54">
        <v>14.3</v>
      </c>
      <c r="F9" s="55">
        <v>1456.78</v>
      </c>
      <c r="G9" s="56">
        <v>124991.72</v>
      </c>
      <c r="H9" s="57">
        <v>31247.93</v>
      </c>
    </row>
    <row r="10" spans="1:8" ht="17.25" thickBot="1" x14ac:dyDescent="0.35">
      <c r="A10" s="53" t="s">
        <v>46</v>
      </c>
      <c r="B10" s="46">
        <v>673672</v>
      </c>
      <c r="C10" s="46" t="s">
        <v>49</v>
      </c>
      <c r="D10" s="47">
        <v>85.8</v>
      </c>
      <c r="E10" s="54">
        <v>14.3</v>
      </c>
      <c r="F10" s="55">
        <v>1456.78</v>
      </c>
      <c r="G10" s="56">
        <v>124991.72</v>
      </c>
      <c r="H10" s="57">
        <v>31247.93</v>
      </c>
    </row>
    <row r="11" spans="1:8" ht="17.25" thickBot="1" x14ac:dyDescent="0.35">
      <c r="A11" s="53" t="s">
        <v>46</v>
      </c>
      <c r="B11" s="46">
        <v>673641</v>
      </c>
      <c r="C11" s="46" t="s">
        <v>50</v>
      </c>
      <c r="D11" s="47">
        <v>85.8</v>
      </c>
      <c r="E11" s="54">
        <v>14.3</v>
      </c>
      <c r="F11" s="55">
        <v>1456.78</v>
      </c>
      <c r="G11" s="56">
        <v>124991.72</v>
      </c>
      <c r="H11" s="57">
        <v>31247.93</v>
      </c>
    </row>
    <row r="12" spans="1:8" ht="17.25" thickBot="1" x14ac:dyDescent="0.35">
      <c r="A12" s="53" t="s">
        <v>46</v>
      </c>
      <c r="B12" s="46">
        <v>677044</v>
      </c>
      <c r="C12" s="46" t="s">
        <v>51</v>
      </c>
      <c r="D12" s="47">
        <v>77.2</v>
      </c>
      <c r="E12" s="54">
        <v>19.3</v>
      </c>
      <c r="F12" s="55">
        <v>1456.78</v>
      </c>
      <c r="G12" s="56">
        <v>112463.42</v>
      </c>
      <c r="H12" s="57">
        <v>28115.85</v>
      </c>
    </row>
    <row r="13" spans="1:8" ht="17.25" thickBot="1" x14ac:dyDescent="0.35">
      <c r="A13" s="53" t="s">
        <v>46</v>
      </c>
      <c r="B13" s="46">
        <v>677045</v>
      </c>
      <c r="C13" s="46" t="s">
        <v>52</v>
      </c>
      <c r="D13" s="47">
        <v>77.2</v>
      </c>
      <c r="E13" s="54">
        <v>19.3</v>
      </c>
      <c r="F13" s="55">
        <v>1456.78</v>
      </c>
      <c r="G13" s="56">
        <v>112463.42</v>
      </c>
      <c r="H13" s="57">
        <v>28115.85</v>
      </c>
    </row>
    <row r="14" spans="1:8" ht="17.25" thickBot="1" x14ac:dyDescent="0.35">
      <c r="A14" s="58" t="s">
        <v>46</v>
      </c>
      <c r="B14" s="48">
        <v>677047</v>
      </c>
      <c r="C14" s="48" t="s">
        <v>53</v>
      </c>
      <c r="D14" s="49">
        <v>77.2</v>
      </c>
      <c r="E14" s="59">
        <v>19.3</v>
      </c>
      <c r="F14" s="60">
        <v>1456.78</v>
      </c>
      <c r="G14" s="61">
        <v>112463.42</v>
      </c>
      <c r="H14" s="62">
        <v>28115.85</v>
      </c>
    </row>
    <row r="15" spans="1:8" ht="18" thickTop="1" thickBot="1" x14ac:dyDescent="0.35">
      <c r="A15" s="58"/>
      <c r="B15" s="48">
        <v>698408</v>
      </c>
      <c r="C15" s="51" t="s">
        <v>56</v>
      </c>
      <c r="D15" s="59">
        <v>84.8</v>
      </c>
      <c r="E15" s="59">
        <v>3.53</v>
      </c>
      <c r="F15" s="60">
        <v>1456.78</v>
      </c>
      <c r="G15" s="61">
        <v>123534.94</v>
      </c>
      <c r="H15" s="62">
        <v>30883.74</v>
      </c>
    </row>
    <row r="16" spans="1:8" ht="18" thickTop="1" thickBot="1" x14ac:dyDescent="0.35">
      <c r="A16" s="53"/>
      <c r="B16" s="46">
        <v>653156</v>
      </c>
      <c r="C16" s="50" t="s">
        <v>54</v>
      </c>
      <c r="D16" s="54">
        <v>197.57</v>
      </c>
      <c r="E16" s="54">
        <v>8.23</v>
      </c>
      <c r="F16" s="55">
        <v>1456.78</v>
      </c>
      <c r="G16" s="56">
        <v>287816.02</v>
      </c>
      <c r="H16" s="62">
        <v>11992.33</v>
      </c>
    </row>
    <row r="17" spans="1:10" ht="17.25" thickBot="1" x14ac:dyDescent="0.35">
      <c r="A17" s="53"/>
      <c r="B17" s="46">
        <v>653299</v>
      </c>
      <c r="C17" s="50" t="s">
        <v>55</v>
      </c>
      <c r="D17" s="54">
        <v>197.57</v>
      </c>
      <c r="E17" s="54">
        <v>8.23</v>
      </c>
      <c r="F17" s="55">
        <v>1456.78</v>
      </c>
      <c r="G17" s="56">
        <v>287816.02</v>
      </c>
      <c r="H17" s="57">
        <v>11992.33</v>
      </c>
    </row>
    <row r="21" spans="1:10" x14ac:dyDescent="0.3">
      <c r="A21" t="s">
        <v>60</v>
      </c>
      <c r="J21" t="s">
        <v>6</v>
      </c>
    </row>
    <row r="22" spans="1:10" x14ac:dyDescent="0.3">
      <c r="A22" s="106" t="s">
        <v>17</v>
      </c>
      <c r="B22" s="106"/>
      <c r="C22" s="106"/>
      <c r="D22" s="14" t="s">
        <v>6</v>
      </c>
      <c r="E22" s="14" t="s">
        <v>18</v>
      </c>
      <c r="F22" s="14" t="s">
        <v>8</v>
      </c>
      <c r="G22" s="14" t="s">
        <v>9</v>
      </c>
      <c r="H22" s="14" t="s">
        <v>10</v>
      </c>
      <c r="I22" s="14" t="s">
        <v>11</v>
      </c>
      <c r="J22" s="15" t="s">
        <v>12</v>
      </c>
    </row>
    <row r="23" spans="1:10" x14ac:dyDescent="0.3">
      <c r="A23" s="100"/>
      <c r="B23" s="97" t="s">
        <v>13</v>
      </c>
      <c r="C23" s="1">
        <v>1</v>
      </c>
      <c r="D23" s="16">
        <f>아이베!E24*$E2</f>
        <v>0</v>
      </c>
      <c r="E23" s="16">
        <f>아이베!F24*$E2</f>
        <v>252800</v>
      </c>
      <c r="F23" s="16">
        <f>아이베!G24*$E2</f>
        <v>126400</v>
      </c>
      <c r="G23" s="16">
        <f>아이베!H24*$E2</f>
        <v>158000</v>
      </c>
      <c r="H23" s="16">
        <f>아이베!I24*$E2</f>
        <v>126400</v>
      </c>
      <c r="I23" s="16">
        <f>아이베!J24*$E2</f>
        <v>142200</v>
      </c>
      <c r="J23" s="16">
        <f>아이베!K24*$E2</f>
        <v>126400</v>
      </c>
    </row>
    <row r="24" spans="1:10" x14ac:dyDescent="0.3">
      <c r="A24" s="100"/>
      <c r="B24" s="97"/>
      <c r="C24" s="1">
        <v>2</v>
      </c>
      <c r="D24" s="16">
        <f>아이베!E25*$E3</f>
        <v>0</v>
      </c>
      <c r="E24" s="16">
        <f>아이베!F25*$E3</f>
        <v>221200</v>
      </c>
      <c r="F24" s="16">
        <f>아이베!G25*$E3</f>
        <v>126400</v>
      </c>
      <c r="G24" s="16">
        <f>아이베!H25*$E3</f>
        <v>142200</v>
      </c>
      <c r="H24" s="16">
        <f>아이베!I25*$E3</f>
        <v>142200</v>
      </c>
      <c r="I24" s="16">
        <f>아이베!J25*$E3</f>
        <v>94800</v>
      </c>
      <c r="J24" s="16">
        <f>아이베!K25*$E3</f>
        <v>79000</v>
      </c>
    </row>
    <row r="25" spans="1:10" x14ac:dyDescent="0.3">
      <c r="A25" s="100"/>
      <c r="B25" s="97"/>
      <c r="C25" s="1">
        <v>3</v>
      </c>
      <c r="D25" s="16">
        <f>아이베!E26*$E4</f>
        <v>0</v>
      </c>
      <c r="E25" s="16">
        <f>아이베!F26*$E4</f>
        <v>0</v>
      </c>
      <c r="F25" s="16">
        <f>아이베!G26*$E4</f>
        <v>55300</v>
      </c>
      <c r="G25" s="16">
        <f>아이베!H26*$E4</f>
        <v>55300</v>
      </c>
      <c r="H25" s="16">
        <f>아이베!I26*$E4</f>
        <v>47400</v>
      </c>
      <c r="I25" s="16">
        <f>아이베!J26*$E4</f>
        <v>79000</v>
      </c>
      <c r="J25" s="16">
        <f>아이베!K26*$E4</f>
        <v>31600</v>
      </c>
    </row>
    <row r="26" spans="1:10" x14ac:dyDescent="0.3">
      <c r="A26" s="100"/>
      <c r="B26" s="98" t="s">
        <v>14</v>
      </c>
      <c r="C26" s="3">
        <v>1</v>
      </c>
      <c r="D26" s="16">
        <f>아이베!E27*$E5</f>
        <v>81907.199999999997</v>
      </c>
      <c r="E26" s="16">
        <f>아이베!F27*$E5</f>
        <v>554580</v>
      </c>
      <c r="F26" s="16">
        <f>아이베!G27*$E5</f>
        <v>319950</v>
      </c>
      <c r="G26" s="16">
        <f>아이베!H27*$E5</f>
        <v>255959.99999999997</v>
      </c>
      <c r="H26" s="16">
        <f>아이베!I27*$E5</f>
        <v>319950</v>
      </c>
      <c r="I26" s="16">
        <f>아이베!J27*$E5</f>
        <v>255959.99999999997</v>
      </c>
      <c r="J26" s="16">
        <f>아이베!K27*$E5</f>
        <v>319950</v>
      </c>
    </row>
    <row r="27" spans="1:10" x14ac:dyDescent="0.3">
      <c r="A27" s="100"/>
      <c r="B27" s="98"/>
      <c r="C27" s="3">
        <v>2</v>
      </c>
      <c r="D27" s="16">
        <f>아이베!E28*$E6</f>
        <v>114670.07999999999</v>
      </c>
      <c r="E27" s="16">
        <f>아이베!F28*$E6</f>
        <v>575910</v>
      </c>
      <c r="F27" s="16">
        <f>아이베!G28*$E6</f>
        <v>341280</v>
      </c>
      <c r="G27" s="16">
        <f>아이베!H28*$E6</f>
        <v>341280</v>
      </c>
      <c r="H27" s="16">
        <f>아이베!I28*$E6</f>
        <v>405269.99999999994</v>
      </c>
      <c r="I27" s="16">
        <f>아이베!J28*$E6</f>
        <v>405269.99999999994</v>
      </c>
      <c r="J27" s="16">
        <f>아이베!K28*$E6</f>
        <v>383939.99999999994</v>
      </c>
    </row>
    <row r="28" spans="1:10" x14ac:dyDescent="0.3">
      <c r="A28" s="100"/>
      <c r="B28" s="98"/>
      <c r="C28" s="3">
        <v>3</v>
      </c>
      <c r="D28" s="16">
        <f>아이베!E29*$E7</f>
        <v>0</v>
      </c>
      <c r="E28" s="16">
        <f>아이베!F29*$E7</f>
        <v>106649.99999999999</v>
      </c>
      <c r="F28" s="16">
        <f>아이베!G29*$E7</f>
        <v>85320</v>
      </c>
      <c r="G28" s="16">
        <f>아이베!H29*$E7</f>
        <v>106649.99999999999</v>
      </c>
      <c r="H28" s="16">
        <f>아이베!I29*$E7</f>
        <v>106649.99999999999</v>
      </c>
      <c r="I28" s="16">
        <f>아이베!J29*$E7</f>
        <v>85320</v>
      </c>
      <c r="J28" s="16">
        <f>아이베!K29*$E7</f>
        <v>42660</v>
      </c>
    </row>
    <row r="29" spans="1:10" x14ac:dyDescent="0.3">
      <c r="A29" s="100"/>
      <c r="B29" s="101" t="s">
        <v>15</v>
      </c>
      <c r="C29" s="101"/>
      <c r="D29" s="25">
        <f>SUM(D23:D28)</f>
        <v>196577.27999999997</v>
      </c>
      <c r="E29" s="25">
        <f t="shared" ref="E29:J29" si="0">SUM(E23:E28)</f>
        <v>1711140</v>
      </c>
      <c r="F29" s="25">
        <f t="shared" si="0"/>
        <v>1054650</v>
      </c>
      <c r="G29" s="25">
        <f t="shared" si="0"/>
        <v>1059390</v>
      </c>
      <c r="H29" s="25">
        <f t="shared" si="0"/>
        <v>1147870</v>
      </c>
      <c r="I29" s="25">
        <f t="shared" si="0"/>
        <v>1062550</v>
      </c>
      <c r="J29" s="25">
        <f t="shared" si="0"/>
        <v>983550</v>
      </c>
    </row>
    <row r="30" spans="1:10" x14ac:dyDescent="0.3">
      <c r="A30" s="100"/>
      <c r="B30" s="105" t="s">
        <v>63</v>
      </c>
      <c r="C30" s="101"/>
      <c r="D30" s="25">
        <f>D29</f>
        <v>196577.27999999997</v>
      </c>
      <c r="E30" s="25">
        <f t="shared" ref="E30:J30" si="1">E29</f>
        <v>1711140</v>
      </c>
      <c r="F30" s="25">
        <f t="shared" si="1"/>
        <v>1054650</v>
      </c>
      <c r="G30" s="25">
        <f t="shared" si="1"/>
        <v>1059390</v>
      </c>
      <c r="H30" s="25">
        <f t="shared" si="1"/>
        <v>1147870</v>
      </c>
      <c r="I30" s="25">
        <f t="shared" si="1"/>
        <v>1062550</v>
      </c>
      <c r="J30" s="25">
        <f t="shared" si="1"/>
        <v>983550</v>
      </c>
    </row>
    <row r="31" spans="1:10" x14ac:dyDescent="0.3">
      <c r="A31" s="100"/>
      <c r="B31" s="105" t="s">
        <v>62</v>
      </c>
      <c r="C31" s="101"/>
      <c r="D31" s="25">
        <f>D30*$F$2</f>
        <v>286369849.95839995</v>
      </c>
      <c r="E31" s="25">
        <f t="shared" ref="E31:J31" si="2">E30*$F$2</f>
        <v>2492754529.1999998</v>
      </c>
      <c r="F31" s="25">
        <f t="shared" si="2"/>
        <v>1536393027</v>
      </c>
      <c r="G31" s="25">
        <f t="shared" si="2"/>
        <v>1543298164.2</v>
      </c>
      <c r="H31" s="25">
        <f t="shared" si="2"/>
        <v>1672194058.5999999</v>
      </c>
      <c r="I31" s="25">
        <f t="shared" si="2"/>
        <v>1547901589</v>
      </c>
      <c r="J31" s="25">
        <f t="shared" si="2"/>
        <v>1432815969</v>
      </c>
    </row>
    <row r="34" spans="1:10" x14ac:dyDescent="0.3">
      <c r="A34" t="s">
        <v>61</v>
      </c>
    </row>
    <row r="35" spans="1:10" x14ac:dyDescent="0.3">
      <c r="A35" s="126" t="s">
        <v>17</v>
      </c>
      <c r="B35" s="127"/>
      <c r="C35" s="128"/>
      <c r="D35" s="14" t="s">
        <v>6</v>
      </c>
      <c r="E35" s="14" t="s">
        <v>18</v>
      </c>
      <c r="F35" s="14" t="s">
        <v>8</v>
      </c>
      <c r="G35" s="14" t="s">
        <v>9</v>
      </c>
      <c r="H35" s="14" t="s">
        <v>10</v>
      </c>
      <c r="I35" s="14" t="s">
        <v>11</v>
      </c>
      <c r="J35" s="14" t="s">
        <v>12</v>
      </c>
    </row>
    <row r="36" spans="1:10" x14ac:dyDescent="0.3">
      <c r="A36" s="129"/>
      <c r="B36" s="116" t="s">
        <v>13</v>
      </c>
      <c r="C36" s="27" t="s">
        <v>24</v>
      </c>
      <c r="D36" s="66">
        <f>크로네!E32*단가!$E8</f>
        <v>38610</v>
      </c>
      <c r="E36" s="66">
        <f>크로네!F32*단가!$E8</f>
        <v>21450</v>
      </c>
      <c r="F36" s="66">
        <f>크로네!G32*단가!$E8</f>
        <v>14300</v>
      </c>
      <c r="G36" s="66">
        <f>크로네!H32*단가!$E8</f>
        <v>14300</v>
      </c>
      <c r="H36" s="66">
        <f>크로네!I32*단가!$E8</f>
        <v>14300</v>
      </c>
      <c r="I36" s="66">
        <f>크로네!J32*단가!$E8</f>
        <v>14300</v>
      </c>
      <c r="J36" s="66">
        <f>크로네!K32*단가!$E8</f>
        <v>14300</v>
      </c>
    </row>
    <row r="37" spans="1:10" x14ac:dyDescent="0.3">
      <c r="A37" s="130"/>
      <c r="B37" s="116"/>
      <c r="C37" s="27">
        <v>1</v>
      </c>
      <c r="D37" s="66">
        <f>크로네!E33*단가!$E9</f>
        <v>0</v>
      </c>
      <c r="E37" s="66">
        <f>크로네!F33*단가!$E9</f>
        <v>0</v>
      </c>
      <c r="F37" s="66">
        <f>크로네!G33*단가!$E9</f>
        <v>0</v>
      </c>
      <c r="G37" s="66">
        <f>크로네!H33*단가!$E9</f>
        <v>0</v>
      </c>
      <c r="H37" s="66">
        <f>크로네!I33*단가!$E9</f>
        <v>7150</v>
      </c>
      <c r="I37" s="66">
        <f>크로네!J33*단가!$E9</f>
        <v>14300</v>
      </c>
      <c r="J37" s="66">
        <f>크로네!K33*단가!$E9</f>
        <v>14300</v>
      </c>
    </row>
    <row r="38" spans="1:10" x14ac:dyDescent="0.3">
      <c r="A38" s="130"/>
      <c r="B38" s="116"/>
      <c r="C38" s="27">
        <v>2</v>
      </c>
      <c r="D38" s="66">
        <f>크로네!E34*단가!$E10</f>
        <v>46332</v>
      </c>
      <c r="E38" s="66">
        <f>크로네!F34*단가!$E10</f>
        <v>45760</v>
      </c>
      <c r="F38" s="66">
        <f>크로네!G34*단가!$E10</f>
        <v>35750</v>
      </c>
      <c r="G38" s="66">
        <f>크로네!H34*단가!$E10</f>
        <v>42900</v>
      </c>
      <c r="H38" s="66">
        <f>크로네!I34*단가!$E10</f>
        <v>50050</v>
      </c>
      <c r="I38" s="66">
        <f>크로네!J34*단가!$E10</f>
        <v>50050</v>
      </c>
      <c r="J38" s="66">
        <f>크로네!K34*단가!$E10</f>
        <v>57200</v>
      </c>
    </row>
    <row r="39" spans="1:10" x14ac:dyDescent="0.3">
      <c r="A39" s="130"/>
      <c r="B39" s="116"/>
      <c r="C39" s="27">
        <v>3</v>
      </c>
      <c r="D39" s="66">
        <f>크로네!E35*단가!$E11</f>
        <v>0</v>
      </c>
      <c r="E39" s="66">
        <f>크로네!F35*단가!$E11</f>
        <v>0</v>
      </c>
      <c r="F39" s="66">
        <f>크로네!G35*단가!$E11</f>
        <v>0</v>
      </c>
      <c r="G39" s="66">
        <f>크로네!H35*단가!$E11</f>
        <v>0</v>
      </c>
      <c r="H39" s="66">
        <f>크로네!I35*단가!$E11</f>
        <v>0</v>
      </c>
      <c r="I39" s="66">
        <f>크로네!J35*단가!$E11</f>
        <v>0</v>
      </c>
      <c r="J39" s="66">
        <f>크로네!K35*단가!$E11</f>
        <v>0</v>
      </c>
    </row>
    <row r="40" spans="1:10" x14ac:dyDescent="0.3">
      <c r="A40" s="130"/>
      <c r="B40" s="117" t="s">
        <v>14</v>
      </c>
      <c r="C40" s="30" t="s">
        <v>24</v>
      </c>
      <c r="D40" s="66">
        <f>크로네!E36*단가!$E12</f>
        <v>0</v>
      </c>
      <c r="E40" s="66">
        <f>크로네!F36*단가!$E12</f>
        <v>289500</v>
      </c>
      <c r="F40" s="66">
        <f>크로네!G36*단가!$E12</f>
        <v>173700</v>
      </c>
      <c r="G40" s="66">
        <f>크로네!H36*단가!$E12</f>
        <v>154400</v>
      </c>
      <c r="H40" s="66">
        <f>크로네!I36*단가!$E12</f>
        <v>173700</v>
      </c>
      <c r="I40" s="66">
        <f>크로네!J36*단가!$E12</f>
        <v>212300</v>
      </c>
      <c r="J40" s="66">
        <f>크로네!K36*단가!$E12</f>
        <v>193000</v>
      </c>
    </row>
    <row r="41" spans="1:10" x14ac:dyDescent="0.3">
      <c r="A41" s="130"/>
      <c r="B41" s="117"/>
      <c r="C41" s="30">
        <v>1</v>
      </c>
      <c r="D41" s="66">
        <f>크로네!E37*단가!$E13</f>
        <v>88934.400000000009</v>
      </c>
      <c r="E41" s="66">
        <f>크로네!F37*단가!$E13</f>
        <v>540400</v>
      </c>
      <c r="F41" s="66">
        <f>크로네!G37*단가!$E13</f>
        <v>289500</v>
      </c>
      <c r="G41" s="66">
        <f>크로네!H37*단가!$E13</f>
        <v>212300</v>
      </c>
      <c r="H41" s="66">
        <f>크로네!I37*단가!$E13</f>
        <v>308800</v>
      </c>
      <c r="I41" s="66">
        <f>크로네!J37*단가!$E13</f>
        <v>328100</v>
      </c>
      <c r="J41" s="66">
        <f>크로네!K37*단가!$E13</f>
        <v>270200</v>
      </c>
    </row>
    <row r="42" spans="1:10" x14ac:dyDescent="0.3">
      <c r="A42" s="130"/>
      <c r="B42" s="117"/>
      <c r="C42" s="30">
        <v>2</v>
      </c>
      <c r="D42" s="66">
        <f>크로네!E38*단가!$E14</f>
        <v>74112</v>
      </c>
      <c r="E42" s="66">
        <f>크로네!F38*단가!$E14</f>
        <v>521100</v>
      </c>
      <c r="F42" s="66">
        <f>크로네!G38*단가!$E14</f>
        <v>270200</v>
      </c>
      <c r="G42" s="66">
        <f>크로네!H38*단가!$E14</f>
        <v>289500</v>
      </c>
      <c r="H42" s="66">
        <f>크로네!I38*단가!$E14</f>
        <v>289500</v>
      </c>
      <c r="I42" s="66">
        <f>크로네!J38*단가!$E14</f>
        <v>289500</v>
      </c>
      <c r="J42" s="66">
        <f>크로네!K38*단가!$E14</f>
        <v>308800</v>
      </c>
    </row>
    <row r="43" spans="1:10" x14ac:dyDescent="0.3">
      <c r="A43" s="130"/>
      <c r="B43" s="117"/>
      <c r="C43" s="30" t="s">
        <v>25</v>
      </c>
      <c r="D43" s="66">
        <f>크로네!E39*단가!$E15</f>
        <v>0</v>
      </c>
      <c r="E43" s="66">
        <f>크로네!F39*단가!$E15</f>
        <v>7060</v>
      </c>
      <c r="F43" s="66">
        <f>크로네!G39*단가!$E15</f>
        <v>0</v>
      </c>
      <c r="G43" s="66">
        <f>크로네!H39*단가!$E15</f>
        <v>3530</v>
      </c>
      <c r="H43" s="66">
        <f>크로네!I39*단가!$E15</f>
        <v>3530</v>
      </c>
      <c r="I43" s="66">
        <f>크로네!J39*단가!$E15</f>
        <v>3530</v>
      </c>
      <c r="J43" s="66">
        <f>크로네!K39*단가!$E15</f>
        <v>3530</v>
      </c>
    </row>
    <row r="44" spans="1:10" x14ac:dyDescent="0.3">
      <c r="A44" s="130"/>
      <c r="B44" s="115"/>
      <c r="C44" s="32" t="s">
        <v>26</v>
      </c>
      <c r="D44" s="66">
        <f>크로네!E40*단가!$E16</f>
        <v>16591.68</v>
      </c>
      <c r="E44" s="66">
        <f>크로네!F40*단가!$E16</f>
        <v>0</v>
      </c>
      <c r="F44" s="66">
        <f>크로네!G40*단가!$E16</f>
        <v>16460</v>
      </c>
      <c r="G44" s="66">
        <f>크로네!H40*단가!$E16</f>
        <v>0</v>
      </c>
      <c r="H44" s="66">
        <f>크로네!I40*단가!$E16</f>
        <v>0</v>
      </c>
      <c r="I44" s="66">
        <f>크로네!J40*단가!$E16</f>
        <v>8230</v>
      </c>
      <c r="J44" s="66">
        <f>크로네!K40*단가!$E16</f>
        <v>0</v>
      </c>
    </row>
    <row r="45" spans="1:10" x14ac:dyDescent="0.3">
      <c r="A45" s="130"/>
      <c r="B45" s="115"/>
      <c r="C45" s="32" t="s">
        <v>27</v>
      </c>
      <c r="D45" s="66">
        <f>크로네!E41*단가!$E17</f>
        <v>0</v>
      </c>
      <c r="E45" s="66">
        <f>크로네!F41*단가!$E17</f>
        <v>4115</v>
      </c>
      <c r="F45" s="66">
        <f>크로네!G41*단가!$E17</f>
        <v>0</v>
      </c>
      <c r="G45" s="66">
        <f>크로네!H41*단가!$E17</f>
        <v>8230</v>
      </c>
      <c r="H45" s="66">
        <f>크로네!I41*단가!$E17</f>
        <v>0</v>
      </c>
      <c r="I45" s="66">
        <f>크로네!J41*단가!$E17</f>
        <v>0</v>
      </c>
      <c r="J45" s="66">
        <f>크로네!K41*단가!$E17</f>
        <v>0</v>
      </c>
    </row>
    <row r="46" spans="1:10" x14ac:dyDescent="0.3">
      <c r="A46" s="130"/>
      <c r="B46" s="103" t="s">
        <v>15</v>
      </c>
      <c r="C46" s="104"/>
      <c r="D46" s="25">
        <f>SUM(D36:D45)</f>
        <v>264580.08</v>
      </c>
      <c r="E46" s="25">
        <f t="shared" ref="E46:J46" si="3">SUM(E36:E45)</f>
        <v>1429385</v>
      </c>
      <c r="F46" s="25">
        <f t="shared" si="3"/>
        <v>799910</v>
      </c>
      <c r="G46" s="25">
        <f t="shared" si="3"/>
        <v>725160</v>
      </c>
      <c r="H46" s="25">
        <f t="shared" si="3"/>
        <v>847030</v>
      </c>
      <c r="I46" s="25">
        <f t="shared" si="3"/>
        <v>920310</v>
      </c>
      <c r="J46" s="25">
        <f t="shared" si="3"/>
        <v>861330</v>
      </c>
    </row>
    <row r="47" spans="1:10" x14ac:dyDescent="0.3">
      <c r="A47" s="130"/>
      <c r="B47" s="113" t="s">
        <v>63</v>
      </c>
      <c r="C47" s="114"/>
      <c r="D47" s="25">
        <f>D46</f>
        <v>264580.08</v>
      </c>
      <c r="E47" s="25">
        <f t="shared" ref="E47:J47" si="4">E46</f>
        <v>1429385</v>
      </c>
      <c r="F47" s="25">
        <f t="shared" si="4"/>
        <v>799910</v>
      </c>
      <c r="G47" s="25">
        <f t="shared" si="4"/>
        <v>725160</v>
      </c>
      <c r="H47" s="25">
        <f t="shared" si="4"/>
        <v>847030</v>
      </c>
      <c r="I47" s="25">
        <f t="shared" si="4"/>
        <v>920310</v>
      </c>
      <c r="J47" s="25">
        <f t="shared" si="4"/>
        <v>861330</v>
      </c>
    </row>
    <row r="48" spans="1:10" x14ac:dyDescent="0.3">
      <c r="A48" s="131"/>
      <c r="B48" s="103" t="s">
        <v>19</v>
      </c>
      <c r="C48" s="104"/>
      <c r="D48" s="25">
        <f>D47*$F$2</f>
        <v>385434968.94240004</v>
      </c>
      <c r="E48" s="25">
        <f t="shared" ref="E48:J48" si="5">E47*$F$2</f>
        <v>2082299480.3</v>
      </c>
      <c r="F48" s="25">
        <f t="shared" si="5"/>
        <v>1165292889.8</v>
      </c>
      <c r="G48" s="25">
        <f t="shared" si="5"/>
        <v>1056398584.8</v>
      </c>
      <c r="H48" s="25">
        <f t="shared" si="5"/>
        <v>1233936363.4000001</v>
      </c>
      <c r="I48" s="25">
        <f t="shared" si="5"/>
        <v>1340689201.8</v>
      </c>
      <c r="J48" s="25">
        <f t="shared" si="5"/>
        <v>1254768317.4000001</v>
      </c>
    </row>
  </sheetData>
  <mergeCells count="15">
    <mergeCell ref="A22:C22"/>
    <mergeCell ref="A23:A31"/>
    <mergeCell ref="B23:B25"/>
    <mergeCell ref="B26:B28"/>
    <mergeCell ref="B29:C29"/>
    <mergeCell ref="B30:C30"/>
    <mergeCell ref="B31:C31"/>
    <mergeCell ref="A35:C35"/>
    <mergeCell ref="A36:A48"/>
    <mergeCell ref="B36:B39"/>
    <mergeCell ref="B40:B43"/>
    <mergeCell ref="B44:B45"/>
    <mergeCell ref="B46:C46"/>
    <mergeCell ref="B47:C47"/>
    <mergeCell ref="B48:C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아이베</vt:lpstr>
      <vt:lpstr>내수 판매량</vt:lpstr>
      <vt:lpstr>Sheet1</vt:lpstr>
      <vt:lpstr>크로네</vt:lpstr>
      <vt:lpstr>직구 판매량</vt:lpstr>
      <vt:lpstr>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cp:lastModifiedBy>SCM</cp:lastModifiedBy>
  <dcterms:created xsi:type="dcterms:W3CDTF">2024-06-21T01:39:43Z</dcterms:created>
  <dcterms:modified xsi:type="dcterms:W3CDTF">2024-07-23T08:43:03Z</dcterms:modified>
</cp:coreProperties>
</file>
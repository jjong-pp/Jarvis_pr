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EIBE)\Planning\ORDERS\"/>
    </mc:Choice>
  </mc:AlternateContent>
  <xr:revisionPtr revIDLastSave="0" documentId="13_ncr:1_{3FCC07CF-B4B8-413D-88D9-689C292AE7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3" i="1" l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<sst xmlns="http://schemas.openxmlformats.org/spreadsheetml/2006/main" count="307" uniqueCount="236">
  <si>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</si>
  <si>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</si>
  <si>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</si>
  <si>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</si>
  <si>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</si>
  <si>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</si>
  <si>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</si>
  <si>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</si>
  <si>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</si>
  <si>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</si>
  <si>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</si>
  <si>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</si>
  <si>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</si>
  <si>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</si>
  <si>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</si>
  <si>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</si>
  <si>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</si>
  <si>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</si>
  <si>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</si>
  <si>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</si>
  <si>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</si>
  <si>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</si>
  <si>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</si>
  <si>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</si>
  <si>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</si>
  <si>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</si>
  <si>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</si>
  <si>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</si>
  <si>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</si>
  <si>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</si>
  <si>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</si>
  <si>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</si>
  <si>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</si>
  <si>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</si>
  <si>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</si>
  <si>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</si>
  <si>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</si>
  <si>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</si>
  <si>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</si>
  <si>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</si>
  <si>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</si>
  <si>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</si>
  <si>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</si>
  <si>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</si>
  <si>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</si>
  <si>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</si>
  <si>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</si>
  <si>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</si>
  <si>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</si>
  <si>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</si>
  <si>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</si>
  <si>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</si>
  <si>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</si>
  <si>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</si>
  <si>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</si>
  <si>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</si>
  <si>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</si>
  <si>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</si>
  <si>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</si>
  <si>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</si>
  <si>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</si>
  <si>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</si>
  <si>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</si>
  <si>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</si>
  <si>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</si>
  <si>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</si>
  <si>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</si>
  <si>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</si>
  <si>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</si>
  <si>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</si>
  <si>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</si>
  <si>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</si>
  <si>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</si>
  <si>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</si>
  <si>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</si>
  <si>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</si>
  <si>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</si>
  <si>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</si>
  <si>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</si>
  <si>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</si>
  <si>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</si>
  <si>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</si>
  <si>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</si>
  <si>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</si>
  <si>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</si>
  <si>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</si>
  <si>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</si>
  <si>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</si>
  <si>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</si>
  <si>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</si>
  <si>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</si>
  <si>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</si>
  <si>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</si>
  <si>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</si>
  <si>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</si>
  <si>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</si>
  <si>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</si>
  <si>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</si>
  <si>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</si>
  <si>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</si>
  <si>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</si>
  <si>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</si>
  <si>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</si>
  <si>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</si>
  <si>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</si>
  <si>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</si>
  <si>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</si>
  <si>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</si>
  <si>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</si>
  <si>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</si>
  <si>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</si>
  <si>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</si>
  <si>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</si>
  <si>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</si>
  <si>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</si>
  <si>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</si>
  <si>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</si>
  <si>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</si>
  <si>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</si>
  <si>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</si>
  <si>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</si>
  <si>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</si>
  <si>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</si>
  <si>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</si>
  <si>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</si>
  <si>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</si>
  <si>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</si>
  <si>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</si>
  <si>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</si>
  <si>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</si>
  <si>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</si>
  <si>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</si>
  <si>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</si>
  <si>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</si>
  <si>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</si>
  <si>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</si>
  <si>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</si>
  <si>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</si>
  <si>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</si>
  <si>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</si>
  <si>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</si>
  <si>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</si>
  <si>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</si>
  <si>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</si>
  <si>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</si>
  <si>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</si>
  <si>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</si>
  <si>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</si>
  <si>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</si>
  <si>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</si>
  <si>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</si>
  <si>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</si>
  <si>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</si>
  <si>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</si>
  <si>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</si>
  <si>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</si>
  <si>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</si>
  <si>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</si>
  <si>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</si>
  <si>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</si>
  <si>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</si>
  <si>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</si>
  <si>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</si>
  <si>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</si>
  <si>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</si>
  <si>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</si>
  <si>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</si>
  <si>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</si>
  <si>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</si>
  <si>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</si>
  <si>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</si>
  <si>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</si>
  <si>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</si>
  <si>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</si>
  <si>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</si>
  <si>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</si>
  <si>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</si>
  <si>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</si>
  <si>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</si>
  <si>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</si>
  <si>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</si>
  <si>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</si>
  <si>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</si>
  <si>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</si>
  <si>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</si>
  <si>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</si>
  <si>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</si>
  <si>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</si>
  <si>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</si>
  <si>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</si>
  <si>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</si>
  <si>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</si>
  <si>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</si>
  <si>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</si>
  <si>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</si>
  <si>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</si>
  <si>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</si>
  <si>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</si>
  <si>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</si>
  <si>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</si>
  <si>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</si>
  <si>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</si>
  <si>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</si>
  <si>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</si>
  <si>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</si>
  <si>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</si>
  <si>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</si>
  <si>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</si>
  <si>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</si>
  <si>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</si>
  <si>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</si>
  <si>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</si>
  <si>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</si>
  <si>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</si>
  <si>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</si>
  <si>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</si>
  <si>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</si>
  <si>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</si>
  <si>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</si>
  <si>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</si>
  <si>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</si>
  <si>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</si>
  <si>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</si>
  <si>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</si>
  <si>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</si>
  <si>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</si>
  <si>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</si>
  <si>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</si>
  <si>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</si>
  <si>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</si>
  <si>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</si>
  <si>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</si>
  <si>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</si>
  <si>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Cannot be placed for April cycle</t>
  </si>
  <si>
    <t>June</t>
  </si>
  <si>
    <t>W/H/06/2026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</si>
</sst>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_-* #,##0.0_-;\-* #,##0.0_-;_-* &quot;-&quot;_-;_-@_-"/>
    <numFmt numFmtId="174" formatCode="0.000"/>
  </numFmts>
  <fonts count="2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73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74" fontId="0" fillId="2" borderId="0" xfId="0" applyNumberFormat="1" applyFill="1"/>
    <xf numFmtId="41" fontId="27" fillId="2" borderId="0" xfId="1" applyFont="1" applyFill="1" applyAlignment="1"/>
    <xf numFmtId="173" fontId="13" fillId="0" borderId="2" xfId="1" applyNumberFormat="1" applyFont="1" applyFill="1" applyBorder="1" applyAlignment="1"/>
    <xf numFmtId="173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173" fontId="0" fillId="2" borderId="0" xfId="1" applyNumberFormat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55" zoomScaleNormal="55" workbookViewId="0">
      <selection activeCell="D8" sqref="D8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bestFit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9.08984375" style="1"/>
    <col min="15" max="15" width="12" style="1" customWidth="1"/>
    <col min="16" max="16" width="13.36328125" style="57" bestFit="1" customWidth="1"/>
    <col min="17" max="17" width="9.08984375" style="1"/>
    <col min="18" max="18" width="19.36328125" style="1" bestFit="1" customWidth="1"/>
    <col min="19" max="16384" width="9.08984375" style="1"/>
  </cols>
  <sheetData>
    <row r="1" spans="1:3" ht="15.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26</v>
      </c>
    </row>
    <row r="6" spans="1:3">
      <c r="A6" s="2" t="s">
        <v>195</v>
      </c>
      <c r="B6" s="58">
        <v>6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234</v>
      </c>
      <c r="C8" s="9"/>
    </row>
    <row r="9" spans="1:3">
      <c r="A9" s="2" t="s">
        <v>2</v>
      </c>
      <c r="B9" s="19" t="s">
        <v>235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91">
        <f t="shared" ref="J19" si="0">IF(G19="","",K19/G19)</f>
        <v>0</v>
      </c>
      <c r="K19" s="92"/>
      <c r="L19" s="11"/>
      <c r="M19" s="1">
        <f t="shared" ref="M19:M21" si="1">K19*24</f>
        <v>0</v>
      </c>
      <c r="N19" s="86" t="s">
        <v>213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27">
        <f t="shared" ref="I20:I23" si="2">H20*G20</f>
        <v>0</v>
      </c>
      <c r="J20" s="91">
        <f t="shared" ref="J20" si="3">IF(G20="","",K20/G20)</f>
        <v>0</v>
      </c>
      <c r="K20" s="92"/>
      <c r="L20" s="13"/>
      <c r="M20" s="1">
        <f t="shared" si="1"/>
        <v>0</v>
      </c>
      <c r="N20" s="86" t="s">
        <v>213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91">
        <f t="shared" ref="J21:J24" si="4">IF(G21="","",K21/G21)</f>
        <v>0</v>
      </c>
      <c r="K21" s="92"/>
      <c r="M21" s="1">
        <f t="shared" si="1"/>
        <v>0</v>
      </c>
      <c r="N21" s="86" t="s">
        <v>213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91">
        <f t="shared" si="4"/>
        <v>0</v>
      </c>
      <c r="K22" s="92"/>
      <c r="M22" s="1">
        <f t="shared" ref="M22:M24" si="5">K22*7</f>
        <v>0</v>
      </c>
      <c r="N22" s="86" t="s">
        <v>210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91">
        <f t="shared" si="4"/>
        <v>0</v>
      </c>
      <c r="K23" s="92"/>
      <c r="M23" s="1">
        <f t="shared" si="5"/>
        <v>0</v>
      </c>
      <c r="N23" s="86" t="s">
        <v>211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91">
        <f t="shared" si="4"/>
        <v>0</v>
      </c>
      <c r="K24" s="92"/>
      <c r="L24"/>
      <c r="M24" s="1">
        <f t="shared" si="5"/>
        <v>0</v>
      </c>
      <c r="N24" s="86" t="s">
        <v>212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59">
        <f t="shared" ref="J25:J42" si="6">IF(G25="","",K25/G25)</f>
        <v>0</v>
      </c>
      <c r="K25" s="52"/>
      <c r="N25" s="86" t="s">
        <v>209</v>
      </c>
      <c r="O25" s="89"/>
    </row>
    <row r="26" spans="1:18">
      <c r="A26" s="15">
        <v>552897</v>
      </c>
      <c r="B26" s="15" t="s">
        <v>214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59">
        <f t="shared" si="6"/>
        <v>0</v>
      </c>
      <c r="K26" s="52"/>
      <c r="L26" s="11"/>
      <c r="M26" s="1">
        <f t="shared" ref="M26:M28" si="7">K26*24</f>
        <v>0</v>
      </c>
      <c r="N26" s="86" t="s">
        <v>213</v>
      </c>
      <c r="O26" s="61" t="s">
        <v>198</v>
      </c>
    </row>
    <row r="27" spans="1:18">
      <c r="A27" s="15">
        <v>701775</v>
      </c>
      <c r="B27" s="15" t="s">
        <v>215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1.1111111111111112</v>
      </c>
      <c r="K27" s="92">
        <v>120</v>
      </c>
      <c r="L27" s="13"/>
      <c r="M27" s="1">
        <f t="shared" si="7"/>
        <v>2880</v>
      </c>
      <c r="N27" s="89"/>
      <c r="O27" s="89" t="s">
        <v>233</v>
      </c>
    </row>
    <row r="28" spans="1:18">
      <c r="A28" s="15">
        <v>691217</v>
      </c>
      <c r="B28" s="15" t="s">
        <v>216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59">
        <f t="shared" si="6"/>
        <v>0</v>
      </c>
      <c r="K28" s="52"/>
      <c r="M28" s="1">
        <f t="shared" si="7"/>
        <v>0</v>
      </c>
      <c r="N28" s="57"/>
      <c r="O28" s="89"/>
    </row>
    <row r="29" spans="1:18">
      <c r="A29" s="15">
        <v>117771</v>
      </c>
      <c r="B29" s="15" t="s">
        <v>217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59">
        <f t="shared" si="6"/>
        <v>0</v>
      </c>
      <c r="K29" s="52"/>
      <c r="M29" s="1">
        <f t="shared" ref="M29:M31" si="9">K29*7</f>
        <v>0</v>
      </c>
      <c r="N29" s="57"/>
      <c r="O29" s="89"/>
    </row>
    <row r="30" spans="1:18">
      <c r="A30" s="15">
        <v>611174</v>
      </c>
      <c r="B30" s="15" t="s">
        <v>218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59">
        <f t="shared" si="6"/>
        <v>0</v>
      </c>
      <c r="K30" s="52"/>
      <c r="M30" s="1">
        <f t="shared" si="9"/>
        <v>0</v>
      </c>
      <c r="N30" s="86" t="s">
        <v>231</v>
      </c>
      <c r="O30" s="89"/>
    </row>
    <row r="31" spans="1:18">
      <c r="A31" s="15">
        <v>117547</v>
      </c>
      <c r="B31" s="15" t="s">
        <v>219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90"/>
      <c r="I31" s="27">
        <f>H31*G31</f>
        <v>0</v>
      </c>
      <c r="J31" s="59">
        <f t="shared" si="6"/>
        <v>0</v>
      </c>
      <c r="K31" s="52"/>
      <c r="L31"/>
      <c r="M31" s="1">
        <f t="shared" si="9"/>
        <v>0</v>
      </c>
      <c r="N31" s="57"/>
      <c r="O31" s="89"/>
    </row>
    <row r="32" spans="1:18">
      <c r="A32" s="15">
        <v>646546</v>
      </c>
      <c r="B32" s="15" t="s">
        <v>220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59">
        <f t="shared" si="6"/>
        <v>0</v>
      </c>
      <c r="K32" s="52"/>
      <c r="M32" s="1">
        <f t="shared" ref="M32" si="11">K32*4</f>
        <v>0</v>
      </c>
      <c r="O32" s="89"/>
      <c r="R32" s="56"/>
    </row>
    <row r="33" spans="1:16">
      <c r="A33" s="15">
        <v>646567</v>
      </c>
      <c r="B33" s="15" t="s">
        <v>221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9">
        <f t="shared" si="6"/>
        <v>0</v>
      </c>
      <c r="K33" s="52"/>
      <c r="L33" s="14"/>
      <c r="M33" s="14">
        <f t="shared" ref="M33" si="12">K33*7</f>
        <v>0</v>
      </c>
      <c r="O33" s="89"/>
    </row>
    <row r="34" spans="1:16">
      <c r="A34" s="15">
        <v>116180</v>
      </c>
      <c r="B34" s="15" t="s">
        <v>222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59">
        <f t="shared" si="6"/>
        <v>0</v>
      </c>
      <c r="K34" s="52"/>
      <c r="M34" s="1">
        <f>K34*5</f>
        <v>0</v>
      </c>
      <c r="O34" s="89"/>
    </row>
    <row r="35" spans="1:16">
      <c r="A35" s="15">
        <v>552896</v>
      </c>
      <c r="B35" s="15" t="s">
        <v>223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59">
        <f t="shared" si="6"/>
        <v>0</v>
      </c>
      <c r="K35" s="52"/>
      <c r="M35" s="1">
        <f t="shared" ref="M35:M39" si="13">K35*4</f>
        <v>0</v>
      </c>
      <c r="N35" s="86" t="s">
        <v>213</v>
      </c>
      <c r="O35" s="89"/>
      <c r="P35" s="93"/>
    </row>
    <row r="36" spans="1:16">
      <c r="A36" s="15">
        <v>578785</v>
      </c>
      <c r="B36" s="15" t="s">
        <v>224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90"/>
      <c r="I36" s="27">
        <f t="shared" si="10"/>
        <v>0</v>
      </c>
      <c r="J36" s="59">
        <f t="shared" si="6"/>
        <v>0</v>
      </c>
      <c r="K36" s="52"/>
      <c r="M36" s="1">
        <f t="shared" si="13"/>
        <v>0</v>
      </c>
      <c r="N36" s="86" t="s">
        <v>232</v>
      </c>
      <c r="O36" s="89"/>
    </row>
    <row r="37" spans="1:16">
      <c r="A37" s="15">
        <v>589462</v>
      </c>
      <c r="B37" s="15" t="s">
        <v>225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90"/>
      <c r="I37" s="27">
        <f t="shared" si="10"/>
        <v>0</v>
      </c>
      <c r="J37" s="59">
        <f t="shared" si="6"/>
        <v>0</v>
      </c>
      <c r="K37" s="52"/>
      <c r="M37" s="1">
        <f t="shared" si="13"/>
        <v>0</v>
      </c>
      <c r="O37" s="89"/>
    </row>
    <row r="38" spans="1:16">
      <c r="A38" s="15">
        <v>589466</v>
      </c>
      <c r="B38" s="15" t="s">
        <v>226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90"/>
      <c r="I38" s="27">
        <f t="shared" si="10"/>
        <v>0</v>
      </c>
      <c r="J38" s="59">
        <f t="shared" si="6"/>
        <v>0</v>
      </c>
      <c r="K38" s="52"/>
      <c r="M38" s="1">
        <f t="shared" si="13"/>
        <v>0</v>
      </c>
      <c r="O38" s="89"/>
    </row>
    <row r="39" spans="1:16">
      <c r="A39" s="15">
        <v>646548</v>
      </c>
      <c r="B39" s="15" t="s">
        <v>227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90"/>
      <c r="I39" s="27">
        <f t="shared" si="10"/>
        <v>0</v>
      </c>
      <c r="J39" s="59">
        <f t="shared" si="6"/>
        <v>0</v>
      </c>
      <c r="K39" s="52"/>
      <c r="M39" s="1">
        <f t="shared" si="13"/>
        <v>0</v>
      </c>
      <c r="O39" s="89"/>
    </row>
    <row r="40" spans="1:16">
      <c r="A40" s="15">
        <v>699883</v>
      </c>
      <c r="B40" s="15" t="s">
        <v>228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59">
        <f t="shared" si="6"/>
        <v>0</v>
      </c>
      <c r="K40" s="52"/>
      <c r="O40" s="89"/>
    </row>
    <row r="41" spans="1:16">
      <c r="A41" s="15">
        <v>695413</v>
      </c>
      <c r="B41" s="15" t="s">
        <v>229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59">
        <f t="shared" si="6"/>
        <v>0</v>
      </c>
      <c r="K41" s="52"/>
      <c r="M41" s="1">
        <f t="shared" ref="M41" si="15">K41*7</f>
        <v>0</v>
      </c>
      <c r="O41" s="89"/>
    </row>
    <row r="42" spans="1:16">
      <c r="A42" s="15">
        <v>645380</v>
      </c>
      <c r="B42" s="15" t="s">
        <v>230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59">
        <f t="shared" si="6"/>
        <v>0</v>
      </c>
      <c r="K42" s="52"/>
      <c r="M42" s="1">
        <f>K42*5</f>
        <v>0</v>
      </c>
      <c r="O42" s="89"/>
    </row>
    <row r="43" spans="1:16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6">
      <c r="A44" s="8"/>
      <c r="B44" s="8"/>
      <c r="C44" s="3"/>
      <c r="J44" s="8" t="s">
        <v>19</v>
      </c>
      <c r="K44" s="3"/>
    </row>
    <row r="45" spans="1:16">
      <c r="A45" s="8"/>
      <c r="B45" s="8"/>
      <c r="C45" s="3"/>
      <c r="H45" s="88"/>
      <c r="J45" s="8" t="s">
        <v>20</v>
      </c>
      <c r="K45" s="28"/>
    </row>
    <row r="46" spans="1:16">
      <c r="A46" s="11"/>
      <c r="B46" s="11"/>
    </row>
    <row r="48" spans="1:16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265625" defaultRowHeight="14.5"/>
  <sheetData>
    <row r="2" spans="2:10" ht="15" thickBot="1"/>
    <row r="3" spans="2:10" ht="15.5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5.5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51" t="s">
        <v>184</v>
      </c>
    </row>
    <row r="2" spans="1:8" ht="15" thickBot="1"/>
    <row r="3" spans="1:8" ht="1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2026-03-03T11:14:09Z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
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2월\아이베\"/>
    </mc:Choice>
  </mc:AlternateContent>
  <xr:revisionPtr revIDLastSave="0" documentId="13_ncr:1_{223D6952-44F3-439A-87FD-75F02517E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<sst xmlns="http://schemas.openxmlformats.org/spreadsheetml/2006/main" count="325" uniqueCount="238">
  <si>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</si>
  <si>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</si>
  <si>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</si>
  <si>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</si>
  <si>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</si>
  <si>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</si>
  <si>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</si>
  <si>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</si>
  <si>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</si>
  <si>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</si>
  <si>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</si>
  <si>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</si>
  <si>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</si>
  <si>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</si>
  <si>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</si>
  <si>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</si>
  <si>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</si>
  <si>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</si>
  <si>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</si>
  <si>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</si>
  <si>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</si>
  <si>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</si>
  <si>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</si>
  <si>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</si>
  <si>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</si>
  <si>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</si>
  <si>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</si>
  <si>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</si>
  <si>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</si>
  <si>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</si>
  <si>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</si>
  <si>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</si>
  <si>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</si>
  <si>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</si>
  <si>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</si>
  <si>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</si>
  <si>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</si>
  <si>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</si>
  <si>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</si>
  <si>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</si>
  <si>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</si>
  <si>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</si>
  <si>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</si>
  <si>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</si>
  <si>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</si>
  <si>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</si>
  <si>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</si>
  <si>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</si>
  <si>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</si>
  <si>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</si>
  <si>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</si>
  <si>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</si>
  <si>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</si>
  <si>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</si>
  <si>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</si>
  <si>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</si>
  <si>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</si>
  <si>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</si>
  <si>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</si>
  <si>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</si>
  <si>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</si>
  <si>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</si>
  <si>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</si>
  <si>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</si>
  <si>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</si>
  <si>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</si>
  <si>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</si>
  <si>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</si>
  <si>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</si>
  <si>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</si>
  <si>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</si>
  <si>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</si>
  <si>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</si>
  <si>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</si>
  <si>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</si>
  <si>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</si>
  <si>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</si>
  <si>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</si>
  <si>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</si>
  <si>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</si>
  <si>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</si>
  <si>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</si>
  <si>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</si>
  <si>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</si>
  <si>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</si>
  <si>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</si>
  <si>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</si>
  <si>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</si>
  <si>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</si>
  <si>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</si>
  <si>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</si>
  <si>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</si>
  <si>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</si>
  <si>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</si>
  <si>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</si>
  <si>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</si>
  <si>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</si>
  <si>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</si>
  <si>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</si>
  <si>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</si>
  <si>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</si>
  <si>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</si>
  <si>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</si>
  <si>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</si>
  <si>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</si>
  <si>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</si>
  <si>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</si>
  <si>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</si>
  <si>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</si>
  <si>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</si>
  <si>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</si>
  <si>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</si>
  <si>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</si>
  <si>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</si>
  <si>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</si>
  <si>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</si>
  <si>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</si>
  <si>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</si>
  <si>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</si>
  <si>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</si>
  <si>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</si>
  <si>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</si>
  <si>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</si>
  <si>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</si>
  <si>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</si>
  <si>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</si>
  <si>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</si>
  <si>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</si>
  <si>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</si>
  <si>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</si>
  <si>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</si>
  <si>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</si>
  <si>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</si>
  <si>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</si>
  <si>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</si>
  <si>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</si>
  <si>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</si>
  <si>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</si>
  <si>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</si>
  <si>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</si>
  <si>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</si>
  <si>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</si>
  <si>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</si>
  <si>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</si>
  <si>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</si>
  <si>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</si>
  <si>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</si>
  <si>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</si>
  <si>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</si>
  <si>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</si>
  <si>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</si>
  <si>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</si>
  <si>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</si>
  <si>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</si>
  <si>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</si>
  <si>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</si>
  <si>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</si>
  <si>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</si>
  <si>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</si>
  <si>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</si>
  <si>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</si>
  <si>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</si>
  <si>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</si>
  <si>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</si>
  <si>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</si>
  <si>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</si>
  <si>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</si>
  <si>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</si>
  <si>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</si>
  <si>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</si>
  <si>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</si>
  <si>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</si>
  <si>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</si>
  <si>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</si>
  <si>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</si>
  <si>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</si>
  <si>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</si>
  <si>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</si>
  <si>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</si>
  <si>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</si>
  <si>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</si>
  <si>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</si>
  <si>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</si>
  <si>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</si>
  <si>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</si>
  <si>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</si>
  <si>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</si>
  <si>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</si>
  <si>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</si>
  <si>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</si>
  <si>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</si>
  <si>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</si>
  <si>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</si>
  <si>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</si>
  <si>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</si>
  <si>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</si>
  <si>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</si>
  <si>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</si>
  <si>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</si>
  <si>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</si>
  <si>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</si>
  <si>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</si>
  <si>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</si>
  <si>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</si>
  <si>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</si>
  <si>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</si>
  <si>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</si>
  <si>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</si>
  <si>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</si>
  <si>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</si>
  <si>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</si>
  <si>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</si>
  <si>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</si>
  <si>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</si>
  <si>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</si>
  <si>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</si>
  <si>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</si>
  <si>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</si>
  <si>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</si>
  <si>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</si>
  <si>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</si>
  <si>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</si>
  <si>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</si>
  <si>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</si>
  <si>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</si>
  <si>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</si>
  <si>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</si>
  <si>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</si>
  <si>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</si>
  <si>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</si>
  <si>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</si>
  <si>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</si>
  <si>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</si>
  <si>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1413 TU</t>
  </si>
  <si>
    <t>1520 TU</t>
  </si>
  <si>
    <t>1253 TU</t>
  </si>
  <si>
    <t>May</t>
  </si>
  <si>
    <t>W/H/05/2026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</si>
</sst>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6" ht="17.25">
      <c r="A1" s="29" t="s">
        <v>194</v>
      </c>
      <c r="B1" s="18"/>
    </row>
    <row r="2" spans="1:16">
      <c r="A2" s="39" t="s">
        <v>28</v>
      </c>
      <c r="B2" s="39" t="s">
        <v>192</v>
      </c>
    </row>
    <row r="3" spans="1:16">
      <c r="A3" s="2" t="s">
        <v>0</v>
      </c>
      <c r="B3" s="32">
        <v>72851</v>
      </c>
    </row>
    <row r="4" spans="1:16">
      <c r="A4" s="2" t="s">
        <v>16</v>
      </c>
      <c r="B4" s="19" t="s">
        <v>17</v>
      </c>
    </row>
    <row r="5" spans="1:16">
      <c r="A5" s="2" t="s">
        <v>30</v>
      </c>
      <c r="B5" s="58">
        <v>29</v>
      </c>
    </row>
    <row r="6" spans="1:16">
      <c r="A6" s="2" t="s">
        <v>195</v>
      </c>
      <c r="B6" s="58">
        <v>5</v>
      </c>
    </row>
    <row r="7" spans="1:16">
      <c r="A7" s="2" t="s">
        <v>196</v>
      </c>
      <c r="B7" s="58">
        <v>2026</v>
      </c>
    </row>
    <row r="8" spans="1:16">
      <c r="A8" s="2" t="s">
        <v>1</v>
      </c>
      <c r="B8" s="17" t="s">
        <v>236</v>
      </c>
      <c r="C8" s="9"/>
    </row>
    <row r="9" spans="1:16">
      <c r="A9" s="2" t="s">
        <v>2</v>
      </c>
      <c r="B9" s="19" t="s">
        <v>237</v>
      </c>
      <c r="C9"/>
    </row>
    <row r="10" spans="1:16">
      <c r="A10" s="2" t="s">
        <v>3</v>
      </c>
      <c r="B10" s="20" t="s">
        <v>12</v>
      </c>
    </row>
    <row r="11" spans="1:16">
      <c r="A11" s="2" t="s">
        <v>4</v>
      </c>
      <c r="B11" s="21" t="s">
        <v>24</v>
      </c>
    </row>
    <row r="12" spans="1:16">
      <c r="A12" s="2" t="s">
        <v>5</v>
      </c>
      <c r="B12" s="20" t="s">
        <v>18</v>
      </c>
    </row>
    <row r="13" spans="1:16">
      <c r="A13" s="2" t="s">
        <v>11</v>
      </c>
      <c r="B13" s="15" t="s">
        <v>25</v>
      </c>
    </row>
    <row r="14" spans="1:16">
      <c r="A14" s="10" t="s">
        <v>15</v>
      </c>
      <c r="B14" s="25">
        <v>1</v>
      </c>
      <c r="P14" s="57">
        <f>22-14</f>
        <v>8</v>
      </c>
    </row>
    <row r="15" spans="1:16">
      <c r="A15" s="10" t="s">
        <v>21</v>
      </c>
      <c r="B15" s="24">
        <v>1</v>
      </c>
      <c r="C15"/>
    </row>
    <row r="16" spans="1:16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6" t="s">
        <v>210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59">
        <f t="shared" ref="J20" si="3">IF(G20="","",K20/G20)</f>
        <v>12</v>
      </c>
      <c r="K20" s="52">
        <v>1728</v>
      </c>
      <c r="L20" s="13"/>
      <c r="M20" s="1">
        <f t="shared" si="1"/>
        <v>41472</v>
      </c>
      <c r="N20" s="86" t="s">
        <v>210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10</v>
      </c>
      <c r="K21" s="52">
        <v>1440</v>
      </c>
      <c r="M21" s="1">
        <f t="shared" si="1"/>
        <v>34560</v>
      </c>
      <c r="N21" s="86" t="s">
        <v>210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24</v>
      </c>
      <c r="K22" s="52">
        <v>2304</v>
      </c>
      <c r="M22" s="1">
        <f t="shared" ref="M22:M24" si="5">K22*7</f>
        <v>16128</v>
      </c>
      <c r="N22" s="86" t="s">
        <v>233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>
        <v>0</v>
      </c>
      <c r="M23" s="1">
        <f t="shared" si="5"/>
        <v>0</v>
      </c>
      <c r="N23" s="86" t="s">
        <v>234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6.583333333333333</v>
      </c>
      <c r="K24" s="52">
        <v>632</v>
      </c>
      <c r="L24"/>
      <c r="M24" s="1">
        <f t="shared" si="5"/>
        <v>4424</v>
      </c>
      <c r="N24" s="86" t="s">
        <v>235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0</v>
      </c>
      <c r="K25" s="92"/>
      <c r="N25" s="86" t="s">
        <v>209</v>
      </c>
      <c r="O25" s="89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0</v>
      </c>
      <c r="K26" s="92"/>
      <c r="L26" s="11"/>
      <c r="M26" s="1">
        <f t="shared" ref="M26:M28" si="7">K26*24</f>
        <v>0</v>
      </c>
      <c r="N26" s="86" t="s">
        <v>210</v>
      </c>
      <c r="O26" s="61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6</v>
      </c>
      <c r="K27" s="92">
        <v>648</v>
      </c>
      <c r="L27" s="13"/>
      <c r="M27" s="1">
        <f t="shared" si="7"/>
        <v>15552</v>
      </c>
      <c r="N27" s="89"/>
      <c r="O27" s="89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5.128205128205128E-2</v>
      </c>
      <c r="K28" s="92">
        <v>4</v>
      </c>
      <c r="M28" s="1">
        <f t="shared" si="7"/>
        <v>96</v>
      </c>
      <c r="N28" s="57"/>
      <c r="O28" s="89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</v>
      </c>
      <c r="K29" s="92"/>
      <c r="M29" s="1">
        <f t="shared" ref="M29:M31" si="9">K29*7</f>
        <v>0</v>
      </c>
      <c r="N29" s="57"/>
      <c r="O29" s="89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14</v>
      </c>
      <c r="K30" s="92">
        <v>1008</v>
      </c>
      <c r="M30" s="1">
        <f t="shared" si="9"/>
        <v>7056</v>
      </c>
      <c r="N30" s="86" t="s">
        <v>229</v>
      </c>
      <c r="O30" s="89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0.37037037037037035</v>
      </c>
      <c r="K31" s="92">
        <v>40</v>
      </c>
      <c r="L31"/>
      <c r="M31" s="1">
        <f t="shared" si="9"/>
        <v>280</v>
      </c>
      <c r="N31" s="57"/>
      <c r="O31" s="89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</v>
      </c>
      <c r="K32" s="92"/>
      <c r="M32" s="1">
        <f t="shared" ref="M32" si="11">K32*4</f>
        <v>0</v>
      </c>
      <c r="O32" s="89" t="s">
        <v>228</v>
      </c>
      <c r="R32" s="56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</v>
      </c>
      <c r="K33" s="92"/>
      <c r="L33" s="14"/>
      <c r="M33" s="14">
        <f t="shared" ref="M33" si="12">K33*7</f>
        <v>0</v>
      </c>
      <c r="O33" s="89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0</v>
      </c>
      <c r="K34" s="92"/>
      <c r="M34" s="1">
        <f>K34*5</f>
        <v>0</v>
      </c>
      <c r="O34" s="89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/>
      <c r="M35" s="1">
        <f t="shared" ref="M35:M39" si="13">K35*4</f>
        <v>0</v>
      </c>
      <c r="N35" s="86" t="s">
        <v>210</v>
      </c>
      <c r="O35" s="89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1.3510204081632653</v>
      </c>
      <c r="K36" s="92">
        <v>331</v>
      </c>
      <c r="M36" s="1">
        <f t="shared" si="13"/>
        <v>1324</v>
      </c>
      <c r="N36" s="86" t="s">
        <v>230</v>
      </c>
      <c r="O36" s="89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</v>
      </c>
      <c r="K37" s="92"/>
      <c r="M37" s="1">
        <f t="shared" si="13"/>
        <v>0</v>
      </c>
      <c r="O37" s="89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</v>
      </c>
      <c r="K38" s="92"/>
      <c r="M38" s="1">
        <f t="shared" si="13"/>
        <v>0</v>
      </c>
      <c r="O38" s="89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0</v>
      </c>
      <c r="K39" s="92"/>
      <c r="M39" s="1">
        <f t="shared" si="13"/>
        <v>0</v>
      </c>
      <c r="O39" s="89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0</v>
      </c>
      <c r="K40" s="92"/>
      <c r="O40" s="89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0</v>
      </c>
      <c r="K41" s="92"/>
      <c r="M41" s="1">
        <f t="shared" ref="M41" si="15">K41*7</f>
        <v>0</v>
      </c>
      <c r="O41" s="89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2.0833333333333335</v>
      </c>
      <c r="K42" s="92">
        <v>150</v>
      </c>
      <c r="M42" s="1">
        <f>K42*5</f>
        <v>750</v>
      </c>
      <c r="O42" s="89" t="s">
        <v>228</v>
      </c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231</v>
      </c>
      <c r="B47" s="36" t="s">
        <v>232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2026-03-04T11:36:42Z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
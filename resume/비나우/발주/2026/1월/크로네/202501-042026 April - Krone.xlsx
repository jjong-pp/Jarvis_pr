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박효진\발주\1월\크로네\"/>
    </mc:Choice>
  </mc:AlternateContent>
  <xr:revisionPtr revIDLastSave="0" documentId="13_ncr:1_{29951158-FA4C-487A-8E3C-3D4968F3DA56}" xr6:coauthVersionLast="47" xr6:coauthVersionMax="47" xr10:uidLastSave="{00000000-0000-0000-0000-000000000000}"/>
  <bookViews>
    <workbookView xWindow="-28920" yWindow="-178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34" i="1" l="1"/>
  <c r="J35" i="1"/>
  <c r="J36" i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I25" i="1"/>
  <c r="F25" i="1"/>
  <c r="E25" i="1"/>
  <c r="I24" i="1"/>
  <c r="F24" i="1"/>
  <c r="E24" i="1"/>
  <c r="I23" i="1"/>
  <c r="F23" i="1"/>
  <c r="E23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<sst xmlns="http://schemas.openxmlformats.org/spreadsheetml/2006/main" count="295" uniqueCount="259">
  <si>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</si>
  <si>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</si>
  <si>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</si>
  <si>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</si>
  <si>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</si>
  <si>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</si>
  <si>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</si>
  <si>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</si>
  <si>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</si>
  <si>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</si>
  <si>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</si>
  <si>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</si>
  <si>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</si>
  <si>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</si>
  <si>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</si>
  <si>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</si>
  <si>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</si>
  <si>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</si>
  <si>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</si>
  <si>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</si>
  <si>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</si>
  <si>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</si>
  <si>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</si>
  <si>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</si>
  <si>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</si>
  <si>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</si>
  <si>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</si>
  <si>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</si>
  <si>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</si>
  <si>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</si>
  <si>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</si>
  <si>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</si>
  <si>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</si>
  <si>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</si>
  <si>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</si>
  <si>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</si>
  <si>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</si>
  <si>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</si>
  <si>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</si>
  <si>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</si>
  <si>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</si>
  <si>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</si>
  <si>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</si>
  <si>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</si>
  <si>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</si>
  <si>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</si>
  <si>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</si>
  <si>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</si>
  <si>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</si>
  <si>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</si>
  <si>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</si>
  <si>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</si>
  <si>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</si>
  <si>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</si>
  <si>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</si>
  <si>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</si>
  <si>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</si>
  <si>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</si>
  <si>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</si>
  <si>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</si>
  <si>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</si>
  <si>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</si>
  <si>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</si>
  <si>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</si>
  <si>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</si>
  <si>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</si>
  <si>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</si>
  <si>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</si>
  <si>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</si>
  <si>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</si>
  <si>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</si>
  <si>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</si>
  <si>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</si>
  <si>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</si>
  <si>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</si>
  <si>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</si>
  <si>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</si>
  <si>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</si>
  <si>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</si>
  <si>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</si>
  <si>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</si>
  <si>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</si>
  <si>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</si>
  <si>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</si>
  <si>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</si>
  <si>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</si>
  <si>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</si>
  <si>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</si>
  <si>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</si>
  <si>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</si>
  <si>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</si>
  <si>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</si>
  <si>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</si>
  <si>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</si>
  <si>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</si>
  <si>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</si>
  <si>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</si>
  <si>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</si>
  <si>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</si>
  <si>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</si>
  <si>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</si>
  <si>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</si>
  <si>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</si>
  <si>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</si>
  <si>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</si>
  <si>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</si>
  <si>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</si>
  <si>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</si>
  <si>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</si>
  <si>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</si>
  <si>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</si>
  <si>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</si>
  <si>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</si>
  <si>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</si>
  <si>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</si>
  <si>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</si>
  <si>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</si>
  <si>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</si>
  <si>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</si>
  <si>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</si>
  <si>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</si>
  <si>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</si>
  <si>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</si>
  <si>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</si>
  <si>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</si>
  <si>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</si>
  <si>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</si>
  <si>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</si>
  <si>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</si>
  <si>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</si>
  <si>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</si>
  <si>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</si>
  <si>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</si>
  <si>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</si>
  <si>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</si>
  <si>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</si>
  <si>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</si>
  <si>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</si>
  <si>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</si>
  <si>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</si>
  <si>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</si>
  <si>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</si>
  <si>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</si>
  <si>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</si>
  <si>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</si>
  <si>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</si>
  <si>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</si>
  <si>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</si>
  <si>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</si>
  <si>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</si>
  <si>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</si>
  <si>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</si>
  <si>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</si>
  <si>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</si>
  <si>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</si>
  <si>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</si>
  <si>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</si>
  <si>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</si>
  <si>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</si>
  <si>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</si>
  <si>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</si>
  <si>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</si>
  <si>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</si>
  <si>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</si>
  <si>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</si>
  <si>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</si>
  <si>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</si>
  <si>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</si>
  <si>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</si>
  <si>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</si>
  <si>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</si>
  <si>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</si>
  <si>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</si>
  <si>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</si>
  <si>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</si>
  <si>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</si>
  <si>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</si>
  <si>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</si>
  <si>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</si>
  <si>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</si>
  <si>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</si>
  <si>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</si>
  <si>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</si>
  <si>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</si>
  <si>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</si>
  <si>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</si>
  <si>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</si>
  <si>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</si>
  <si>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</si>
  <si>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</si>
  <si>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</si>
  <si>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</si>
  <si>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</si>
  <si>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</si>
  <si>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</si>
  <si>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</si>
  <si>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</si>
  <si>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</si>
  <si>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</si>
  <si>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</si>
  <si>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</si>
  <si>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</si>
  <si>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</si>
  <si>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</si>
  <si>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</si>
  <si>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</si>
  <si>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</si>
  <si>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</si>
  <si>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</si>
  <si>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</si>
  <si>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</si>
  <si>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</si>
  <si>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</si>
  <si>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</si>
  <si>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</si>
  <si>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</si>
  <si>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</si>
  <si>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</si>
  <si>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</si>
  <si>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</si>
  <si>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</si>
  <si>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</si>
  <si>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</si>
  <si>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</si>
  <si>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</si>
  <si>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</si>
  <si>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</si>
  <si>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</si>
  <si>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</si>
  <si>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</si>
  <si>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</si>
  <si>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</si>
  <si>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</si>
  <si>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</si>
  <si>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</si>
  <si>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</si>
  <si>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</si>
  <si>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</si>
  <si>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</si>
  <si>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</si>
  <si>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</si>
  <si>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</si>
  <si>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</si>
  <si>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</si>
  <si>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</si>
  <si>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</si>
  <si>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</si>
  <si>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</si>
  <si>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</si>
  <si>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</si>
  <si>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</si>
  <si>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</si>
  <si>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</si>
  <si>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</si>
  <si>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</si>
  <si>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Already confirmed</t>
  </si>
  <si>
    <t>double stack pallets</t>
  </si>
  <si>
    <t>April</t>
  </si>
  <si>
    <t>W/F/04/2026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</si>
</sst>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i/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41" fontId="26" fillId="17" borderId="2" xfId="1" applyFont="1" applyFill="1" applyBorder="1" applyAlignment="1"/>
    <xf numFmtId="186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186" fontId="13" fillId="0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14" zoomScaleNormal="100" workbookViewId="0">
      <selection activeCell="K22" sqref="K22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5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24</v>
      </c>
    </row>
    <row r="6" spans="1:3">
      <c r="A6" s="2" t="s">
        <v>241</v>
      </c>
      <c r="B6" s="53">
        <v>4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257</v>
      </c>
      <c r="C8" s="9"/>
    </row>
    <row r="9" spans="1:3">
      <c r="A9" s="2" t="s">
        <v>2</v>
      </c>
      <c r="B9" s="18" t="s">
        <v>258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P18" s="56" t="s">
        <v>195</v>
      </c>
      <c r="Q18" s="57" t="s">
        <v>196</v>
      </c>
      <c r="R18" s="57" t="s">
        <v>197</v>
      </c>
      <c r="S18" s="57" t="s">
        <v>198</v>
      </c>
      <c r="T18" s="57" t="s">
        <v>199</v>
      </c>
    </row>
    <row r="19" spans="1:20" ht="17.25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25">
        <v>28</v>
      </c>
      <c r="I19" s="25">
        <f>H19*G19</f>
        <v>2688</v>
      </c>
      <c r="J19" s="64">
        <f t="shared" ref="J19:J21" si="0">IF(G19="","",K19/G19)</f>
        <v>42</v>
      </c>
      <c r="K19" s="48">
        <v>4032</v>
      </c>
      <c r="L19" s="11"/>
      <c r="M19" s="1">
        <f t="shared" ref="M19:M21" si="1">K19*24</f>
        <v>96768</v>
      </c>
      <c r="P19" s="82" t="s">
        <v>200</v>
      </c>
      <c r="Q19" s="58" t="s">
        <v>201</v>
      </c>
      <c r="R19" s="59" t="s">
        <v>202</v>
      </c>
      <c r="S19" s="59" t="s">
        <v>203</v>
      </c>
      <c r="T19" s="63" t="s">
        <v>204</v>
      </c>
    </row>
    <row r="20" spans="1:20" ht="17.25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25">
        <v>64</v>
      </c>
      <c r="I20" s="25">
        <f t="shared" ref="I20:I25" si="2">H20*G20</f>
        <v>6144</v>
      </c>
      <c r="J20" s="64">
        <f t="shared" si="0"/>
        <v>63</v>
      </c>
      <c r="K20" s="48">
        <v>6048</v>
      </c>
      <c r="L20" s="13"/>
      <c r="M20" s="1">
        <f t="shared" si="1"/>
        <v>145152</v>
      </c>
      <c r="P20" s="83"/>
      <c r="Q20" s="58" t="s">
        <v>205</v>
      </c>
      <c r="R20" s="59" t="s">
        <v>206</v>
      </c>
      <c r="S20" s="59" t="s">
        <v>207</v>
      </c>
      <c r="T20" s="63" t="s">
        <v>208</v>
      </c>
    </row>
    <row r="21" spans="1:20" ht="17.25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25">
        <v>75</v>
      </c>
      <c r="I21" s="25">
        <f t="shared" si="2"/>
        <v>7200</v>
      </c>
      <c r="J21" s="64">
        <f t="shared" si="0"/>
        <v>0</v>
      </c>
      <c r="K21" s="48"/>
      <c r="M21" s="1">
        <f t="shared" si="1"/>
        <v>0</v>
      </c>
      <c r="P21" s="83"/>
      <c r="Q21" s="58" t="s">
        <v>209</v>
      </c>
      <c r="R21" s="59" t="s">
        <v>210</v>
      </c>
      <c r="S21" s="59" t="s">
        <v>211</v>
      </c>
      <c r="T21" s="63" t="s">
        <v>212</v>
      </c>
    </row>
    <row r="22" spans="1:20" ht="17.25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25"/>
      <c r="I22" s="25">
        <f t="shared" si="2"/>
        <v>0</v>
      </c>
      <c r="J22" s="64">
        <f>IF(G22="","",K22/G22)/2</f>
        <v>0</v>
      </c>
      <c r="K22" s="48"/>
      <c r="M22" s="1">
        <f t="shared" ref="M22:M24" si="3">K22*7</f>
        <v>0</v>
      </c>
      <c r="N22" s="1" t="s">
        <v>256</v>
      </c>
      <c r="P22" s="83"/>
      <c r="Q22" s="58" t="s">
        <v>213</v>
      </c>
      <c r="R22" s="59" t="s">
        <v>214</v>
      </c>
      <c r="S22" s="59" t="s">
        <v>215</v>
      </c>
      <c r="T22" s="63" t="s">
        <v>216</v>
      </c>
    </row>
    <row r="23" spans="1:20" ht="17.25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25">
        <v>8</v>
      </c>
      <c r="I23" s="25">
        <f t="shared" si="2"/>
        <v>360</v>
      </c>
      <c r="J23" s="64">
        <f>IF(G23="","",K23/G23)/2</f>
        <v>0</v>
      </c>
      <c r="K23" s="48"/>
      <c r="M23" s="1">
        <f t="shared" si="3"/>
        <v>0</v>
      </c>
      <c r="N23" s="1" t="s">
        <v>256</v>
      </c>
      <c r="P23" s="84"/>
      <c r="Q23" s="58" t="s">
        <v>217</v>
      </c>
      <c r="R23" s="59" t="s">
        <v>218</v>
      </c>
      <c r="S23" s="59" t="s">
        <v>219</v>
      </c>
      <c r="T23" s="63" t="s">
        <v>220</v>
      </c>
    </row>
    <row r="24" spans="1:20" ht="17.25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25">
        <v>12</v>
      </c>
      <c r="I24" s="25">
        <f t="shared" si="2"/>
        <v>540</v>
      </c>
      <c r="J24" s="64">
        <f>IF(G24="","",K24/G24)/2</f>
        <v>0</v>
      </c>
      <c r="K24" s="48"/>
      <c r="L24"/>
      <c r="M24" s="1">
        <f t="shared" si="3"/>
        <v>0</v>
      </c>
      <c r="N24" s="1" t="s">
        <v>256</v>
      </c>
      <c r="P24" s="82" t="s">
        <v>221</v>
      </c>
      <c r="Q24" s="60" t="s">
        <v>222</v>
      </c>
      <c r="R24" s="59" t="s">
        <v>234</v>
      </c>
      <c r="S24" s="59" t="s">
        <v>235</v>
      </c>
      <c r="T24" s="59" t="s">
        <v>220</v>
      </c>
    </row>
    <row r="25" spans="1:20" ht="17.25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25">
        <v>2</v>
      </c>
      <c r="I25" s="25">
        <f t="shared" si="2"/>
        <v>90</v>
      </c>
      <c r="J25" s="64">
        <f>IF(G25="","",K25/G25)/2</f>
        <v>0</v>
      </c>
      <c r="K25" s="48"/>
      <c r="L25"/>
      <c r="N25" s="1" t="s">
        <v>256</v>
      </c>
      <c r="P25" s="83"/>
      <c r="Q25" s="60" t="s">
        <v>223</v>
      </c>
      <c r="R25" s="59" t="s">
        <v>234</v>
      </c>
      <c r="S25" s="59" t="s">
        <v>235</v>
      </c>
      <c r="T25" s="59" t="s">
        <v>220</v>
      </c>
    </row>
    <row r="26" spans="1:20" ht="17.25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25">
        <v>8</v>
      </c>
      <c r="I26" s="54">
        <f t="shared" ref="I26:I33" si="4">H26*G26</f>
        <v>768</v>
      </c>
      <c r="J26" s="64">
        <f t="shared" ref="J26:J37" si="5">IF(G26="","",K26/G26)</f>
        <v>18</v>
      </c>
      <c r="K26" s="48">
        <v>1728</v>
      </c>
      <c r="L26"/>
      <c r="P26" s="83"/>
      <c r="Q26" s="60" t="s">
        <v>224</v>
      </c>
      <c r="R26" s="59" t="s">
        <v>225</v>
      </c>
      <c r="S26" s="59" t="s">
        <v>226</v>
      </c>
      <c r="T26" s="59" t="s">
        <v>227</v>
      </c>
    </row>
    <row r="27" spans="1:20" ht="17.25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25"/>
      <c r="I27" s="54">
        <f t="shared" si="4"/>
        <v>0</v>
      </c>
      <c r="J27" s="64">
        <f t="shared" si="5"/>
        <v>0</v>
      </c>
      <c r="K27" s="48"/>
      <c r="L27"/>
      <c r="P27" s="84"/>
      <c r="Q27" s="60" t="s">
        <v>217</v>
      </c>
      <c r="R27" s="59" t="s">
        <v>228</v>
      </c>
      <c r="S27" s="59" t="s">
        <v>229</v>
      </c>
      <c r="T27" s="59" t="s">
        <v>230</v>
      </c>
    </row>
    <row r="28" spans="1:20" ht="17.25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81">
        <v>0.2</v>
      </c>
      <c r="I28" s="54">
        <f t="shared" si="4"/>
        <v>8.4</v>
      </c>
      <c r="J28" s="64">
        <f t="shared" si="5"/>
        <v>1</v>
      </c>
      <c r="K28" s="48">
        <v>42</v>
      </c>
      <c r="L28"/>
      <c r="P28" s="55"/>
      <c r="Q28" s="55"/>
      <c r="R28" s="61" t="s">
        <v>231</v>
      </c>
      <c r="S28" s="59" t="s">
        <v>232</v>
      </c>
      <c r="T28" s="59" t="s">
        <v>233</v>
      </c>
    </row>
    <row r="29" spans="1:20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25"/>
      <c r="I29" s="54">
        <f t="shared" si="4"/>
        <v>0</v>
      </c>
      <c r="J29" s="64">
        <f t="shared" si="5"/>
        <v>0</v>
      </c>
      <c r="K29" s="48"/>
      <c r="L29"/>
      <c r="P29" s="1"/>
    </row>
    <row r="30" spans="1:20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75">
        <v>3333</v>
      </c>
      <c r="P30" s="1"/>
    </row>
    <row r="31" spans="1:20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75">
        <v>3333</v>
      </c>
      <c r="P31" s="1"/>
    </row>
    <row r="32" spans="1:20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75">
        <v>600</v>
      </c>
      <c r="P32" s="1"/>
    </row>
    <row r="33" spans="1:16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75">
        <v>600</v>
      </c>
      <c r="P33" s="1"/>
    </row>
    <row r="34" spans="1:16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78"/>
      <c r="I34" s="78">
        <f t="shared" ref="I34:I37" si="6">H34*G34</f>
        <v>0</v>
      </c>
      <c r="J34" s="79">
        <f t="shared" si="5"/>
        <v>1</v>
      </c>
      <c r="K34" s="80">
        <v>143</v>
      </c>
      <c r="L34"/>
      <c r="N34" s="75" t="s">
        <v>248</v>
      </c>
      <c r="O34" s="77" t="s">
        <v>255</v>
      </c>
      <c r="P34" s="1"/>
    </row>
    <row r="35" spans="1:16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78"/>
      <c r="I35" s="78">
        <f t="shared" si="6"/>
        <v>0</v>
      </c>
      <c r="J35" s="79">
        <f t="shared" si="5"/>
        <v>1</v>
      </c>
      <c r="K35" s="80">
        <v>143</v>
      </c>
      <c r="L35"/>
      <c r="N35" s="75" t="s">
        <v>248</v>
      </c>
      <c r="O35" s="77" t="s">
        <v>255</v>
      </c>
      <c r="P35" s="1"/>
    </row>
    <row r="36" spans="1:16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78"/>
      <c r="I36" s="78">
        <f t="shared" si="6"/>
        <v>0</v>
      </c>
      <c r="J36" s="79">
        <f t="shared" si="5"/>
        <v>1</v>
      </c>
      <c r="K36" s="80">
        <v>143</v>
      </c>
      <c r="L36"/>
      <c r="N36" s="75" t="s">
        <v>248</v>
      </c>
      <c r="O36" s="77" t="s">
        <v>255</v>
      </c>
      <c r="P36" s="1"/>
    </row>
    <row r="37" spans="1:16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78"/>
      <c r="I37" s="78">
        <f t="shared" si="6"/>
        <v>0</v>
      </c>
      <c r="J37" s="79">
        <f t="shared" si="5"/>
        <v>1</v>
      </c>
      <c r="K37" s="80">
        <v>143</v>
      </c>
      <c r="L37"/>
      <c r="N37" s="75" t="s">
        <v>248</v>
      </c>
      <c r="O37" s="77" t="s">
        <v>255</v>
      </c>
      <c r="P37" s="1"/>
    </row>
    <row r="38" spans="1:16">
      <c r="A38" s="8"/>
      <c r="B38" s="3"/>
      <c r="C38" s="3"/>
      <c r="D38" s="3"/>
      <c r="E38" s="3"/>
      <c r="F38" s="3"/>
      <c r="G38" s="3"/>
      <c r="J38" s="51"/>
      <c r="K38" s="3"/>
      <c r="P38" s="1"/>
    </row>
    <row r="39" spans="1:16">
      <c r="A39" s="8"/>
      <c r="B39" s="8"/>
      <c r="C39" s="3"/>
      <c r="J39" s="8" t="s">
        <v>19</v>
      </c>
      <c r="K39" s="3"/>
      <c r="P39" s="1"/>
    </row>
    <row r="40" spans="1:16">
      <c r="A40" s="8"/>
      <c r="B40" s="8"/>
      <c r="C40" s="3"/>
      <c r="J40" s="8" t="s">
        <v>20</v>
      </c>
      <c r="K40" s="26"/>
    </row>
    <row r="41" spans="1:16">
      <c r="A41" s="11"/>
      <c r="B41" s="11"/>
    </row>
    <row r="43" spans="1:16">
      <c r="A43"/>
      <c r="B43"/>
      <c r="C43"/>
      <c r="D43"/>
      <c r="E43"/>
      <c r="F43"/>
      <c r="G43"/>
      <c r="H43"/>
      <c r="I43"/>
      <c r="J43" s="21"/>
    </row>
    <row r="44" spans="1:16">
      <c r="A44"/>
      <c r="B44"/>
      <c r="C44"/>
      <c r="D44"/>
      <c r="E44"/>
      <c r="F44"/>
      <c r="G44"/>
      <c r="H44"/>
      <c r="I44"/>
      <c r="J44" s="21"/>
    </row>
    <row r="45" spans="1:16">
      <c r="A45"/>
      <c r="B45"/>
      <c r="C45"/>
      <c r="D45"/>
      <c r="E45"/>
      <c r="F45"/>
      <c r="G45"/>
      <c r="H45"/>
      <c r="I45"/>
      <c r="J45" s="21"/>
    </row>
    <row r="46" spans="1:16">
      <c r="A46"/>
      <c r="B46"/>
      <c r="C46"/>
      <c r="D46"/>
      <c r="E46"/>
      <c r="F46"/>
      <c r="G46"/>
      <c r="H46"/>
      <c r="I46"/>
      <c r="J46" s="21"/>
    </row>
    <row r="47" spans="1:16">
      <c r="A47"/>
      <c r="B47"/>
      <c r="C47"/>
      <c r="D47"/>
      <c r="E47"/>
      <c r="F47"/>
      <c r="G47"/>
      <c r="H47"/>
      <c r="I47"/>
      <c r="J47" s="21"/>
    </row>
    <row r="48" spans="1:16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P19:P23"/>
    <mergeCell ref="P24:P27"/>
  </mergeCells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5" t="s">
        <v>28</v>
      </c>
      <c r="B3" s="86"/>
      <c r="D3" s="87" t="s">
        <v>152</v>
      </c>
      <c r="E3" s="88"/>
      <c r="F3" s="88"/>
      <c r="G3" s="88"/>
      <c r="H3" s="89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253</v>
      </c>
      <c r="B47" s="32" t="s">
        <v>254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2026-01-30T07:42:11Z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
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00\Nutricia\99. Sales\이지혜\4. 기타업무\"/>
    </mc:Choice>
  </mc:AlternateContent>
  <xr:revisionPtr revIDLastSave="0" documentId="13_ncr:1_{F0EEF12D-E4AF-422C-A303-9AF683E133E2}" xr6:coauthVersionLast="47" xr6:coauthVersionMax="47" xr10:uidLastSave="{00000000-0000-0000-0000-000000000000}"/>
  <bookViews>
    <workbookView xWindow="-120" yWindow="-120" windowWidth="29040" windowHeight="15720" activeTab="1" xr2:uid="{2292199C-D9AF-48C1-AB39-7F9D5874E43F}"/>
  </bookViews>
  <sheets>
    <sheet name="Overview_KRONE" sheetId="6" r:id="rId1"/>
    <sheet name="KRONE" sheetId="1" r:id="rId2"/>
    <sheet name="Sheet3" sheetId="7" r:id="rId3"/>
    <sheet name="Sheet2" sheetId="2" r:id="rId4"/>
    <sheet name="Sheet1" sheetId="3" r:id="rId5"/>
    <sheet name=" original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O39" i="1"/>
  <c r="V20" i="2"/>
  <c r="U20" i="2"/>
  <c r="T20" i="2"/>
  <c r="S20" i="2"/>
  <c r="R20" i="2"/>
  <c r="Q20" i="2"/>
  <c r="P20" i="2"/>
  <c r="O20" i="2"/>
  <c r="N20" i="2"/>
  <c r="M20" i="2"/>
  <c r="L20" i="2"/>
  <c r="J31" i="3" l="1"/>
  <c r="C5" i="3"/>
  <c r="D5" i="3" s="1"/>
  <c r="E5" i="3" s="1"/>
  <c r="F5" i="3" s="1"/>
  <c r="G5" i="3" s="1"/>
  <c r="H5" i="3" s="1"/>
  <c r="I5" i="3" s="1"/>
  <c r="J5" i="3" s="1"/>
  <c r="K5" i="3" s="1"/>
  <c r="L5" i="3" s="1"/>
  <c r="M5" i="3" s="1"/>
  <c r="C7" i="3"/>
  <c r="D7" i="3" s="1"/>
  <c r="E7" i="3" s="1"/>
  <c r="F7" i="3" s="1"/>
  <c r="G7" i="3" s="1"/>
  <c r="H7" i="3" s="1"/>
  <c r="I7" i="3" s="1"/>
  <c r="J7" i="3" s="1"/>
  <c r="K7" i="3" s="1"/>
  <c r="L7" i="3" s="1"/>
  <c r="M7" i="3" s="1"/>
  <c r="C9" i="3"/>
  <c r="D9" i="3" s="1"/>
  <c r="E9" i="3" s="1"/>
  <c r="F9" i="3" s="1"/>
  <c r="G9" i="3" s="1"/>
  <c r="H9" i="3" s="1"/>
  <c r="I9" i="3" s="1"/>
  <c r="J9" i="3" s="1"/>
  <c r="K9" i="3" s="1"/>
  <c r="L9" i="3" s="1"/>
  <c r="M9" i="3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C13" i="3"/>
  <c r="D13" i="3"/>
  <c r="E13" i="3"/>
  <c r="F13" i="3"/>
  <c r="G13" i="3" s="1"/>
  <c r="H13" i="3" s="1"/>
  <c r="I13" i="3" s="1"/>
  <c r="J13" i="3" s="1"/>
  <c r="K13" i="3" s="1"/>
  <c r="L13" i="3" s="1"/>
  <c r="M13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C17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D31" i="5"/>
  <c r="E31" i="5" s="1"/>
  <c r="F31" i="5" s="1"/>
  <c r="G31" i="5" s="1"/>
  <c r="H31" i="5" s="1"/>
  <c r="I31" i="5" s="1"/>
  <c r="J31" i="5" s="1"/>
  <c r="K31" i="5" s="1"/>
  <c r="L31" i="5" s="1"/>
  <c r="M31" i="5" s="1"/>
  <c r="C31" i="5"/>
  <c r="D29" i="5"/>
  <c r="E29" i="5" s="1"/>
  <c r="F29" i="5" s="1"/>
  <c r="G29" i="5" s="1"/>
  <c r="H29" i="5" s="1"/>
  <c r="I29" i="5" s="1"/>
  <c r="J29" i="5" s="1"/>
  <c r="K29" i="5" s="1"/>
  <c r="L29" i="5" s="1"/>
  <c r="M29" i="5" s="1"/>
  <c r="C29" i="5"/>
  <c r="E27" i="5"/>
  <c r="F27" i="5" s="1"/>
  <c r="G27" i="5" s="1"/>
  <c r="H27" i="5" s="1"/>
  <c r="I27" i="5" s="1"/>
  <c r="J27" i="5" s="1"/>
  <c r="K27" i="5" s="1"/>
  <c r="L27" i="5" s="1"/>
  <c r="M27" i="5" s="1"/>
  <c r="D27" i="5"/>
  <c r="C27" i="5"/>
  <c r="E25" i="5"/>
  <c r="F25" i="5" s="1"/>
  <c r="G25" i="5" s="1"/>
  <c r="H25" i="5" s="1"/>
  <c r="I25" i="5" s="1"/>
  <c r="J25" i="5" s="1"/>
  <c r="K25" i="5" s="1"/>
  <c r="L25" i="5" s="1"/>
  <c r="M25" i="5" s="1"/>
  <c r="D25" i="5"/>
  <c r="C25" i="5"/>
  <c r="E23" i="5"/>
  <c r="F23" i="5" s="1"/>
  <c r="G23" i="5" s="1"/>
  <c r="H23" i="5" s="1"/>
  <c r="I23" i="5" s="1"/>
  <c r="J23" i="5" s="1"/>
  <c r="K23" i="5" s="1"/>
  <c r="L23" i="5" s="1"/>
  <c r="M23" i="5" s="1"/>
  <c r="D23" i="5"/>
  <c r="C23" i="5"/>
  <c r="D21" i="5"/>
  <c r="E21" i="5" s="1"/>
  <c r="F21" i="5" s="1"/>
  <c r="G21" i="5" s="1"/>
  <c r="H21" i="5" s="1"/>
  <c r="I21" i="5" s="1"/>
  <c r="J21" i="5" s="1"/>
  <c r="K21" i="5" s="1"/>
  <c r="L21" i="5" s="1"/>
  <c r="M21" i="5" s="1"/>
  <c r="C21" i="5"/>
  <c r="D19" i="5"/>
  <c r="E19" i="5" s="1"/>
  <c r="F19" i="5" s="1"/>
  <c r="G19" i="5" s="1"/>
  <c r="H19" i="5" s="1"/>
  <c r="I19" i="5" s="1"/>
  <c r="J19" i="5" s="1"/>
  <c r="K19" i="5" s="1"/>
  <c r="L19" i="5" s="1"/>
  <c r="M19" i="5" s="1"/>
  <c r="C19" i="5"/>
  <c r="D17" i="5"/>
  <c r="E17" i="5" s="1"/>
  <c r="F17" i="5" s="1"/>
  <c r="G17" i="5" s="1"/>
  <c r="H17" i="5" s="1"/>
  <c r="I17" i="5" s="1"/>
  <c r="J17" i="5" s="1"/>
  <c r="K17" i="5" s="1"/>
  <c r="L17" i="5" s="1"/>
  <c r="M17" i="5" s="1"/>
  <c r="C17" i="5"/>
  <c r="E15" i="5"/>
  <c r="F15" i="5" s="1"/>
  <c r="G15" i="5" s="1"/>
  <c r="H15" i="5" s="1"/>
  <c r="I15" i="5" s="1"/>
  <c r="J15" i="5" s="1"/>
  <c r="K15" i="5" s="1"/>
  <c r="L15" i="5" s="1"/>
  <c r="M15" i="5" s="1"/>
  <c r="D15" i="5"/>
  <c r="C15" i="5"/>
  <c r="D13" i="5"/>
  <c r="E13" i="5" s="1"/>
  <c r="F13" i="5" s="1"/>
  <c r="G13" i="5" s="1"/>
  <c r="H13" i="5" s="1"/>
  <c r="I13" i="5" s="1"/>
  <c r="J13" i="5" s="1"/>
  <c r="K13" i="5" s="1"/>
  <c r="L13" i="5" s="1"/>
  <c r="M13" i="5" s="1"/>
  <c r="C13" i="5"/>
  <c r="E11" i="5"/>
  <c r="F11" i="5" s="1"/>
  <c r="G11" i="5" s="1"/>
  <c r="H11" i="5" s="1"/>
  <c r="I11" i="5" s="1"/>
  <c r="J11" i="5" s="1"/>
  <c r="K11" i="5" s="1"/>
  <c r="L11" i="5" s="1"/>
  <c r="M11" i="5" s="1"/>
  <c r="D11" i="5"/>
  <c r="C11" i="5"/>
  <c r="D9" i="5"/>
  <c r="E9" i="5" s="1"/>
  <c r="F9" i="5" s="1"/>
  <c r="G9" i="5" s="1"/>
  <c r="H9" i="5" s="1"/>
  <c r="I9" i="5" s="1"/>
  <c r="J9" i="5" s="1"/>
  <c r="K9" i="5" s="1"/>
  <c r="L9" i="5" s="1"/>
  <c r="M9" i="5" s="1"/>
  <c r="C9" i="5"/>
  <c r="E7" i="5"/>
  <c r="F7" i="5" s="1"/>
  <c r="G7" i="5" s="1"/>
  <c r="H7" i="5" s="1"/>
  <c r="I7" i="5" s="1"/>
  <c r="J7" i="5" s="1"/>
  <c r="K7" i="5" s="1"/>
  <c r="L7" i="5" s="1"/>
  <c r="M7" i="5" s="1"/>
  <c r="D7" i="5"/>
  <c r="C7" i="5"/>
  <c r="F5" i="5"/>
  <c r="G5" i="5" s="1"/>
  <c r="H5" i="5" s="1"/>
  <c r="I5" i="5" s="1"/>
  <c r="J5" i="5" s="1"/>
  <c r="K5" i="5" s="1"/>
  <c r="L5" i="5" s="1"/>
  <c r="M5" i="5" s="1"/>
  <c r="E5" i="5"/>
  <c r="D5" i="5"/>
  <c r="C5" i="5"/>
  <c r="E3" i="5"/>
  <c r="F3" i="5" s="1"/>
  <c r="G3" i="5" s="1"/>
  <c r="H3" i="5" s="1"/>
  <c r="I3" i="5" s="1"/>
  <c r="J3" i="5" s="1"/>
  <c r="K3" i="5" s="1"/>
  <c r="L3" i="5" s="1"/>
  <c r="M3" i="5" s="1"/>
  <c r="D3" i="5"/>
  <c r="C3" i="5"/>
  <c r="R12" i="2" l="1"/>
  <c r="J31" i="1" s="1"/>
  <c r="Q12" i="2"/>
  <c r="I31" i="1" s="1"/>
  <c r="P12" i="2"/>
  <c r="H31" i="1" s="1"/>
  <c r="O12" i="2"/>
  <c r="G31" i="1" s="1"/>
  <c r="N12" i="2"/>
  <c r="F31" i="1" s="1"/>
  <c r="M12" i="2"/>
  <c r="E31" i="1" s="1"/>
  <c r="R11" i="2"/>
  <c r="J30" i="1" s="1"/>
  <c r="Q11" i="2"/>
  <c r="I30" i="1" s="1"/>
  <c r="P11" i="2"/>
  <c r="H30" i="1" s="1"/>
  <c r="O11" i="2"/>
  <c r="G30" i="1" s="1"/>
  <c r="N11" i="2"/>
  <c r="F30" i="1" s="1"/>
  <c r="M11" i="2"/>
  <c r="E30" i="1" s="1"/>
  <c r="V10" i="2"/>
  <c r="N29" i="1" s="1"/>
  <c r="U10" i="2"/>
  <c r="M29" i="1" s="1"/>
  <c r="T10" i="2"/>
  <c r="L29" i="1" s="1"/>
  <c r="S10" i="2"/>
  <c r="K29" i="1" s="1"/>
  <c r="R10" i="2"/>
  <c r="J29" i="1" s="1"/>
  <c r="Q10" i="2"/>
  <c r="I29" i="1" s="1"/>
  <c r="P10" i="2"/>
  <c r="H29" i="1" s="1"/>
  <c r="O10" i="2"/>
  <c r="G29" i="1" s="1"/>
  <c r="N10" i="2"/>
  <c r="F29" i="1" s="1"/>
  <c r="M10" i="2"/>
  <c r="E29" i="1" s="1"/>
  <c r="V9" i="2"/>
  <c r="N28" i="1" s="1"/>
  <c r="U9" i="2"/>
  <c r="M28" i="1" s="1"/>
  <c r="T9" i="2"/>
  <c r="L28" i="1" s="1"/>
  <c r="S9" i="2"/>
  <c r="K28" i="1" s="1"/>
  <c r="R9" i="2"/>
  <c r="J28" i="1" s="1"/>
  <c r="Q9" i="2"/>
  <c r="I28" i="1" s="1"/>
  <c r="P9" i="2"/>
  <c r="H28" i="1" s="1"/>
  <c r="O9" i="2"/>
  <c r="G28" i="1" s="1"/>
  <c r="N9" i="2"/>
  <c r="F28" i="1" s="1"/>
  <c r="M9" i="2"/>
  <c r="E28" i="1" s="1"/>
  <c r="V8" i="2"/>
  <c r="N27" i="1" s="1"/>
  <c r="U8" i="2"/>
  <c r="M27" i="1" s="1"/>
  <c r="T8" i="2"/>
  <c r="L27" i="1" s="1"/>
  <c r="S8" i="2"/>
  <c r="K27" i="1" s="1"/>
  <c r="R8" i="2"/>
  <c r="J27" i="1" s="1"/>
  <c r="Q8" i="2"/>
  <c r="I27" i="1" s="1"/>
  <c r="P8" i="2"/>
  <c r="H27" i="1" s="1"/>
  <c r="O8" i="2"/>
  <c r="G27" i="1" s="1"/>
  <c r="N8" i="2"/>
  <c r="F27" i="1" s="1"/>
  <c r="M8" i="2"/>
  <c r="E27" i="1" s="1"/>
  <c r="V7" i="2"/>
  <c r="N26" i="1" s="1"/>
  <c r="U7" i="2"/>
  <c r="M26" i="1" s="1"/>
  <c r="T7" i="2"/>
  <c r="L26" i="1" s="1"/>
  <c r="S7" i="2"/>
  <c r="K26" i="1" s="1"/>
  <c r="R7" i="2"/>
  <c r="J26" i="1" s="1"/>
  <c r="Q7" i="2"/>
  <c r="I26" i="1" s="1"/>
  <c r="P7" i="2"/>
  <c r="H26" i="1" s="1"/>
  <c r="O7" i="2"/>
  <c r="G26" i="1" s="1"/>
  <c r="N7" i="2"/>
  <c r="F26" i="1" s="1"/>
  <c r="M7" i="2"/>
  <c r="E26" i="1" s="1"/>
  <c r="V6" i="2"/>
  <c r="N25" i="1" s="1"/>
  <c r="U6" i="2"/>
  <c r="M25" i="1" s="1"/>
  <c r="T6" i="2"/>
  <c r="L25" i="1" s="1"/>
  <c r="S6" i="2"/>
  <c r="K25" i="1" s="1"/>
  <c r="R6" i="2"/>
  <c r="J25" i="1" s="1"/>
  <c r="Q6" i="2"/>
  <c r="I25" i="1" s="1"/>
  <c r="P6" i="2"/>
  <c r="H25" i="1" s="1"/>
  <c r="O6" i="2"/>
  <c r="G25" i="1" s="1"/>
  <c r="N6" i="2"/>
  <c r="F25" i="1" s="1"/>
  <c r="M6" i="2"/>
  <c r="E25" i="1" s="1"/>
  <c r="L12" i="2"/>
  <c r="L11" i="2"/>
  <c r="L10" i="2"/>
  <c r="L9" i="2"/>
  <c r="L8" i="2"/>
  <c r="L7" i="2"/>
  <c r="L6" i="2"/>
  <c r="C31" i="3"/>
  <c r="D31" i="3" s="1"/>
  <c r="E31" i="3" s="1"/>
  <c r="F31" i="3" s="1"/>
  <c r="G31" i="3" s="1"/>
  <c r="H31" i="3" s="1"/>
  <c r="I31" i="3" s="1"/>
  <c r="K31" i="3" s="1"/>
  <c r="L31" i="3" s="1"/>
  <c r="M31" i="3" s="1"/>
  <c r="V19" i="2" s="1"/>
  <c r="N38" i="1" s="1"/>
  <c r="C29" i="3"/>
  <c r="D29" i="3" s="1"/>
  <c r="E29" i="3" s="1"/>
  <c r="F29" i="3" s="1"/>
  <c r="G29" i="3" s="1"/>
  <c r="H29" i="3" s="1"/>
  <c r="I29" i="3" s="1"/>
  <c r="J29" i="3" s="1"/>
  <c r="K29" i="3" s="1"/>
  <c r="L29" i="3" s="1"/>
  <c r="M29" i="3" s="1"/>
  <c r="V18" i="2" s="1"/>
  <c r="N37" i="1" s="1"/>
  <c r="C27" i="3"/>
  <c r="D27" i="3" s="1"/>
  <c r="E27" i="3" s="1"/>
  <c r="F27" i="3" s="1"/>
  <c r="G27" i="3" s="1"/>
  <c r="H27" i="3" s="1"/>
  <c r="I27" i="3" s="1"/>
  <c r="J27" i="3" s="1"/>
  <c r="K27" i="3" s="1"/>
  <c r="L27" i="3" s="1"/>
  <c r="M27" i="3" s="1"/>
  <c r="V17" i="2" s="1"/>
  <c r="N36" i="1" s="1"/>
  <c r="C25" i="3"/>
  <c r="D25" i="3" s="1"/>
  <c r="E25" i="3" s="1"/>
  <c r="F25" i="3" s="1"/>
  <c r="G25" i="3" s="1"/>
  <c r="H25" i="3" s="1"/>
  <c r="I25" i="3" s="1"/>
  <c r="J25" i="3" s="1"/>
  <c r="K25" i="3" s="1"/>
  <c r="L25" i="3" s="1"/>
  <c r="M25" i="3" s="1"/>
  <c r="V16" i="2" s="1"/>
  <c r="N35" i="1" s="1"/>
  <c r="C23" i="3"/>
  <c r="D23" i="3" s="1"/>
  <c r="E23" i="3" s="1"/>
  <c r="F23" i="3" s="1"/>
  <c r="G23" i="3" s="1"/>
  <c r="H23" i="3" s="1"/>
  <c r="I23" i="3" s="1"/>
  <c r="J23" i="3" s="1"/>
  <c r="K23" i="3" s="1"/>
  <c r="L23" i="3" s="1"/>
  <c r="M23" i="3" s="1"/>
  <c r="V15" i="2" s="1"/>
  <c r="N34" i="1" s="1"/>
  <c r="C21" i="3"/>
  <c r="D21" i="3" s="1"/>
  <c r="E21" i="3" s="1"/>
  <c r="F21" i="3" s="1"/>
  <c r="G21" i="3" s="1"/>
  <c r="H21" i="3" s="1"/>
  <c r="I21" i="3" s="1"/>
  <c r="J21" i="3" s="1"/>
  <c r="K21" i="3" s="1"/>
  <c r="L21" i="3" s="1"/>
  <c r="M21" i="3" s="1"/>
  <c r="V14" i="2" s="1"/>
  <c r="N33" i="1" s="1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V13" i="2" s="1"/>
  <c r="N32" i="1" s="1"/>
  <c r="V12" i="2"/>
  <c r="N31" i="1" s="1"/>
  <c r="V11" i="2"/>
  <c r="N30" i="1" s="1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V5" i="2" s="1"/>
  <c r="N24" i="1" s="1"/>
  <c r="Q15" i="2" l="1"/>
  <c r="I34" i="1" s="1"/>
  <c r="P15" i="2"/>
  <c r="H34" i="1" s="1"/>
  <c r="S15" i="2"/>
  <c r="K34" i="1" s="1"/>
  <c r="R15" i="2"/>
  <c r="J34" i="1" s="1"/>
  <c r="T15" i="2"/>
  <c r="L34" i="1" s="1"/>
  <c r="M15" i="2"/>
  <c r="E34" i="1" s="1"/>
  <c r="U15" i="2"/>
  <c r="M34" i="1" s="1"/>
  <c r="L15" i="2"/>
  <c r="N15" i="2"/>
  <c r="F34" i="1" s="1"/>
  <c r="O15" i="2"/>
  <c r="G34" i="1" s="1"/>
  <c r="R14" i="2"/>
  <c r="J33" i="1" s="1"/>
  <c r="S14" i="2"/>
  <c r="K33" i="1" s="1"/>
  <c r="T14" i="2"/>
  <c r="L33" i="1" s="1"/>
  <c r="L14" i="2"/>
  <c r="M14" i="2"/>
  <c r="E33" i="1" s="1"/>
  <c r="U14" i="2"/>
  <c r="M33" i="1" s="1"/>
  <c r="N14" i="2"/>
  <c r="F33" i="1" s="1"/>
  <c r="O14" i="2"/>
  <c r="G33" i="1" s="1"/>
  <c r="P14" i="2"/>
  <c r="H33" i="1" s="1"/>
  <c r="Q14" i="2"/>
  <c r="I33" i="1" s="1"/>
  <c r="M13" i="2"/>
  <c r="E32" i="1" s="1"/>
  <c r="U13" i="2"/>
  <c r="M32" i="1" s="1"/>
  <c r="N13" i="2"/>
  <c r="F32" i="1" s="1"/>
  <c r="T13" i="2"/>
  <c r="L32" i="1" s="1"/>
  <c r="O13" i="2"/>
  <c r="G32" i="1" s="1"/>
  <c r="P13" i="2"/>
  <c r="H32" i="1" s="1"/>
  <c r="Q13" i="2"/>
  <c r="I32" i="1" s="1"/>
  <c r="L13" i="2"/>
  <c r="R13" i="2"/>
  <c r="J32" i="1" s="1"/>
  <c r="S13" i="2"/>
  <c r="K32" i="1" s="1"/>
  <c r="D25" i="1"/>
  <c r="D26" i="1"/>
  <c r="D27" i="1"/>
  <c r="D28" i="1"/>
  <c r="D29" i="1"/>
  <c r="D30" i="1"/>
  <c r="D31" i="1"/>
  <c r="M5" i="2"/>
  <c r="E24" i="1" s="1"/>
  <c r="U5" i="2"/>
  <c r="M24" i="1" s="1"/>
  <c r="N5" i="2"/>
  <c r="F24" i="1" s="1"/>
  <c r="O5" i="2"/>
  <c r="G24" i="1" s="1"/>
  <c r="T5" i="2"/>
  <c r="L24" i="1" s="1"/>
  <c r="P5" i="2"/>
  <c r="H24" i="1" s="1"/>
  <c r="Q5" i="2"/>
  <c r="I24" i="1" s="1"/>
  <c r="L5" i="2"/>
  <c r="R5" i="2"/>
  <c r="J24" i="1" s="1"/>
  <c r="S5" i="2"/>
  <c r="K24" i="1" s="1"/>
  <c r="T11" i="2"/>
  <c r="L30" i="1" s="1"/>
  <c r="U11" i="2"/>
  <c r="M30" i="1" s="1"/>
  <c r="S11" i="2"/>
  <c r="K30" i="1" s="1"/>
  <c r="U12" i="2"/>
  <c r="M31" i="1" s="1"/>
  <c r="S12" i="2"/>
  <c r="K31" i="1" s="1"/>
  <c r="T12" i="2"/>
  <c r="L31" i="1" s="1"/>
  <c r="T19" i="2"/>
  <c r="L38" i="1" s="1"/>
  <c r="S19" i="2"/>
  <c r="K38" i="1" s="1"/>
  <c r="M19" i="2"/>
  <c r="E38" i="1" s="1"/>
  <c r="U19" i="2"/>
  <c r="M38" i="1" s="1"/>
  <c r="L19" i="2"/>
  <c r="N19" i="2"/>
  <c r="F38" i="1" s="1"/>
  <c r="O19" i="2"/>
  <c r="G38" i="1" s="1"/>
  <c r="P19" i="2"/>
  <c r="H38" i="1" s="1"/>
  <c r="Q19" i="2"/>
  <c r="I38" i="1" s="1"/>
  <c r="R19" i="2"/>
  <c r="J38" i="1" s="1"/>
  <c r="P18" i="2"/>
  <c r="H37" i="1" s="1"/>
  <c r="R18" i="2"/>
  <c r="J37" i="1" s="1"/>
  <c r="S18" i="2"/>
  <c r="K37" i="1" s="1"/>
  <c r="T18" i="2"/>
  <c r="L37" i="1" s="1"/>
  <c r="L18" i="2"/>
  <c r="M18" i="2"/>
  <c r="E37" i="1" s="1"/>
  <c r="U18" i="2"/>
  <c r="M37" i="1" s="1"/>
  <c r="N18" i="2"/>
  <c r="F37" i="1" s="1"/>
  <c r="Q18" i="2"/>
  <c r="I37" i="1" s="1"/>
  <c r="O18" i="2"/>
  <c r="G37" i="1" s="1"/>
  <c r="M17" i="2"/>
  <c r="E36" i="1" s="1"/>
  <c r="U17" i="2"/>
  <c r="M36" i="1" s="1"/>
  <c r="O17" i="2"/>
  <c r="G36" i="1" s="1"/>
  <c r="N17" i="2"/>
  <c r="F36" i="1" s="1"/>
  <c r="P17" i="2"/>
  <c r="H36" i="1" s="1"/>
  <c r="Q17" i="2"/>
  <c r="I36" i="1" s="1"/>
  <c r="R17" i="2"/>
  <c r="J36" i="1" s="1"/>
  <c r="S17" i="2"/>
  <c r="K36" i="1" s="1"/>
  <c r="L17" i="2"/>
  <c r="T17" i="2"/>
  <c r="L36" i="1" s="1"/>
  <c r="M16" i="2"/>
  <c r="E35" i="1" s="1"/>
  <c r="U16" i="2"/>
  <c r="M35" i="1" s="1"/>
  <c r="N16" i="2"/>
  <c r="F35" i="1" s="1"/>
  <c r="O16" i="2"/>
  <c r="G35" i="1" s="1"/>
  <c r="P16" i="2"/>
  <c r="H35" i="1" s="1"/>
  <c r="Q16" i="2"/>
  <c r="I35" i="1" s="1"/>
  <c r="R16" i="2"/>
  <c r="J35" i="1" s="1"/>
  <c r="L16" i="2"/>
  <c r="S16" i="2"/>
  <c r="K35" i="1" s="1"/>
  <c r="T16" i="2"/>
  <c r="L35" i="1" s="1"/>
  <c r="X8" i="2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11" i="1" l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D10" i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D9" i="1"/>
  <c r="E9" i="1" s="1"/>
  <c r="F9" i="1" s="1"/>
  <c r="G9" i="1" s="1"/>
  <c r="H9" i="1" s="1"/>
  <c r="I9" i="1" s="1"/>
  <c r="J9" i="1" s="1"/>
  <c r="K9" i="1" s="1"/>
  <c r="L9" i="1" s="1"/>
  <c r="M9" i="1" s="1"/>
  <c r="N9" i="1" s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D3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D37" i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D36" i="1"/>
  <c r="D16" i="1" s="1"/>
  <c r="D35" i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D34" i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D3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D32" i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D24" i="1"/>
  <c r="E4" i="1" s="1"/>
  <c r="C19" i="1"/>
  <c r="C3" i="6" s="1"/>
  <c r="N60" i="1"/>
  <c r="M60" i="1"/>
  <c r="L60" i="1"/>
  <c r="K60" i="1"/>
  <c r="J60" i="1"/>
  <c r="I60" i="1"/>
  <c r="H60" i="1"/>
  <c r="G60" i="1"/>
  <c r="F60" i="1"/>
  <c r="E60" i="1"/>
  <c r="D60" i="1"/>
  <c r="C60" i="1"/>
  <c r="N39" i="1"/>
  <c r="M39" i="1"/>
  <c r="L39" i="1"/>
  <c r="K39" i="1"/>
  <c r="J39" i="1"/>
  <c r="I39" i="1"/>
  <c r="H39" i="1"/>
  <c r="G39" i="1"/>
  <c r="F39" i="1"/>
  <c r="E39" i="1"/>
  <c r="C39" i="1"/>
  <c r="H41" i="1" l="1"/>
  <c r="H40" i="1"/>
  <c r="H8" i="6"/>
  <c r="H10" i="6" s="1"/>
  <c r="J41" i="1"/>
  <c r="J40" i="1"/>
  <c r="J8" i="6"/>
  <c r="J10" i="6" s="1"/>
  <c r="I41" i="1"/>
  <c r="I40" i="1"/>
  <c r="I8" i="6"/>
  <c r="I10" i="6" s="1"/>
  <c r="L41" i="1"/>
  <c r="L40" i="1"/>
  <c r="L8" i="6"/>
  <c r="L10" i="6" s="1"/>
  <c r="G41" i="1"/>
  <c r="G40" i="1"/>
  <c r="G8" i="6"/>
  <c r="G10" i="6" s="1"/>
  <c r="M41" i="1"/>
  <c r="M8" i="6"/>
  <c r="M10" i="6" s="1"/>
  <c r="M40" i="1"/>
  <c r="K41" i="1"/>
  <c r="K8" i="6"/>
  <c r="K10" i="6" s="1"/>
  <c r="K40" i="1"/>
  <c r="N41" i="1"/>
  <c r="N8" i="6"/>
  <c r="N10" i="6" s="1"/>
  <c r="N40" i="1"/>
  <c r="C41" i="1"/>
  <c r="C8" i="6"/>
  <c r="C10" i="6" s="1"/>
  <c r="E41" i="1"/>
  <c r="E8" i="6"/>
  <c r="E10" i="6" s="1"/>
  <c r="F41" i="1"/>
  <c r="F40" i="1"/>
  <c r="F8" i="6"/>
  <c r="F10" i="6" s="1"/>
  <c r="D39" i="1"/>
  <c r="E16" i="1"/>
  <c r="F16" i="1" s="1"/>
  <c r="G16" i="1" s="1"/>
  <c r="H16" i="1" s="1"/>
  <c r="I16" i="1" s="1"/>
  <c r="J16" i="1" s="1"/>
  <c r="K16" i="1" s="1"/>
  <c r="L16" i="1" s="1"/>
  <c r="M16" i="1" s="1"/>
  <c r="N16" i="1" s="1"/>
  <c r="D19" i="1"/>
  <c r="D3" i="6" s="1"/>
  <c r="F4" i="1"/>
  <c r="H20" i="2"/>
  <c r="N15" i="6" l="1"/>
  <c r="N11" i="6"/>
  <c r="D41" i="1"/>
  <c r="D40" i="1"/>
  <c r="D8" i="6"/>
  <c r="D10" i="6" s="1"/>
  <c r="I15" i="6"/>
  <c r="K19" i="6"/>
  <c r="I11" i="6"/>
  <c r="F15" i="6"/>
  <c r="H19" i="6"/>
  <c r="F11" i="6"/>
  <c r="M15" i="6"/>
  <c r="M11" i="6"/>
  <c r="J11" i="6"/>
  <c r="J15" i="6"/>
  <c r="E40" i="1"/>
  <c r="K15" i="6"/>
  <c r="K11" i="6"/>
  <c r="G11" i="6"/>
  <c r="G15" i="6"/>
  <c r="H15" i="6"/>
  <c r="H11" i="6"/>
  <c r="N19" i="6"/>
  <c r="L15" i="6"/>
  <c r="L11" i="6"/>
  <c r="E15" i="6"/>
  <c r="E11" i="6"/>
  <c r="C15" i="6"/>
  <c r="C11" i="6"/>
  <c r="E19" i="1"/>
  <c r="E3" i="6" s="1"/>
  <c r="G4" i="1"/>
  <c r="F19" i="1"/>
  <c r="F3" i="6" s="1"/>
  <c r="R57" i="1"/>
  <c r="R56" i="1"/>
  <c r="R55" i="1"/>
  <c r="R54" i="1"/>
  <c r="R53" i="1"/>
  <c r="R50" i="1"/>
  <c r="R49" i="1"/>
  <c r="D15" i="6" l="1"/>
  <c r="D11" i="6"/>
  <c r="H4" i="1"/>
  <c r="H66" i="1" s="1"/>
  <c r="G19" i="1"/>
  <c r="G3" i="6" s="1"/>
  <c r="D10" i="2"/>
  <c r="F10" i="2" s="1"/>
  <c r="D9" i="2"/>
  <c r="F9" i="2" s="1"/>
  <c r="N71" i="1"/>
  <c r="M71" i="1"/>
  <c r="L71" i="1"/>
  <c r="K71" i="1"/>
  <c r="J71" i="1"/>
  <c r="I71" i="1"/>
  <c r="H71" i="1"/>
  <c r="G71" i="1"/>
  <c r="F71" i="1"/>
  <c r="E71" i="1"/>
  <c r="D71" i="1"/>
  <c r="C71" i="1"/>
  <c r="N70" i="1"/>
  <c r="M70" i="1"/>
  <c r="L70" i="1"/>
  <c r="K70" i="1"/>
  <c r="J70" i="1"/>
  <c r="I70" i="1"/>
  <c r="H70" i="1"/>
  <c r="G70" i="1"/>
  <c r="F70" i="1"/>
  <c r="E70" i="1"/>
  <c r="D70" i="1"/>
  <c r="C70" i="1"/>
  <c r="D19" i="2"/>
  <c r="F19" i="2" s="1"/>
  <c r="D18" i="2"/>
  <c r="F18" i="2" s="1"/>
  <c r="D17" i="2"/>
  <c r="F17" i="2" s="1"/>
  <c r="D16" i="2"/>
  <c r="F16" i="2" s="1"/>
  <c r="D15" i="2"/>
  <c r="D14" i="2"/>
  <c r="F14" i="2" s="1"/>
  <c r="D13" i="2"/>
  <c r="F13" i="2" s="1"/>
  <c r="D12" i="2"/>
  <c r="F12" i="2" s="1"/>
  <c r="D11" i="2"/>
  <c r="F11" i="2" s="1"/>
  <c r="D8" i="2"/>
  <c r="F8" i="2" s="1"/>
  <c r="D7" i="2"/>
  <c r="F7" i="2" s="1"/>
  <c r="D6" i="2"/>
  <c r="F6" i="2" s="1"/>
  <c r="D5" i="2"/>
  <c r="F5" i="2" s="1"/>
  <c r="N80" i="1"/>
  <c r="M80" i="1"/>
  <c r="L80" i="1"/>
  <c r="K80" i="1"/>
  <c r="J80" i="1"/>
  <c r="I80" i="1"/>
  <c r="H80" i="1"/>
  <c r="G80" i="1"/>
  <c r="F80" i="1"/>
  <c r="E80" i="1"/>
  <c r="D80" i="1"/>
  <c r="N79" i="1"/>
  <c r="M79" i="1"/>
  <c r="L79" i="1"/>
  <c r="K79" i="1"/>
  <c r="J79" i="1"/>
  <c r="I79" i="1"/>
  <c r="H79" i="1"/>
  <c r="G79" i="1"/>
  <c r="F79" i="1"/>
  <c r="E79" i="1"/>
  <c r="D79" i="1"/>
  <c r="N78" i="1"/>
  <c r="M78" i="1"/>
  <c r="L78" i="1"/>
  <c r="K78" i="1"/>
  <c r="J78" i="1"/>
  <c r="I78" i="1"/>
  <c r="H78" i="1"/>
  <c r="G78" i="1"/>
  <c r="F78" i="1"/>
  <c r="E78" i="1"/>
  <c r="D78" i="1"/>
  <c r="N77" i="1"/>
  <c r="M77" i="1"/>
  <c r="L77" i="1"/>
  <c r="K77" i="1"/>
  <c r="J77" i="1"/>
  <c r="I77" i="1"/>
  <c r="H77" i="1"/>
  <c r="G77" i="1"/>
  <c r="F77" i="1"/>
  <c r="E77" i="1"/>
  <c r="D77" i="1"/>
  <c r="N76" i="1"/>
  <c r="M76" i="1"/>
  <c r="L76" i="1"/>
  <c r="K76" i="1"/>
  <c r="J76" i="1"/>
  <c r="I76" i="1"/>
  <c r="H76" i="1"/>
  <c r="G76" i="1"/>
  <c r="F76" i="1"/>
  <c r="E76" i="1"/>
  <c r="D76" i="1"/>
  <c r="N75" i="1"/>
  <c r="M75" i="1"/>
  <c r="L75" i="1"/>
  <c r="K75" i="1"/>
  <c r="J75" i="1"/>
  <c r="I75" i="1"/>
  <c r="H75" i="1"/>
  <c r="G75" i="1"/>
  <c r="F75" i="1"/>
  <c r="E75" i="1"/>
  <c r="D75" i="1"/>
  <c r="N74" i="1"/>
  <c r="M74" i="1"/>
  <c r="L74" i="1"/>
  <c r="K74" i="1"/>
  <c r="J74" i="1"/>
  <c r="I74" i="1"/>
  <c r="H74" i="1"/>
  <c r="G74" i="1"/>
  <c r="F74" i="1"/>
  <c r="E74" i="1"/>
  <c r="D74" i="1"/>
  <c r="N73" i="1"/>
  <c r="M73" i="1"/>
  <c r="L73" i="1"/>
  <c r="K73" i="1"/>
  <c r="J73" i="1"/>
  <c r="I73" i="1"/>
  <c r="H73" i="1"/>
  <c r="G73" i="1"/>
  <c r="F73" i="1"/>
  <c r="E73" i="1"/>
  <c r="D73" i="1"/>
  <c r="N72" i="1"/>
  <c r="M72" i="1"/>
  <c r="L72" i="1"/>
  <c r="K72" i="1"/>
  <c r="J72" i="1"/>
  <c r="I72" i="1"/>
  <c r="H72" i="1"/>
  <c r="G72" i="1"/>
  <c r="F72" i="1"/>
  <c r="E72" i="1"/>
  <c r="D72" i="1"/>
  <c r="N69" i="1"/>
  <c r="M69" i="1"/>
  <c r="L69" i="1"/>
  <c r="K69" i="1"/>
  <c r="J69" i="1"/>
  <c r="I69" i="1"/>
  <c r="H69" i="1"/>
  <c r="G69" i="1"/>
  <c r="F69" i="1"/>
  <c r="E69" i="1"/>
  <c r="D69" i="1"/>
  <c r="N68" i="1"/>
  <c r="M68" i="1"/>
  <c r="L68" i="1"/>
  <c r="K68" i="1"/>
  <c r="J68" i="1"/>
  <c r="I68" i="1"/>
  <c r="H68" i="1"/>
  <c r="G68" i="1"/>
  <c r="F68" i="1"/>
  <c r="E68" i="1"/>
  <c r="D68" i="1"/>
  <c r="N67" i="1"/>
  <c r="M67" i="1"/>
  <c r="L67" i="1"/>
  <c r="K67" i="1"/>
  <c r="J67" i="1"/>
  <c r="I67" i="1"/>
  <c r="H67" i="1"/>
  <c r="G67" i="1"/>
  <c r="F67" i="1"/>
  <c r="E67" i="1"/>
  <c r="D67" i="1"/>
  <c r="G66" i="1"/>
  <c r="F66" i="1"/>
  <c r="E66" i="1"/>
  <c r="D66" i="1"/>
  <c r="C80" i="1"/>
  <c r="C79" i="1"/>
  <c r="C78" i="1"/>
  <c r="C77" i="1"/>
  <c r="C76" i="1"/>
  <c r="C75" i="1"/>
  <c r="C74" i="1"/>
  <c r="C73" i="1"/>
  <c r="C72" i="1"/>
  <c r="C69" i="1"/>
  <c r="C68" i="1"/>
  <c r="C67" i="1"/>
  <c r="C66" i="1"/>
  <c r="G81" i="1" l="1"/>
  <c r="G4" i="6" s="1"/>
  <c r="F81" i="1"/>
  <c r="F4" i="6" s="1"/>
  <c r="H81" i="1"/>
  <c r="H4" i="6" s="1"/>
  <c r="E81" i="1"/>
  <c r="E4" i="6" s="1"/>
  <c r="D81" i="1"/>
  <c r="D4" i="6" s="1"/>
  <c r="I4" i="1"/>
  <c r="H19" i="1"/>
  <c r="H3" i="6" s="1"/>
  <c r="C81" i="1"/>
  <c r="C4" i="6" s="1"/>
  <c r="D20" i="2"/>
  <c r="F15" i="2"/>
  <c r="F20" i="2" s="1"/>
  <c r="R48" i="1"/>
  <c r="R47" i="1"/>
  <c r="R46" i="1"/>
  <c r="I20" i="1" l="1"/>
  <c r="I5" i="6" s="1"/>
  <c r="C20" i="1"/>
  <c r="C5" i="6" s="1"/>
  <c r="D20" i="1"/>
  <c r="D5" i="6" s="1"/>
  <c r="E20" i="1"/>
  <c r="E5" i="6" s="1"/>
  <c r="F20" i="1"/>
  <c r="F5" i="6" s="1"/>
  <c r="G20" i="1"/>
  <c r="G5" i="6" s="1"/>
  <c r="H20" i="1"/>
  <c r="H5" i="6" s="1"/>
  <c r="J4" i="1"/>
  <c r="J20" i="1" s="1"/>
  <c r="J5" i="6" s="1"/>
  <c r="I19" i="1"/>
  <c r="I3" i="6" s="1"/>
  <c r="I66" i="1"/>
  <c r="I81" i="1" s="1"/>
  <c r="I4" i="6" s="1"/>
  <c r="N61" i="1"/>
  <c r="N14" i="6" s="1"/>
  <c r="N16" i="6" s="1"/>
  <c r="F61" i="1"/>
  <c r="F14" i="6" s="1"/>
  <c r="F16" i="6" s="1"/>
  <c r="F21" i="6" s="1"/>
  <c r="M61" i="1"/>
  <c r="M14" i="6" s="1"/>
  <c r="M16" i="6" s="1"/>
  <c r="E61" i="1"/>
  <c r="E14" i="6" s="1"/>
  <c r="E16" i="6" s="1"/>
  <c r="E21" i="6" s="1"/>
  <c r="C61" i="1"/>
  <c r="C14" i="6" s="1"/>
  <c r="C16" i="6" s="1"/>
  <c r="C21" i="6" s="1"/>
  <c r="H61" i="1"/>
  <c r="H14" i="6" s="1"/>
  <c r="H16" i="6" s="1"/>
  <c r="H21" i="6" s="1"/>
  <c r="L61" i="1"/>
  <c r="L14" i="6" s="1"/>
  <c r="L16" i="6" s="1"/>
  <c r="D61" i="1"/>
  <c r="D14" i="6" s="1"/>
  <c r="D16" i="6" s="1"/>
  <c r="D21" i="6" s="1"/>
  <c r="K61" i="1"/>
  <c r="K14" i="6" s="1"/>
  <c r="K16" i="6" s="1"/>
  <c r="G61" i="1"/>
  <c r="G14" i="6" s="1"/>
  <c r="G16" i="6" s="1"/>
  <c r="G21" i="6" s="1"/>
  <c r="J61" i="1"/>
  <c r="J14" i="6" s="1"/>
  <c r="J16" i="6" s="1"/>
  <c r="I61" i="1"/>
  <c r="I14" i="6" s="1"/>
  <c r="I16" i="6" s="1"/>
  <c r="I21" i="6" l="1"/>
  <c r="J21" i="6" s="1"/>
  <c r="K21" i="6" s="1"/>
  <c r="L21" i="6" s="1"/>
  <c r="M21" i="6" s="1"/>
  <c r="N21" i="6" s="1"/>
  <c r="K4" i="1"/>
  <c r="K20" i="1" s="1"/>
  <c r="K5" i="6" s="1"/>
  <c r="J19" i="1"/>
  <c r="J3" i="6" s="1"/>
  <c r="J66" i="1"/>
  <c r="J81" i="1" s="1"/>
  <c r="J4" i="6" s="1"/>
  <c r="L4" i="1" l="1"/>
  <c r="L20" i="1" s="1"/>
  <c r="L5" i="6" s="1"/>
  <c r="K19" i="1"/>
  <c r="K3" i="6" s="1"/>
  <c r="K66" i="1"/>
  <c r="K81" i="1" s="1"/>
  <c r="K4" i="6" s="1"/>
  <c r="M4" i="1" l="1"/>
  <c r="M20" i="1" s="1"/>
  <c r="M5" i="6" s="1"/>
  <c r="L19" i="1"/>
  <c r="L3" i="6" s="1"/>
  <c r="L66" i="1"/>
  <c r="L81" i="1" s="1"/>
  <c r="L4" i="6" s="1"/>
  <c r="N4" i="1" l="1"/>
  <c r="N20" i="1" s="1"/>
  <c r="N5" i="6" s="1"/>
  <c r="M19" i="1"/>
  <c r="M3" i="6" s="1"/>
  <c r="M66" i="1"/>
  <c r="M81" i="1" s="1"/>
  <c r="M4" i="6" s="1"/>
  <c r="N19" i="1" l="1"/>
  <c r="N3" i="6" s="1"/>
  <c r="N66" i="1"/>
  <c r="N81" i="1" s="1"/>
  <c r="N4" i="6" s="1"/>
</calcChain>
</file>

<file path=xl/sharedStrings.xml><?xml version="1.0" encoding="utf-8"?>
<sst xmlns="http://schemas.openxmlformats.org/spreadsheetml/2006/main" count="360" uniqueCount="71">
  <si>
    <t>SKU</t>
    <phoneticPr fontId="2" type="noConversion"/>
  </si>
  <si>
    <t>PN PRE</t>
    <phoneticPr fontId="2" type="noConversion"/>
  </si>
  <si>
    <t>PN 1</t>
    <phoneticPr fontId="2" type="noConversion"/>
  </si>
  <si>
    <t>PN 2</t>
    <phoneticPr fontId="2" type="noConversion"/>
  </si>
  <si>
    <t>PN 3</t>
    <phoneticPr fontId="2" type="noConversion"/>
  </si>
  <si>
    <t>PF PRE</t>
    <phoneticPr fontId="2" type="noConversion"/>
  </si>
  <si>
    <t>PF 1</t>
    <phoneticPr fontId="2" type="noConversion"/>
  </si>
  <si>
    <t>PF 2</t>
    <phoneticPr fontId="2" type="noConversion"/>
  </si>
  <si>
    <t>PF K1+</t>
    <phoneticPr fontId="2" type="noConversion"/>
  </si>
  <si>
    <t>PF K2+</t>
    <phoneticPr fontId="2" type="noConversion"/>
  </si>
  <si>
    <t>TAB IF</t>
    <phoneticPr fontId="2" type="noConversion"/>
  </si>
  <si>
    <t>TAB FO</t>
    <phoneticPr fontId="2" type="noConversion"/>
  </si>
  <si>
    <t>AR</t>
    <phoneticPr fontId="2" type="noConversion"/>
  </si>
  <si>
    <t>COMF</t>
    <phoneticPr fontId="2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</si>
  <si>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</si>
  <si>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</si>
  <si>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</si>
  <si>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</si>
  <si>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</si>
  <si>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</si>
  <si>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</si>
  <si>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</si>
  <si>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</si>
  <si>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</si>
  <si>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</si>
  <si>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</si>
  <si>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Jan</t>
    <phoneticPr fontId="2" type="noConversion"/>
  </si>
  <si>
    <t>Total</t>
    <phoneticPr fontId="2" type="noConversion"/>
  </si>
  <si>
    <t>Total(CU)</t>
    <phoneticPr fontId="2" type="noConversion"/>
  </si>
  <si>
    <t>Total(KRW)</t>
    <phoneticPr fontId="2" type="noConversion"/>
  </si>
  <si>
    <t>Stock-in</t>
    <phoneticPr fontId="2" type="noConversion"/>
  </si>
  <si>
    <t>Production</t>
    <phoneticPr fontId="2" type="noConversion"/>
  </si>
  <si>
    <t>Oct</t>
    <phoneticPr fontId="2" type="noConversion"/>
  </si>
  <si>
    <t>PN</t>
    <phoneticPr fontId="2" type="noConversion"/>
  </si>
  <si>
    <t>PF</t>
    <phoneticPr fontId="2" type="noConversion"/>
  </si>
  <si>
    <t>TAB</t>
    <phoneticPr fontId="2" type="noConversion"/>
  </si>
  <si>
    <t>AR, COMF</t>
    <phoneticPr fontId="2" type="noConversion"/>
  </si>
  <si>
    <t>SP(EURO)</t>
    <phoneticPr fontId="2" type="noConversion"/>
  </si>
  <si>
    <t>SP(KRW)</t>
    <phoneticPr fontId="2" type="noConversion"/>
  </si>
  <si>
    <t>Stock level</t>
    <phoneticPr fontId="2" type="noConversion"/>
  </si>
  <si>
    <t>Sales Fcst</t>
    <phoneticPr fontId="2" type="noConversion"/>
  </si>
  <si>
    <t>Stock</t>
    <phoneticPr fontId="2" type="noConversion"/>
  </si>
  <si>
    <t>일 매출</t>
    <phoneticPr fontId="2" type="noConversion"/>
  </si>
  <si>
    <t>월 예상</t>
    <phoneticPr fontId="2" type="noConversion"/>
  </si>
  <si>
    <t>PN VP 1</t>
    <phoneticPr fontId="2" type="noConversion"/>
  </si>
  <si>
    <t>PN VP 2</t>
    <phoneticPr fontId="2" type="noConversion"/>
  </si>
  <si>
    <t>예상 CRM</t>
    <phoneticPr fontId="2" type="noConversion"/>
  </si>
  <si>
    <t>예상 외부채널</t>
    <phoneticPr fontId="2" type="noConversion"/>
  </si>
  <si>
    <t>VP</t>
    <phoneticPr fontId="2" type="noConversion"/>
  </si>
  <si>
    <t>1월예상</t>
    <phoneticPr fontId="2" type="noConversion"/>
  </si>
  <si>
    <t>상시</t>
    <phoneticPr fontId="2" type="noConversion"/>
  </si>
  <si>
    <t>CRM</t>
    <phoneticPr fontId="2" type="noConversion"/>
  </si>
  <si>
    <t>타채널</t>
    <phoneticPr fontId="2" type="noConversion"/>
  </si>
  <si>
    <t>(매출 3억기준)</t>
    <phoneticPr fontId="2" type="noConversion"/>
  </si>
  <si>
    <t>TON</t>
    <phoneticPr fontId="2" type="noConversion"/>
  </si>
  <si>
    <t>재고수량</t>
    <phoneticPr fontId="2" type="noConversion"/>
  </si>
  <si>
    <t>재고 수준(월)</t>
    <phoneticPr fontId="2" type="noConversion"/>
  </si>
  <si>
    <t>재고 금액</t>
    <phoneticPr fontId="2" type="noConversion"/>
  </si>
  <si>
    <t>재고</t>
    <phoneticPr fontId="2" type="noConversion"/>
  </si>
  <si>
    <t>매출</t>
    <phoneticPr fontId="2" type="noConversion"/>
  </si>
  <si>
    <t>크로네 판매량</t>
    <phoneticPr fontId="2" type="noConversion"/>
  </si>
  <si>
    <t>몰테일 판매량</t>
    <phoneticPr fontId="2" type="noConversion"/>
  </si>
  <si>
    <t>총 판매량</t>
    <phoneticPr fontId="2" type="noConversion"/>
  </si>
  <si>
    <t>정산 금액</t>
    <phoneticPr fontId="2" type="noConversion"/>
  </si>
  <si>
    <t>결제</t>
    <phoneticPr fontId="2" type="noConversion"/>
  </si>
  <si>
    <t>물류비</t>
    <phoneticPr fontId="2" type="noConversion"/>
  </si>
  <si>
    <t>발주 결제</t>
    <phoneticPr fontId="2" type="noConversion"/>
  </si>
  <si>
    <t>전체 비용</t>
    <phoneticPr fontId="2" type="noConversion"/>
  </si>
  <si>
    <t>Cash +/-</t>
    <phoneticPr fontId="2" type="noConversion"/>
  </si>
  <si>
    <t>서포트</t>
    <phoneticPr fontId="2" type="noConversion"/>
  </si>
  <si>
    <t>Trade support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</si>
</sst>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0" xfId="2" applyFont="1">
      <alignment vertical="center"/>
    </xf>
    <xf numFmtId="0" fontId="3" fillId="0" borderId="0" xfId="0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41" fontId="4" fillId="0" borderId="0" xfId="1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76" fontId="0" fillId="6" borderId="1" xfId="1" applyNumberFormat="1" applyFont="1" applyFill="1" applyBorder="1" applyAlignment="1">
      <alignment horizontal="center" vertical="center"/>
    </xf>
    <xf numFmtId="41" fontId="0" fillId="5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0" fillId="0" borderId="2" xfId="1" applyFont="1" applyFill="1" applyBorder="1" applyAlignment="1">
      <alignment horizontal="center" vertical="center"/>
    </xf>
    <xf numFmtId="41" fontId="0" fillId="5" borderId="2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41" fontId="0" fillId="5" borderId="9" xfId="1" applyFont="1" applyFill="1" applyBorder="1" applyAlignment="1">
      <alignment horizontal="center" vertical="center"/>
    </xf>
    <xf numFmtId="41" fontId="0" fillId="5" borderId="10" xfId="1" applyFont="1" applyFill="1" applyBorder="1" applyAlignment="1">
      <alignment horizontal="center" vertical="center"/>
    </xf>
    <xf numFmtId="41" fontId="0" fillId="5" borderId="11" xfId="1" applyFont="1" applyFill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1" fontId="0" fillId="7" borderId="1" xfId="0" applyNumberFormat="1" applyFill="1" applyBorder="1" applyAlignment="1">
      <alignment horizontal="center" vertical="center"/>
    </xf>
    <xf numFmtId="41" fontId="0" fillId="7" borderId="1" xfId="1" applyFont="1" applyFill="1" applyBorder="1" applyAlignment="1">
      <alignment horizontal="center" vertical="center"/>
    </xf>
    <xf numFmtId="41" fontId="0" fillId="7" borderId="2" xfId="1" applyFont="1" applyFill="1" applyBorder="1" applyAlignment="1">
      <alignment horizontal="center" vertical="center"/>
    </xf>
    <xf numFmtId="41" fontId="0" fillId="7" borderId="7" xfId="1" applyFont="1" applyFill="1" applyBorder="1" applyAlignment="1">
      <alignment horizontal="center" vertical="center"/>
    </xf>
    <xf numFmtId="41" fontId="0" fillId="7" borderId="8" xfId="1" applyFont="1" applyFill="1" applyBorder="1" applyAlignment="1">
      <alignment horizontal="center" vertical="center"/>
    </xf>
    <xf numFmtId="176" fontId="0" fillId="7" borderId="1" xfId="1" applyNumberFormat="1" applyFont="1" applyFill="1" applyBorder="1" applyAlignment="1">
      <alignment horizontal="center" vertical="center"/>
    </xf>
    <xf numFmtId="41" fontId="0" fillId="5" borderId="1" xfId="0" applyNumberFormat="1" applyFill="1" applyBorder="1" applyAlignment="1">
      <alignment horizontal="center" vertical="center"/>
    </xf>
    <xf numFmtId="41" fontId="6" fillId="5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D4A1-26EF-43CD-B683-61F08BE821C8}">
  <dimension ref="A2:N30"/>
  <sheetViews>
    <sheetView zoomScale="85" zoomScaleNormal="85" workbookViewId="0">
      <selection activeCell="N9" sqref="N9"/>
    </sheetView>
  </sheetViews>
  <sheetFormatPr defaultRowHeight="16.5" x14ac:dyDescent="0.3"/>
  <cols>
    <col min="1" max="1" width="15.375" style="1" bestFit="1" customWidth="1"/>
    <col min="2" max="2" width="13.75" style="1" bestFit="1" customWidth="1"/>
    <col min="3" max="8" width="16.625" style="1" bestFit="1" customWidth="1"/>
    <col min="9" max="14" width="15.375" style="1" bestFit="1" customWidth="1"/>
    <col min="15" max="16384" width="9" style="1"/>
  </cols>
  <sheetData>
    <row r="2" spans="1:14" x14ac:dyDescent="0.3">
      <c r="B2" s="2" t="s">
        <v>58</v>
      </c>
      <c r="C2" s="2" t="s">
        <v>26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3">
      <c r="B3" s="2" t="s">
        <v>55</v>
      </c>
      <c r="C3" s="8">
        <f>KRONE!C19</f>
        <v>226894</v>
      </c>
      <c r="D3" s="8">
        <f>KRONE!D19</f>
        <v>224748.29</v>
      </c>
      <c r="E3" s="8">
        <f>KRONE!E19</f>
        <v>245291.22865</v>
      </c>
      <c r="F3" s="8">
        <f>KRONE!F19</f>
        <v>260357.29794774999</v>
      </c>
      <c r="G3" s="8">
        <f>KRONE!G19</f>
        <v>251982.36077407756</v>
      </c>
      <c r="H3" s="8">
        <f>KRONE!H19</f>
        <v>246532.00414693172</v>
      </c>
      <c r="I3" s="8">
        <f>KRONE!I19</f>
        <v>235150.26780517327</v>
      </c>
      <c r="J3" s="8">
        <f>KRONE!J19</f>
        <v>215770.89286803582</v>
      </c>
      <c r="K3" s="8">
        <f>KRONE!K19</f>
        <v>208794.22799248906</v>
      </c>
      <c r="L3" s="8">
        <f>KRONE!L19</f>
        <v>217281.72172871223</v>
      </c>
      <c r="M3" s="8">
        <f>KRONE!M19</f>
        <v>218531.88224290084</v>
      </c>
      <c r="N3" s="8">
        <f>KRONE!N19</f>
        <v>217026.50601634727</v>
      </c>
    </row>
    <row r="4" spans="1:14" x14ac:dyDescent="0.3">
      <c r="B4" s="2" t="s">
        <v>56</v>
      </c>
      <c r="C4" s="35">
        <f>KRONE!C81</f>
        <v>5.0582766111256046</v>
      </c>
      <c r="D4" s="35">
        <f>KRONE!D81</f>
        <v>4.5497056251512991</v>
      </c>
      <c r="E4" s="35">
        <f>KRONE!E81</f>
        <v>4.4312346580505624</v>
      </c>
      <c r="F4" s="35">
        <f>KRONE!F81</f>
        <v>4.9958078682989919</v>
      </c>
      <c r="G4" s="35">
        <f>KRONE!G81</f>
        <v>4.8229608152200623</v>
      </c>
      <c r="H4" s="35">
        <f>KRONE!H81</f>
        <v>3.9619103514497591</v>
      </c>
      <c r="I4" s="35">
        <f>KRONE!I81</f>
        <v>3.6590465100550813</v>
      </c>
      <c r="J4" s="35">
        <f>KRONE!J81</f>
        <v>2.9702119496443631</v>
      </c>
      <c r="K4" s="35">
        <f>KRONE!K81</f>
        <v>2.4402940610018446</v>
      </c>
      <c r="L4" s="35">
        <f>KRONE!L81</f>
        <v>2.3382250750069487</v>
      </c>
      <c r="M4" s="35">
        <f>KRONE!M81</f>
        <v>1.7386693426457964</v>
      </c>
      <c r="N4" s="35">
        <f>KRONE!N81</f>
        <v>1.678935149997532</v>
      </c>
    </row>
    <row r="5" spans="1:14" x14ac:dyDescent="0.3">
      <c r="B5" s="2" t="s">
        <v>57</v>
      </c>
      <c r="C5" s="8">
        <f>KRONE!C20</f>
        <v>7444320257.5</v>
      </c>
      <c r="D5" s="8">
        <f>KRONE!D20</f>
        <v>7403381599.4249992</v>
      </c>
      <c r="E5" s="8">
        <f>KRONE!E20</f>
        <v>8070309687.6324987</v>
      </c>
      <c r="F5" s="8">
        <f>KRONE!F20</f>
        <v>8430107616.2124672</v>
      </c>
      <c r="G5" s="8">
        <f>KRONE!G20</f>
        <v>8057834864.3845367</v>
      </c>
      <c r="H5" s="8">
        <f>KRONE!H20</f>
        <v>8062808032.6132946</v>
      </c>
      <c r="I5" s="8">
        <f>KRONE!I20</f>
        <v>7678059858.0080023</v>
      </c>
      <c r="J5" s="8">
        <f>KRONE!J20</f>
        <v>7074315299.1140251</v>
      </c>
      <c r="K5" s="8">
        <f>KRONE!K20</f>
        <v>6902820489.0662403</v>
      </c>
      <c r="L5" s="8">
        <f>KRONE!L20</f>
        <v>7203140293.3287935</v>
      </c>
      <c r="M5" s="8">
        <f>KRONE!M20</f>
        <v>7342891667.5848379</v>
      </c>
      <c r="N5" s="8">
        <f>KRONE!N20</f>
        <v>7283275442.7685165</v>
      </c>
    </row>
    <row r="7" spans="1:14" x14ac:dyDescent="0.3">
      <c r="B7" s="2" t="s">
        <v>59</v>
      </c>
      <c r="C7" s="2" t="s">
        <v>26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  <c r="N7" s="2" t="s">
        <v>24</v>
      </c>
    </row>
    <row r="8" spans="1:14" x14ac:dyDescent="0.3">
      <c r="A8" s="3">
        <v>33000</v>
      </c>
      <c r="B8" s="2" t="s">
        <v>60</v>
      </c>
      <c r="C8" s="4">
        <f>KRONE!C39</f>
        <v>60763</v>
      </c>
      <c r="D8" s="4">
        <f>KRONE!D39</f>
        <v>64885.709999999992</v>
      </c>
      <c r="E8" s="4">
        <f>KRONE!E39</f>
        <v>61057.061350000004</v>
      </c>
      <c r="F8" s="4">
        <f>KRONE!F39</f>
        <v>70253.93070225</v>
      </c>
      <c r="G8" s="4">
        <f>KRONE!G39</f>
        <v>71458.937173672501</v>
      </c>
      <c r="H8" s="4">
        <f>KRONE!H39</f>
        <v>72650.356627145782</v>
      </c>
      <c r="I8" s="4">
        <f>KRONE!I39</f>
        <v>65177.736341758464</v>
      </c>
      <c r="J8" s="4">
        <f>KRONE!J39</f>
        <v>72227.374937137458</v>
      </c>
      <c r="K8" s="4">
        <f>KRONE!K39</f>
        <v>62128.664875546776</v>
      </c>
      <c r="L8" s="4">
        <f>KRONE!L39</f>
        <v>71276.506263776842</v>
      </c>
      <c r="M8" s="4">
        <f>KRONE!M39</f>
        <v>72477.839485811332</v>
      </c>
      <c r="N8" s="4">
        <f>KRONE!N39</f>
        <v>73973.376226553577</v>
      </c>
    </row>
    <row r="9" spans="1:14" x14ac:dyDescent="0.3">
      <c r="B9" s="2" t="s">
        <v>61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 x14ac:dyDescent="0.3">
      <c r="B10" s="2" t="s">
        <v>62</v>
      </c>
      <c r="C10" s="8">
        <f>SUM(C8:C9)</f>
        <v>60763</v>
      </c>
      <c r="D10" s="8">
        <f t="shared" ref="D10:N10" si="0">SUM(D8:D9)</f>
        <v>64885.709999999992</v>
      </c>
      <c r="E10" s="8">
        <f t="shared" si="0"/>
        <v>61057.061350000004</v>
      </c>
      <c r="F10" s="8">
        <f t="shared" si="0"/>
        <v>70253.93070225</v>
      </c>
      <c r="G10" s="8">
        <f t="shared" si="0"/>
        <v>71458.937173672501</v>
      </c>
      <c r="H10" s="8">
        <f t="shared" si="0"/>
        <v>72650.356627145782</v>
      </c>
      <c r="I10" s="8">
        <f t="shared" si="0"/>
        <v>65177.736341758464</v>
      </c>
      <c r="J10" s="8">
        <f t="shared" si="0"/>
        <v>72227.374937137458</v>
      </c>
      <c r="K10" s="8">
        <f t="shared" si="0"/>
        <v>62128.664875546776</v>
      </c>
      <c r="L10" s="8">
        <f t="shared" si="0"/>
        <v>71276.506263776842</v>
      </c>
      <c r="M10" s="8">
        <f t="shared" si="0"/>
        <v>72477.839485811332</v>
      </c>
      <c r="N10" s="8">
        <f t="shared" si="0"/>
        <v>73973.376226553577</v>
      </c>
    </row>
    <row r="11" spans="1:14" x14ac:dyDescent="0.3">
      <c r="A11" s="3">
        <v>1500000000</v>
      </c>
      <c r="B11" s="5" t="s">
        <v>63</v>
      </c>
      <c r="C11" s="21">
        <f t="shared" ref="C11:N11" si="1">C10*$A$8</f>
        <v>2005179000</v>
      </c>
      <c r="D11" s="21">
        <f t="shared" si="1"/>
        <v>2141228429.9999998</v>
      </c>
      <c r="E11" s="21">
        <f t="shared" si="1"/>
        <v>2014883024.5500002</v>
      </c>
      <c r="F11" s="21">
        <f t="shared" si="1"/>
        <v>2318379713.1742501</v>
      </c>
      <c r="G11" s="21">
        <f t="shared" si="1"/>
        <v>2358144926.7311926</v>
      </c>
      <c r="H11" s="21">
        <f t="shared" si="1"/>
        <v>2397461768.6958108</v>
      </c>
      <c r="I11" s="21">
        <f t="shared" si="1"/>
        <v>2150865299.2780294</v>
      </c>
      <c r="J11" s="21">
        <f t="shared" si="1"/>
        <v>2383503372.9255362</v>
      </c>
      <c r="K11" s="21">
        <f t="shared" si="1"/>
        <v>2050245940.8930435</v>
      </c>
      <c r="L11" s="21">
        <f t="shared" si="1"/>
        <v>2352124706.7046356</v>
      </c>
      <c r="M11" s="21">
        <f t="shared" si="1"/>
        <v>2391768703.031774</v>
      </c>
      <c r="N11" s="21">
        <f t="shared" si="1"/>
        <v>2441121415.4762678</v>
      </c>
    </row>
    <row r="13" spans="1:14" x14ac:dyDescent="0.3">
      <c r="B13" s="2" t="s">
        <v>64</v>
      </c>
      <c r="C13" s="2" t="s">
        <v>26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23</v>
      </c>
      <c r="N13" s="2" t="s">
        <v>24</v>
      </c>
    </row>
    <row r="14" spans="1:14" x14ac:dyDescent="0.3">
      <c r="B14" s="2" t="s">
        <v>66</v>
      </c>
      <c r="C14" s="8">
        <f>KRONE!C61</f>
        <v>563753925</v>
      </c>
      <c r="D14" s="8">
        <f>KRONE!D61</f>
        <v>2180222100</v>
      </c>
      <c r="E14" s="8">
        <f>KRONE!E61</f>
        <v>2709084000</v>
      </c>
      <c r="F14" s="8">
        <f>KRONE!F61</f>
        <v>2718456300</v>
      </c>
      <c r="G14" s="8">
        <f>KRONE!G61</f>
        <v>2026879890</v>
      </c>
      <c r="H14" s="8">
        <f>KRONE!H61</f>
        <v>2377872000</v>
      </c>
      <c r="I14" s="8">
        <f>KRONE!I61</f>
        <v>1826075790</v>
      </c>
      <c r="J14" s="8">
        <f>KRONE!J61</f>
        <v>1849599360</v>
      </c>
      <c r="K14" s="8">
        <f>KRONE!K61</f>
        <v>1931126400</v>
      </c>
      <c r="L14" s="8">
        <f>KRONE!L61</f>
        <v>2724201270</v>
      </c>
      <c r="M14" s="8">
        <f>KRONE!M61</f>
        <v>2608865280</v>
      </c>
      <c r="N14" s="8">
        <f>KRONE!N61</f>
        <v>2466032310</v>
      </c>
    </row>
    <row r="15" spans="1:14" x14ac:dyDescent="0.3">
      <c r="B15" s="2" t="s">
        <v>65</v>
      </c>
      <c r="C15" s="8">
        <f>C10*4500</f>
        <v>273433500</v>
      </c>
      <c r="D15" s="8">
        <f t="shared" ref="D15:N15" si="2">D10*4500</f>
        <v>291985694.99999994</v>
      </c>
      <c r="E15" s="8">
        <f t="shared" si="2"/>
        <v>274756776.07499999</v>
      </c>
      <c r="F15" s="8">
        <f t="shared" si="2"/>
        <v>316142688.16012502</v>
      </c>
      <c r="G15" s="8">
        <f t="shared" si="2"/>
        <v>321565217.28152627</v>
      </c>
      <c r="H15" s="8">
        <f t="shared" si="2"/>
        <v>326926604.82215601</v>
      </c>
      <c r="I15" s="8">
        <f t="shared" si="2"/>
        <v>293299813.53791308</v>
      </c>
      <c r="J15" s="8">
        <f t="shared" si="2"/>
        <v>325023187.21711856</v>
      </c>
      <c r="K15" s="8">
        <f t="shared" si="2"/>
        <v>279578991.93996048</v>
      </c>
      <c r="L15" s="8">
        <f t="shared" si="2"/>
        <v>320744278.1869958</v>
      </c>
      <c r="M15" s="8">
        <f t="shared" si="2"/>
        <v>326150277.68615097</v>
      </c>
      <c r="N15" s="8">
        <f t="shared" si="2"/>
        <v>332880193.01949108</v>
      </c>
    </row>
    <row r="16" spans="1:14" x14ac:dyDescent="0.3">
      <c r="B16" s="5" t="s">
        <v>67</v>
      </c>
      <c r="C16" s="43">
        <f>SUM(C14:C15)</f>
        <v>837187425</v>
      </c>
      <c r="D16" s="43">
        <f t="shared" ref="D16:N16" si="3">SUM(D14:D15)</f>
        <v>2472207795</v>
      </c>
      <c r="E16" s="43">
        <f t="shared" si="3"/>
        <v>2983840776.0749998</v>
      </c>
      <c r="F16" s="43">
        <f t="shared" si="3"/>
        <v>3034598988.1601248</v>
      </c>
      <c r="G16" s="43">
        <f t="shared" si="3"/>
        <v>2348445107.2815261</v>
      </c>
      <c r="H16" s="43">
        <f t="shared" si="3"/>
        <v>2704798604.822156</v>
      </c>
      <c r="I16" s="43">
        <f t="shared" si="3"/>
        <v>2119375603.5379131</v>
      </c>
      <c r="J16" s="43">
        <f t="shared" si="3"/>
        <v>2174622547.2171187</v>
      </c>
      <c r="K16" s="43">
        <f t="shared" si="3"/>
        <v>2210705391.9399605</v>
      </c>
      <c r="L16" s="43">
        <f t="shared" si="3"/>
        <v>3044945548.186996</v>
      </c>
      <c r="M16" s="43">
        <f t="shared" si="3"/>
        <v>2935015557.686151</v>
      </c>
      <c r="N16" s="43">
        <f t="shared" si="3"/>
        <v>2798912503.0194912</v>
      </c>
    </row>
    <row r="18" spans="1:14" x14ac:dyDescent="0.3">
      <c r="B18" s="2" t="s">
        <v>69</v>
      </c>
      <c r="C18" s="2" t="s">
        <v>26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21</v>
      </c>
      <c r="L18" s="2" t="s">
        <v>22</v>
      </c>
      <c r="M18" s="2" t="s">
        <v>23</v>
      </c>
      <c r="N18" s="2" t="s">
        <v>24</v>
      </c>
    </row>
    <row r="19" spans="1:14" s="3" customFormat="1" x14ac:dyDescent="0.3">
      <c r="A19" s="3">
        <v>3925</v>
      </c>
      <c r="B19" s="4" t="s">
        <v>70</v>
      </c>
      <c r="C19" s="4">
        <v>0</v>
      </c>
      <c r="D19" s="4">
        <v>425748000</v>
      </c>
      <c r="E19" s="4">
        <v>732371057</v>
      </c>
      <c r="F19" s="4">
        <v>0</v>
      </c>
      <c r="G19" s="4">
        <v>0</v>
      </c>
      <c r="H19" s="4">
        <f>$A$19*SUM(F10:H10)</f>
        <v>841375656.17454302</v>
      </c>
      <c r="I19" s="4">
        <v>0</v>
      </c>
      <c r="J19" s="4">
        <v>0</v>
      </c>
      <c r="K19" s="4">
        <f>$A$19*SUM(I10:K10)</f>
        <v>783170071.40618753</v>
      </c>
      <c r="L19" s="4">
        <v>0</v>
      </c>
      <c r="M19" s="4">
        <v>0</v>
      </c>
      <c r="N19" s="4">
        <f>$A$19*SUM(L10:N10)</f>
        <v>854581308.75635636</v>
      </c>
    </row>
    <row r="21" spans="1:14" x14ac:dyDescent="0.3">
      <c r="B21" s="5" t="s">
        <v>68</v>
      </c>
      <c r="C21" s="44">
        <f>A11-C16+C19</f>
        <v>662812575</v>
      </c>
      <c r="D21" s="44">
        <f>C11-D16+D19</f>
        <v>-41280795</v>
      </c>
      <c r="E21" s="44">
        <f>D11-E16+E19</f>
        <v>-110241289.07500005</v>
      </c>
      <c r="F21" s="44">
        <f>E11-F16+F19</f>
        <v>-1019715963.6101246</v>
      </c>
      <c r="G21" s="44">
        <f>F11-G16+G19</f>
        <v>-30065394.107275963</v>
      </c>
      <c r="H21" s="43">
        <f>G11-H16+H19</f>
        <v>494721978.08357966</v>
      </c>
      <c r="I21" s="43">
        <f t="shared" ref="I21:N21" si="4">H21+H11-I16+I19</f>
        <v>772808143.24147725</v>
      </c>
      <c r="J21" s="43">
        <f t="shared" si="4"/>
        <v>749050895.30238771</v>
      </c>
      <c r="K21" s="43">
        <f t="shared" si="4"/>
        <v>1705018947.6941509</v>
      </c>
      <c r="L21" s="43">
        <f t="shared" si="4"/>
        <v>710319340.40019846</v>
      </c>
      <c r="M21" s="43">
        <f t="shared" si="4"/>
        <v>127428489.41868305</v>
      </c>
      <c r="N21" s="43">
        <f t="shared" si="4"/>
        <v>574865998.18732226</v>
      </c>
    </row>
    <row r="29" spans="1:14" x14ac:dyDescent="0.3">
      <c r="C29" s="3"/>
    </row>
    <row r="30" spans="1:14" x14ac:dyDescent="0.3">
      <c r="D30" s="1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CF81-2218-4BC8-9501-40CACCE59628}">
  <dimension ref="A2:Y81"/>
  <sheetViews>
    <sheetView tabSelected="1" topLeftCell="D24" zoomScale="85" zoomScaleNormal="85" workbookViewId="0">
      <selection activeCell="P33" sqref="P33"/>
    </sheetView>
  </sheetViews>
  <sheetFormatPr defaultRowHeight="16.5" x14ac:dyDescent="0.3"/>
  <cols>
    <col min="1" max="1" width="6.5" style="1" bestFit="1" customWidth="1"/>
    <col min="2" max="2" width="12.25" style="1" bestFit="1" customWidth="1"/>
    <col min="3" max="3" width="15.625" style="1" bestFit="1" customWidth="1"/>
    <col min="4" max="7" width="16.625" style="1" bestFit="1" customWidth="1"/>
    <col min="8" max="8" width="15.625" style="1" bestFit="1" customWidth="1"/>
    <col min="9" max="14" width="14.625" style="1" bestFit="1" customWidth="1"/>
    <col min="15" max="15" width="9" style="1"/>
    <col min="16" max="16" width="10.25" style="1" bestFit="1" customWidth="1"/>
    <col min="17" max="17" width="9.875" style="1" bestFit="1" customWidth="1"/>
    <col min="18" max="18" width="8.875" style="1" bestFit="1" customWidth="1"/>
    <col min="19" max="21" width="9" style="1"/>
    <col min="22" max="22" width="9.375" style="1" bestFit="1" customWidth="1"/>
    <col min="23" max="24" width="9" style="1"/>
    <col min="25" max="25" width="10.875" style="1" bestFit="1" customWidth="1"/>
    <col min="26" max="16384" width="9" style="1"/>
  </cols>
  <sheetData>
    <row r="2" spans="1:14" x14ac:dyDescent="0.3">
      <c r="B2" s="45" t="s">
        <v>41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x14ac:dyDescent="0.3">
      <c r="B3" s="2" t="s">
        <v>0</v>
      </c>
      <c r="C3" s="2" t="s">
        <v>26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 x14ac:dyDescent="0.3">
      <c r="A4" s="1">
        <v>3043</v>
      </c>
      <c r="B4" s="2" t="s">
        <v>1</v>
      </c>
      <c r="C4" s="8">
        <f t="shared" ref="C4:C18" si="0">A4-C24+C45</f>
        <v>3460</v>
      </c>
      <c r="D4" s="8">
        <f>C4+D45-D24-1700</f>
        <v>1471.1599999999999</v>
      </c>
      <c r="E4" s="8">
        <f t="shared" ref="E4:N4" si="1">D4+E45-E24</f>
        <v>1381.2307999999998</v>
      </c>
      <c r="F4" s="8">
        <f t="shared" si="1"/>
        <v>1303.6601839999998</v>
      </c>
      <c r="G4" s="8">
        <f t="shared" si="1"/>
        <v>1784.2566864799996</v>
      </c>
      <c r="H4" s="8">
        <f t="shared" si="1"/>
        <v>1196.6012589103996</v>
      </c>
      <c r="I4" s="8">
        <f t="shared" si="1"/>
        <v>1453.4851569949756</v>
      </c>
      <c r="J4" s="8">
        <f t="shared" si="1"/>
        <v>911.19137711785993</v>
      </c>
      <c r="K4" s="8">
        <f t="shared" si="1"/>
        <v>395.41228623460006</v>
      </c>
      <c r="L4" s="8">
        <f t="shared" si="1"/>
        <v>944.51982262484239</v>
      </c>
      <c r="M4" s="8">
        <f t="shared" si="1"/>
        <v>403.24950974288959</v>
      </c>
      <c r="N4" s="8">
        <f t="shared" si="1"/>
        <v>931.3937906032977</v>
      </c>
    </row>
    <row r="5" spans="1:14" x14ac:dyDescent="0.3">
      <c r="A5" s="1">
        <v>4934</v>
      </c>
      <c r="B5" s="2" t="s">
        <v>2</v>
      </c>
      <c r="C5" s="8">
        <f t="shared" si="0"/>
        <v>6439</v>
      </c>
      <c r="D5" s="8">
        <f t="shared" ref="D5:N5" si="2">C5+D46-D25</f>
        <v>6756.9400000000005</v>
      </c>
      <c r="E5" s="8">
        <f t="shared" si="2"/>
        <v>7526.5198</v>
      </c>
      <c r="F5" s="8">
        <f t="shared" si="2"/>
        <v>9754.0427920000002</v>
      </c>
      <c r="G5" s="8">
        <f t="shared" si="2"/>
        <v>8229.6753241599999</v>
      </c>
      <c r="H5" s="8">
        <f t="shared" si="2"/>
        <v>6746.6288803551997</v>
      </c>
      <c r="I5" s="8">
        <f t="shared" si="2"/>
        <v>5425.0242943025914</v>
      </c>
      <c r="J5" s="8">
        <f t="shared" si="2"/>
        <v>4008.2457541105096</v>
      </c>
      <c r="K5" s="8">
        <f t="shared" si="2"/>
        <v>2813.7472825357149</v>
      </c>
      <c r="L5" s="8">
        <f t="shared" si="2"/>
        <v>4635.6989638034402</v>
      </c>
      <c r="M5" s="8">
        <f t="shared" si="2"/>
        <v>3166.8087123218752</v>
      </c>
      <c r="N5" s="8">
        <f t="shared" si="2"/>
        <v>4358.2617532958639</v>
      </c>
    </row>
    <row r="6" spans="1:14" x14ac:dyDescent="0.3">
      <c r="A6" s="1">
        <v>2605</v>
      </c>
      <c r="B6" s="2" t="s">
        <v>3</v>
      </c>
      <c r="C6" s="8">
        <f t="shared" si="0"/>
        <v>2680</v>
      </c>
      <c r="D6" s="8">
        <f t="shared" ref="D6:N6" si="3">C6+D47-D26</f>
        <v>2215.4</v>
      </c>
      <c r="E6" s="8">
        <f t="shared" si="3"/>
        <v>1725.8480000000002</v>
      </c>
      <c r="F6" s="8">
        <f t="shared" si="3"/>
        <v>4086.9194400000001</v>
      </c>
      <c r="G6" s="8">
        <f t="shared" si="3"/>
        <v>6162.4115943999996</v>
      </c>
      <c r="H6" s="8">
        <f t="shared" si="3"/>
        <v>4473.6388272559998</v>
      </c>
      <c r="I6" s="8">
        <f t="shared" si="3"/>
        <v>6670.0215154548805</v>
      </c>
      <c r="J6" s="8">
        <f t="shared" si="3"/>
        <v>5042.9365498897832</v>
      </c>
      <c r="K6" s="8">
        <f t="shared" si="3"/>
        <v>3549.6949829472896</v>
      </c>
      <c r="L6" s="8">
        <f t="shared" si="3"/>
        <v>4895.003753327097</v>
      </c>
      <c r="M6" s="8">
        <f t="shared" si="3"/>
        <v>3225.5017868182981</v>
      </c>
      <c r="N6" s="8">
        <f t="shared" si="3"/>
        <v>4749.8447613142362</v>
      </c>
    </row>
    <row r="7" spans="1:14" x14ac:dyDescent="0.3">
      <c r="A7" s="1">
        <v>857</v>
      </c>
      <c r="B7" s="2" t="s">
        <v>4</v>
      </c>
      <c r="C7" s="8">
        <f t="shared" si="0"/>
        <v>256</v>
      </c>
      <c r="D7" s="8">
        <f t="shared" ref="D7:N7" si="4">C7+D48-D27</f>
        <v>-10.539999999999964</v>
      </c>
      <c r="E7" s="8">
        <f t="shared" si="4"/>
        <v>-85.322599999999966</v>
      </c>
      <c r="F7" s="8">
        <f t="shared" si="4"/>
        <v>2788.8808870000003</v>
      </c>
      <c r="G7" s="8">
        <f t="shared" si="4"/>
        <v>2159.1423391300004</v>
      </c>
      <c r="H7" s="8">
        <f t="shared" si="4"/>
        <v>1535.4011767387005</v>
      </c>
      <c r="I7" s="8">
        <f t="shared" si="4"/>
        <v>2291.5348375952267</v>
      </c>
      <c r="J7" s="8">
        <f t="shared" si="4"/>
        <v>1697.124488626057</v>
      </c>
      <c r="K7" s="8">
        <f t="shared" si="4"/>
        <v>1165.8669675744209</v>
      </c>
      <c r="L7" s="8">
        <f t="shared" si="4"/>
        <v>1416.2242961017521</v>
      </c>
      <c r="M7" s="8">
        <f t="shared" si="4"/>
        <v>851.28519791435667</v>
      </c>
      <c r="N7" s="8">
        <f t="shared" si="4"/>
        <v>1355.6473177632133</v>
      </c>
    </row>
    <row r="8" spans="1:14" x14ac:dyDescent="0.3">
      <c r="A8" s="1">
        <v>4162</v>
      </c>
      <c r="B8" s="2" t="s">
        <v>44</v>
      </c>
      <c r="C8" s="8">
        <f t="shared" si="0"/>
        <v>3357</v>
      </c>
      <c r="D8" s="8">
        <f t="shared" ref="D8:N8" si="5">C8+D49-D28</f>
        <v>2552</v>
      </c>
      <c r="E8" s="8">
        <f t="shared" si="5"/>
        <v>1747</v>
      </c>
      <c r="F8" s="8">
        <f t="shared" si="5"/>
        <v>942</v>
      </c>
      <c r="G8" s="8">
        <f t="shared" si="5"/>
        <v>137</v>
      </c>
      <c r="H8" s="8">
        <f t="shared" si="5"/>
        <v>-668</v>
      </c>
      <c r="I8" s="8">
        <f t="shared" si="5"/>
        <v>-1473</v>
      </c>
      <c r="J8" s="8">
        <f t="shared" si="5"/>
        <v>-2278</v>
      </c>
      <c r="K8" s="8">
        <f t="shared" si="5"/>
        <v>-3083</v>
      </c>
      <c r="L8" s="8">
        <f t="shared" si="5"/>
        <v>-3888</v>
      </c>
      <c r="M8" s="8">
        <f t="shared" si="5"/>
        <v>-4693</v>
      </c>
      <c r="N8" s="8">
        <f t="shared" si="5"/>
        <v>-5498</v>
      </c>
    </row>
    <row r="9" spans="1:14" x14ac:dyDescent="0.3">
      <c r="A9" s="1">
        <v>6281</v>
      </c>
      <c r="B9" s="2" t="s">
        <v>45</v>
      </c>
      <c r="C9" s="8">
        <f t="shared" si="0"/>
        <v>5694</v>
      </c>
      <c r="D9" s="8">
        <f t="shared" ref="D9:N9" si="6">C9+D50-D29</f>
        <v>5107</v>
      </c>
      <c r="E9" s="8">
        <f t="shared" si="6"/>
        <v>4520</v>
      </c>
      <c r="F9" s="8">
        <f t="shared" si="6"/>
        <v>3933</v>
      </c>
      <c r="G9" s="8">
        <f t="shared" si="6"/>
        <v>3346</v>
      </c>
      <c r="H9" s="8">
        <f t="shared" si="6"/>
        <v>2759</v>
      </c>
      <c r="I9" s="8">
        <f t="shared" si="6"/>
        <v>2172</v>
      </c>
      <c r="J9" s="8">
        <f t="shared" si="6"/>
        <v>1585</v>
      </c>
      <c r="K9" s="8">
        <f t="shared" si="6"/>
        <v>998</v>
      </c>
      <c r="L9" s="8">
        <f t="shared" si="6"/>
        <v>411</v>
      </c>
      <c r="M9" s="8">
        <f t="shared" si="6"/>
        <v>-176</v>
      </c>
      <c r="N9" s="8">
        <f t="shared" si="6"/>
        <v>-763</v>
      </c>
    </row>
    <row r="10" spans="1:14" x14ac:dyDescent="0.3">
      <c r="A10" s="1">
        <v>31891</v>
      </c>
      <c r="B10" s="2" t="s">
        <v>5</v>
      </c>
      <c r="C10" s="8">
        <f t="shared" si="0"/>
        <v>21116.190635451505</v>
      </c>
      <c r="D10" s="8">
        <f t="shared" ref="D10:N10" si="7">C10+D51-D30</f>
        <v>19900.06127090301</v>
      </c>
      <c r="E10" s="8">
        <f t="shared" si="7"/>
        <v>20760.522306354516</v>
      </c>
      <c r="F10" s="8">
        <f t="shared" si="7"/>
        <v>38142.681453806021</v>
      </c>
      <c r="G10" s="8">
        <f t="shared" si="7"/>
        <v>26236.020286377527</v>
      </c>
      <c r="H10" s="8">
        <f t="shared" si="7"/>
        <v>26021.62208289143</v>
      </c>
      <c r="I10" s="8">
        <f t="shared" si="7"/>
        <v>31192.181544573461</v>
      </c>
      <c r="J10" s="8">
        <f t="shared" si="7"/>
        <v>28823.233629730883</v>
      </c>
      <c r="K10" s="8">
        <f t="shared" si="7"/>
        <v>29903.239871397123</v>
      </c>
      <c r="L10" s="8">
        <f t="shared" si="7"/>
        <v>30231.530581249805</v>
      </c>
      <c r="M10" s="8">
        <f t="shared" si="7"/>
        <v>33324.144293334524</v>
      </c>
      <c r="N10" s="8">
        <f t="shared" si="7"/>
        <v>33690.214928484573</v>
      </c>
    </row>
    <row r="11" spans="1:14" x14ac:dyDescent="0.3">
      <c r="A11" s="1">
        <v>90234</v>
      </c>
      <c r="B11" s="2" t="s">
        <v>6</v>
      </c>
      <c r="C11" s="8">
        <f t="shared" si="0"/>
        <v>70891.956521739135</v>
      </c>
      <c r="D11" s="8">
        <f t="shared" ref="D11:N11" si="8">C11+D52-D31</f>
        <v>70969.513043478262</v>
      </c>
      <c r="E11" s="8">
        <f t="shared" si="8"/>
        <v>76231.899565217391</v>
      </c>
      <c r="F11" s="8">
        <f t="shared" si="8"/>
        <v>61530.751886956525</v>
      </c>
      <c r="G11" s="8">
        <f t="shared" si="8"/>
        <v>60622.602124695659</v>
      </c>
      <c r="H11" s="8">
        <f t="shared" si="8"/>
        <v>67143.499173914795</v>
      </c>
      <c r="I11" s="8">
        <f t="shared" si="8"/>
        <v>69465.397412584323</v>
      </c>
      <c r="J11" s="8">
        <f t="shared" si="8"/>
        <v>65797.37390276177</v>
      </c>
      <c r="K11" s="8">
        <f t="shared" si="8"/>
        <v>63754.898196410999</v>
      </c>
      <c r="L11" s="8">
        <f t="shared" si="8"/>
        <v>69200.512234093942</v>
      </c>
      <c r="M11" s="8">
        <f t="shared" si="8"/>
        <v>73843.019422095749</v>
      </c>
      <c r="N11" s="8">
        <f t="shared" si="8"/>
        <v>72852.29313008544</v>
      </c>
    </row>
    <row r="12" spans="1:14" x14ac:dyDescent="0.3">
      <c r="A12" s="1">
        <v>85815</v>
      </c>
      <c r="B12" s="2" t="s">
        <v>7</v>
      </c>
      <c r="C12" s="8">
        <f t="shared" si="0"/>
        <v>68511.85284280937</v>
      </c>
      <c r="D12" s="8">
        <f t="shared" ref="D12:N12" si="9">C12+D53-D32</f>
        <v>73791.795685618737</v>
      </c>
      <c r="E12" s="8">
        <f t="shared" si="9"/>
        <v>83074.443028428097</v>
      </c>
      <c r="F12" s="8">
        <f t="shared" si="9"/>
        <v>75697.285986237461</v>
      </c>
      <c r="G12" s="8">
        <f t="shared" si="9"/>
        <v>77784.198647496829</v>
      </c>
      <c r="H12" s="8">
        <f t="shared" si="9"/>
        <v>80076.60190694069</v>
      </c>
      <c r="I12" s="8">
        <f t="shared" si="9"/>
        <v>61187.888653885515</v>
      </c>
      <c r="J12" s="8">
        <f t="shared" si="9"/>
        <v>58820.061061788991</v>
      </c>
      <c r="K12" s="8">
        <f t="shared" si="9"/>
        <v>61745.643882739634</v>
      </c>
      <c r="L12" s="8">
        <f t="shared" si="9"/>
        <v>66953.57050237876</v>
      </c>
      <c r="M12" s="8">
        <f t="shared" si="9"/>
        <v>71065.420073091082</v>
      </c>
      <c r="N12" s="8">
        <f t="shared" si="9"/>
        <v>71748.709512919508</v>
      </c>
    </row>
    <row r="13" spans="1:14" x14ac:dyDescent="0.3">
      <c r="A13" s="1">
        <v>13264</v>
      </c>
      <c r="B13" s="2" t="s">
        <v>8</v>
      </c>
      <c r="C13" s="8">
        <f t="shared" si="0"/>
        <v>10255</v>
      </c>
      <c r="D13" s="8">
        <f t="shared" ref="D13:N13" si="10">C13+D54-D33</f>
        <v>8689.66</v>
      </c>
      <c r="E13" s="8">
        <f t="shared" si="10"/>
        <v>9493.5597999999991</v>
      </c>
      <c r="F13" s="8">
        <f t="shared" si="10"/>
        <v>12009.257595999999</v>
      </c>
      <c r="G13" s="8">
        <f t="shared" si="10"/>
        <v>8750.1138809799995</v>
      </c>
      <c r="H13" s="8">
        <f t="shared" si="10"/>
        <v>5520.8016031101997</v>
      </c>
      <c r="I13" s="8">
        <f t="shared" si="10"/>
        <v>9412.5555707977946</v>
      </c>
      <c r="J13" s="8">
        <f t="shared" si="10"/>
        <v>8988.1944591316387</v>
      </c>
      <c r="K13" s="8">
        <f t="shared" si="10"/>
        <v>9894.1969585821444</v>
      </c>
      <c r="L13" s="8">
        <f t="shared" si="10"/>
        <v>9442.0395080216604</v>
      </c>
      <c r="M13" s="8">
        <f t="shared" si="10"/>
        <v>9729.2404829555708</v>
      </c>
      <c r="N13" s="8">
        <f t="shared" si="10"/>
        <v>9589.0494725134904</v>
      </c>
    </row>
    <row r="14" spans="1:14" x14ac:dyDescent="0.3">
      <c r="A14" s="1">
        <v>1704</v>
      </c>
      <c r="B14" s="2" t="s">
        <v>9</v>
      </c>
      <c r="C14" s="8">
        <f t="shared" si="0"/>
        <v>1271</v>
      </c>
      <c r="D14" s="8">
        <f t="shared" ref="D14:N14" si="11">C14+D55-D34</f>
        <v>838.18000000000006</v>
      </c>
      <c r="E14" s="8">
        <f t="shared" si="11"/>
        <v>410.4190000000001</v>
      </c>
      <c r="F14" s="8">
        <f t="shared" si="11"/>
        <v>-49.297219999999868</v>
      </c>
      <c r="G14" s="8">
        <f t="shared" si="11"/>
        <v>-513.07060219999983</v>
      </c>
      <c r="H14" s="8">
        <f t="shared" si="11"/>
        <v>-974.79511748899972</v>
      </c>
      <c r="I14" s="8">
        <f t="shared" si="11"/>
        <v>-1404.3651424722198</v>
      </c>
      <c r="J14" s="8">
        <f t="shared" si="11"/>
        <v>-1853.9394672056076</v>
      </c>
      <c r="K14" s="8">
        <f t="shared" si="11"/>
        <v>-2267.6465621969937</v>
      </c>
      <c r="L14" s="8">
        <f t="shared" si="11"/>
        <v>-2709.1907281382937</v>
      </c>
      <c r="M14" s="8">
        <f t="shared" si="11"/>
        <v>-3156.548056568713</v>
      </c>
      <c r="N14" s="8">
        <f t="shared" si="11"/>
        <v>-3611.7725315677408</v>
      </c>
    </row>
    <row r="15" spans="1:14" x14ac:dyDescent="0.3">
      <c r="A15" s="1">
        <v>8377</v>
      </c>
      <c r="B15" s="2" t="s">
        <v>10</v>
      </c>
      <c r="C15" s="8">
        <f t="shared" si="0"/>
        <v>16221</v>
      </c>
      <c r="D15" s="8">
        <f t="shared" ref="D15:N15" si="12">C15+D56-D35</f>
        <v>16559.560000000001</v>
      </c>
      <c r="E15" s="8">
        <f t="shared" si="12"/>
        <v>19804.308800000003</v>
      </c>
      <c r="F15" s="8">
        <f t="shared" si="12"/>
        <v>25543.392576000002</v>
      </c>
      <c r="G15" s="8">
        <f t="shared" si="12"/>
        <v>25457.030540800002</v>
      </c>
      <c r="H15" s="8">
        <f t="shared" si="12"/>
        <v>23820.719542784002</v>
      </c>
      <c r="I15" s="8">
        <f t="shared" si="12"/>
        <v>22035.9774449664</v>
      </c>
      <c r="J15" s="8">
        <f t="shared" si="12"/>
        <v>19989.996611497983</v>
      </c>
      <c r="K15" s="8">
        <f t="shared" si="12"/>
        <v>18019.775011368303</v>
      </c>
      <c r="L15" s="8">
        <f t="shared" si="12"/>
        <v>15995.006763234733</v>
      </c>
      <c r="M15" s="8">
        <f t="shared" si="12"/>
        <v>14138.787657433184</v>
      </c>
      <c r="N15" s="8">
        <f t="shared" si="12"/>
        <v>12487.074844327821</v>
      </c>
    </row>
    <row r="16" spans="1:14" x14ac:dyDescent="0.3">
      <c r="A16" s="1">
        <v>8444</v>
      </c>
      <c r="B16" s="2" t="s">
        <v>11</v>
      </c>
      <c r="C16" s="8">
        <f t="shared" si="0"/>
        <v>13309</v>
      </c>
      <c r="D16" s="8">
        <f t="shared" ref="D16:N16" si="13">C16+D57-D36</f>
        <v>13188.869999999999</v>
      </c>
      <c r="E16" s="8">
        <f t="shared" si="13"/>
        <v>16704.222599999997</v>
      </c>
      <c r="F16" s="8">
        <f t="shared" si="13"/>
        <v>23407.415777999999</v>
      </c>
      <c r="G16" s="8">
        <f t="shared" si="13"/>
        <v>29283.160546679999</v>
      </c>
      <c r="H16" s="8">
        <f t="shared" si="13"/>
        <v>27087.044896854401</v>
      </c>
      <c r="I16" s="8">
        <f t="shared" si="13"/>
        <v>24685.917682046242</v>
      </c>
      <c r="J16" s="8">
        <f t="shared" si="13"/>
        <v>21969.072657164939</v>
      </c>
      <c r="K16" s="8">
        <f t="shared" si="13"/>
        <v>19380.769883527701</v>
      </c>
      <c r="L16" s="8">
        <f t="shared" si="13"/>
        <v>16963.428304045068</v>
      </c>
      <c r="M16" s="8">
        <f t="shared" si="13"/>
        <v>14750.507466715873</v>
      </c>
      <c r="N16" s="8">
        <f t="shared" si="13"/>
        <v>12785.617129866183</v>
      </c>
    </row>
    <row r="17" spans="1:18" x14ac:dyDescent="0.3">
      <c r="A17" s="1">
        <v>2045</v>
      </c>
      <c r="B17" s="2" t="s">
        <v>12</v>
      </c>
      <c r="C17" s="8">
        <f t="shared" si="0"/>
        <v>1456</v>
      </c>
      <c r="D17" s="8">
        <f t="shared" ref="D17:N17" si="14">C17+D58-D37</f>
        <v>872.89</v>
      </c>
      <c r="E17" s="8">
        <f t="shared" si="14"/>
        <v>292.69555000000003</v>
      </c>
      <c r="F17" s="8">
        <f t="shared" si="14"/>
        <v>-290.39987224999993</v>
      </c>
      <c r="G17" s="8">
        <f t="shared" si="14"/>
        <v>1136.6737512774998</v>
      </c>
      <c r="H17" s="8">
        <f t="shared" si="14"/>
        <v>538.91347915791232</v>
      </c>
      <c r="I17" s="8">
        <f t="shared" si="14"/>
        <v>937.19800159593296</v>
      </c>
      <c r="J17" s="8">
        <f t="shared" si="14"/>
        <v>1329.3853692583339</v>
      </c>
      <c r="K17" s="8">
        <f t="shared" si="14"/>
        <v>1740.0471158908629</v>
      </c>
      <c r="L17" s="8">
        <f t="shared" si="14"/>
        <v>2162.6556275907415</v>
      </c>
      <c r="M17" s="8">
        <f t="shared" si="14"/>
        <v>1586.0450116151219</v>
      </c>
      <c r="N17" s="8">
        <f t="shared" si="14"/>
        <v>2028.9666079590147</v>
      </c>
    </row>
    <row r="18" spans="1:18" x14ac:dyDescent="0.3">
      <c r="A18" s="1">
        <v>2131</v>
      </c>
      <c r="B18" s="2" t="s">
        <v>13</v>
      </c>
      <c r="C18" s="8">
        <f t="shared" si="0"/>
        <v>1976</v>
      </c>
      <c r="D18" s="8">
        <f t="shared" ref="D18:N18" si="15">C18+D59-D38</f>
        <v>1845.8</v>
      </c>
      <c r="E18" s="8">
        <f t="shared" si="15"/>
        <v>1703.8820000000001</v>
      </c>
      <c r="F18" s="8">
        <f t="shared" si="15"/>
        <v>1557.7064600000001</v>
      </c>
      <c r="G18" s="8">
        <f t="shared" si="15"/>
        <v>1407.1456538000002</v>
      </c>
      <c r="H18" s="8">
        <f t="shared" si="15"/>
        <v>1254.3264355070003</v>
      </c>
      <c r="I18" s="8">
        <f t="shared" si="15"/>
        <v>1098.4508328481402</v>
      </c>
      <c r="J18" s="8">
        <f t="shared" si="15"/>
        <v>941.01647416269157</v>
      </c>
      <c r="K18" s="8">
        <f t="shared" si="15"/>
        <v>783.58211547724295</v>
      </c>
      <c r="L18" s="8">
        <f t="shared" si="15"/>
        <v>627.72210037864886</v>
      </c>
      <c r="M18" s="8">
        <f t="shared" si="15"/>
        <v>473.42068543104074</v>
      </c>
      <c r="N18" s="8">
        <f t="shared" si="15"/>
        <v>322.20529878238472</v>
      </c>
    </row>
    <row r="19" spans="1:18" x14ac:dyDescent="0.3">
      <c r="B19" s="36" t="s">
        <v>28</v>
      </c>
      <c r="C19" s="37">
        <f>SUM(C4:C18)</f>
        <v>226894</v>
      </c>
      <c r="D19" s="37">
        <f t="shared" ref="D19:N19" si="16">SUM(D4:D18)</f>
        <v>224748.29</v>
      </c>
      <c r="E19" s="37">
        <f t="shared" si="16"/>
        <v>245291.22865</v>
      </c>
      <c r="F19" s="37">
        <f t="shared" si="16"/>
        <v>260357.29794774999</v>
      </c>
      <c r="G19" s="37">
        <f t="shared" si="16"/>
        <v>251982.36077407756</v>
      </c>
      <c r="H19" s="37">
        <f t="shared" si="16"/>
        <v>246532.00414693172</v>
      </c>
      <c r="I19" s="37">
        <f t="shared" si="16"/>
        <v>235150.26780517327</v>
      </c>
      <c r="J19" s="37">
        <f t="shared" si="16"/>
        <v>215770.89286803582</v>
      </c>
      <c r="K19" s="37">
        <f t="shared" si="16"/>
        <v>208794.22799248906</v>
      </c>
      <c r="L19" s="37">
        <f t="shared" si="16"/>
        <v>217281.72172871223</v>
      </c>
      <c r="M19" s="37">
        <f t="shared" si="16"/>
        <v>218531.88224290084</v>
      </c>
      <c r="N19" s="37">
        <f t="shared" si="16"/>
        <v>217026.50601634727</v>
      </c>
    </row>
    <row r="20" spans="1:18" x14ac:dyDescent="0.3">
      <c r="B20" s="36" t="s">
        <v>29</v>
      </c>
      <c r="C20" s="38">
        <f>SUM(C4:C7)*$R$46+SUM(C8:C9)*$R$48+SUM(C10:C14)*$R$47+SUM(C15:C16)*$R$49+SUM(C17:C18)*$R$50</f>
        <v>7444320257.5</v>
      </c>
      <c r="D20" s="38">
        <f t="shared" ref="D20:G20" si="17">SUM(D4:D7)*$R$46+SUM(D8:D9)*$R$48+SUM(D10:D14)*$R$47+SUM(D15:D16)*$R$49+SUM(D17:D18)*$R$50</f>
        <v>7403381599.4249992</v>
      </c>
      <c r="E20" s="38">
        <f t="shared" si="17"/>
        <v>8070309687.6324987</v>
      </c>
      <c r="F20" s="38">
        <f t="shared" si="17"/>
        <v>8430107616.2124672</v>
      </c>
      <c r="G20" s="38">
        <f t="shared" si="17"/>
        <v>8057834864.3845367</v>
      </c>
      <c r="H20" s="38">
        <f>SUM(H4:H7)*$R$46+SUM(H8:H9)*$R$48+SUM(H10:H14)*$R$54+SUM(H15:H16)*$R$49+SUM(H17:H18)*$R$50</f>
        <v>8062808032.6132946</v>
      </c>
      <c r="I20" s="38">
        <f t="shared" ref="I20:N20" si="18">SUM(I4:I7)*$R$46+SUM(I8:I9)*$R$48+SUM(I10:I14)*$R$54+SUM(I15:I16)*$R$49+SUM(I17:I18)*$R$50</f>
        <v>7678059858.0080023</v>
      </c>
      <c r="J20" s="38">
        <f t="shared" si="18"/>
        <v>7074315299.1140251</v>
      </c>
      <c r="K20" s="38">
        <f t="shared" si="18"/>
        <v>6902820489.0662403</v>
      </c>
      <c r="L20" s="38">
        <f t="shared" si="18"/>
        <v>7203140293.3287935</v>
      </c>
      <c r="M20" s="38">
        <f t="shared" si="18"/>
        <v>7342891667.5848379</v>
      </c>
      <c r="N20" s="38">
        <f t="shared" si="18"/>
        <v>7283275442.7685165</v>
      </c>
    </row>
    <row r="22" spans="1:18" x14ac:dyDescent="0.3">
      <c r="B22" s="46" t="s">
        <v>40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R22" s="1">
        <v>44</v>
      </c>
    </row>
    <row r="23" spans="1:18" x14ac:dyDescent="0.3">
      <c r="B23" s="2" t="s">
        <v>0</v>
      </c>
      <c r="C23" s="2" t="s">
        <v>26</v>
      </c>
      <c r="D23" s="5" t="s">
        <v>14</v>
      </c>
      <c r="E23" s="2" t="s">
        <v>15</v>
      </c>
      <c r="F23" s="5" t="s">
        <v>16</v>
      </c>
      <c r="G23" s="5" t="s">
        <v>17</v>
      </c>
      <c r="H23" s="5" t="s">
        <v>18</v>
      </c>
      <c r="I23" s="2" t="s">
        <v>19</v>
      </c>
      <c r="J23" s="5" t="s">
        <v>20</v>
      </c>
      <c r="K23" s="2" t="s">
        <v>21</v>
      </c>
      <c r="L23" s="5" t="s">
        <v>22</v>
      </c>
      <c r="M23" s="5" t="s">
        <v>23</v>
      </c>
      <c r="N23" s="5" t="s">
        <v>24</v>
      </c>
      <c r="R23" s="1">
        <v>54</v>
      </c>
    </row>
    <row r="24" spans="1:18" x14ac:dyDescent="0.3">
      <c r="B24" s="2" t="s">
        <v>1</v>
      </c>
      <c r="C24" s="4">
        <v>663</v>
      </c>
      <c r="D24" s="8">
        <f>Sheet2!L5+Sheet2!L22+Sheet2!L39</f>
        <v>558.84</v>
      </c>
      <c r="E24" s="8">
        <f>Sheet2!M5+Sheet2!M22+Sheet2!M39</f>
        <v>629.92920000000004</v>
      </c>
      <c r="F24" s="8">
        <f>Sheet2!N5+Sheet2!N22+Sheet2!N39</f>
        <v>617.57061600000009</v>
      </c>
      <c r="G24" s="8">
        <f>Sheet2!O5+Sheet2!O22+Sheet2!O39</f>
        <v>599.40349752000009</v>
      </c>
      <c r="H24" s="8">
        <f>Sheet2!P5+Sheet2!P22+Sheet2!P39</f>
        <v>587.65542756960008</v>
      </c>
      <c r="I24" s="8">
        <f>Sheet2!Q5+Sheet2!Q22+Sheet2!Q39</f>
        <v>553.11610191542411</v>
      </c>
      <c r="J24" s="8">
        <f>Sheet2!R5+Sheet2!R22+Sheet2!R39</f>
        <v>542.29377987711564</v>
      </c>
      <c r="K24" s="8">
        <f>Sheet2!S5+Sheet2!S22+Sheet2!S39</f>
        <v>515.77909088325987</v>
      </c>
      <c r="L24" s="8">
        <f>Sheet2!T5+Sheet2!T22+Sheet2!T39</f>
        <v>530.89246360975767</v>
      </c>
      <c r="M24" s="8">
        <f>Sheet2!U5+Sheet2!U22+Sheet2!U39</f>
        <v>541.2703128819528</v>
      </c>
      <c r="N24" s="8">
        <f>Sheet2!V5+Sheet2!V22+Sheet2!V39</f>
        <v>551.85571913959188</v>
      </c>
    </row>
    <row r="25" spans="1:18" x14ac:dyDescent="0.3">
      <c r="B25" s="2" t="s">
        <v>2</v>
      </c>
      <c r="C25" s="4">
        <v>1465</v>
      </c>
      <c r="D25" s="8">
        <f>Sheet2!L6+Sheet2!L23+Sheet2!L40</f>
        <v>1302.06</v>
      </c>
      <c r="E25" s="8">
        <f>Sheet2!M6+Sheet2!M23+Sheet2!M40</f>
        <v>1390.4202</v>
      </c>
      <c r="F25" s="8">
        <f>Sheet2!N6+Sheet2!N23+Sheet2!N40</f>
        <v>1552.4770080000001</v>
      </c>
      <c r="G25" s="8">
        <f>Sheet2!O6+Sheet2!O23+Sheet2!O40</f>
        <v>1524.36746784</v>
      </c>
      <c r="H25" s="8">
        <f>Sheet2!P6+Sheet2!P23+Sheet2!P40</f>
        <v>1483.0464438048</v>
      </c>
      <c r="I25" s="8">
        <f>Sheet2!Q6+Sheet2!Q23+Sheet2!Q40</f>
        <v>1321.6045860526081</v>
      </c>
      <c r="J25" s="8">
        <f>Sheet2!R6+Sheet2!R23+Sheet2!R40</f>
        <v>1416.7785401920819</v>
      </c>
      <c r="K25" s="8">
        <f>Sheet2!S6+Sheet2!S23+Sheet2!S40</f>
        <v>1194.4984715747946</v>
      </c>
      <c r="L25" s="8">
        <f>Sheet2!T6+Sheet2!T23+Sheet2!T40</f>
        <v>1418.0483187322741</v>
      </c>
      <c r="M25" s="8">
        <f>Sheet2!U6+Sheet2!U23+Sheet2!U40</f>
        <v>1468.890251481565</v>
      </c>
      <c r="N25" s="8">
        <f>Sheet2!V6+Sheet2!V23+Sheet2!V40</f>
        <v>1508.546959026012</v>
      </c>
    </row>
    <row r="26" spans="1:18" x14ac:dyDescent="0.3">
      <c r="B26" s="2" t="s">
        <v>3</v>
      </c>
      <c r="C26" s="4">
        <v>1545</v>
      </c>
      <c r="D26" s="8">
        <f>Sheet2!L7+Sheet2!L24+Sheet2!L41</f>
        <v>1544.6</v>
      </c>
      <c r="E26" s="8">
        <f>Sheet2!M7+Sheet2!M24+Sheet2!M41</f>
        <v>1569.5519999999999</v>
      </c>
      <c r="F26" s="8">
        <f>Sheet2!N7+Sheet2!N24+Sheet2!N41</f>
        <v>1688.9285599999998</v>
      </c>
      <c r="G26" s="8">
        <f>Sheet2!O7+Sheet2!O24+Sheet2!O41</f>
        <v>1704.5078455999999</v>
      </c>
      <c r="H26" s="8">
        <f>Sheet2!P7+Sheet2!P24+Sheet2!P41</f>
        <v>1688.7727671439998</v>
      </c>
      <c r="I26" s="8">
        <f>Sheet2!Q7+Sheet2!Q24+Sheet2!Q41</f>
        <v>1583.6173118011197</v>
      </c>
      <c r="J26" s="8">
        <f>Sheet2!R7+Sheet2!R24+Sheet2!R41</f>
        <v>1627.0849655650973</v>
      </c>
      <c r="K26" s="8">
        <f>Sheet2!S7+Sheet2!S24+Sheet2!S41</f>
        <v>1493.2415669424934</v>
      </c>
      <c r="L26" s="8">
        <f>Sheet2!T7+Sheet2!T24+Sheet2!T41</f>
        <v>1624.6912296201931</v>
      </c>
      <c r="M26" s="8">
        <f>Sheet2!U7+Sheet2!U24+Sheet2!U41</f>
        <v>1669.5019665087989</v>
      </c>
      <c r="N26" s="8">
        <f>Sheet2!V7+Sheet2!V24+Sheet2!V41</f>
        <v>1715.6570255040629</v>
      </c>
    </row>
    <row r="27" spans="1:18" x14ac:dyDescent="0.3">
      <c r="B27" s="2" t="s">
        <v>4</v>
      </c>
      <c r="C27" s="4">
        <v>601</v>
      </c>
      <c r="D27" s="8">
        <f>Sheet2!L8+Sheet2!L25+Sheet2!L42</f>
        <v>536.54</v>
      </c>
      <c r="E27" s="8">
        <f>Sheet2!M8+Sheet2!M25+Sheet2!M42</f>
        <v>614.7826</v>
      </c>
      <c r="F27" s="8">
        <f>Sheet2!N8+Sheet2!N25+Sheet2!N42</f>
        <v>635.796513</v>
      </c>
      <c r="G27" s="8">
        <f>Sheet2!O8+Sheet2!O25+Sheet2!O42</f>
        <v>629.73854787000005</v>
      </c>
      <c r="H27" s="8">
        <f>Sheet2!P8+Sheet2!P25+Sheet2!P42</f>
        <v>623.74116239130001</v>
      </c>
      <c r="I27" s="8">
        <f>Sheet2!Q8+Sheet2!Q25+Sheet2!Q42</f>
        <v>593.86633914347397</v>
      </c>
      <c r="J27" s="8">
        <f>Sheet2!R8+Sheet2!R25+Sheet2!R42</f>
        <v>594.41034896916972</v>
      </c>
      <c r="K27" s="8">
        <f>Sheet2!S8+Sheet2!S25+Sheet2!S42</f>
        <v>531.2575210516361</v>
      </c>
      <c r="L27" s="8">
        <f>Sheet2!T8+Sheet2!T25+Sheet2!T42</f>
        <v>559.64267147266878</v>
      </c>
      <c r="M27" s="8">
        <f>Sheet2!U8+Sheet2!U25+Sheet2!U42</f>
        <v>564.93909818739542</v>
      </c>
      <c r="N27" s="8">
        <f>Sheet2!V8+Sheet2!V25+Sheet2!V42</f>
        <v>575.63788015114335</v>
      </c>
    </row>
    <row r="28" spans="1:18" x14ac:dyDescent="0.3">
      <c r="B28" s="2" t="s">
        <v>44</v>
      </c>
      <c r="C28" s="4">
        <v>805</v>
      </c>
      <c r="D28" s="8">
        <f>Sheet2!L9+Sheet2!L26+Sheet2!L43</f>
        <v>805</v>
      </c>
      <c r="E28" s="8">
        <f>Sheet2!M9+Sheet2!M26+Sheet2!M43</f>
        <v>805</v>
      </c>
      <c r="F28" s="8">
        <f>Sheet2!N9+Sheet2!N26+Sheet2!N43</f>
        <v>805</v>
      </c>
      <c r="G28" s="8">
        <f>Sheet2!O9+Sheet2!O26+Sheet2!O43</f>
        <v>805</v>
      </c>
      <c r="H28" s="8">
        <f>Sheet2!P9+Sheet2!P26+Sheet2!P43</f>
        <v>805</v>
      </c>
      <c r="I28" s="8">
        <f>Sheet2!Q9+Sheet2!Q26+Sheet2!Q43</f>
        <v>805</v>
      </c>
      <c r="J28" s="8">
        <f>Sheet2!R9+Sheet2!R26+Sheet2!R43</f>
        <v>805</v>
      </c>
      <c r="K28" s="8">
        <f>Sheet2!S9+Sheet2!S26+Sheet2!S43</f>
        <v>805</v>
      </c>
      <c r="L28" s="8">
        <f>Sheet2!T9+Sheet2!T26+Sheet2!T43</f>
        <v>805</v>
      </c>
      <c r="M28" s="8">
        <f>Sheet2!U9+Sheet2!U26+Sheet2!U43</f>
        <v>805</v>
      </c>
      <c r="N28" s="8">
        <f>Sheet2!V9+Sheet2!V26+Sheet2!V43</f>
        <v>805</v>
      </c>
    </row>
    <row r="29" spans="1:18" x14ac:dyDescent="0.3">
      <c r="B29" s="2" t="s">
        <v>45</v>
      </c>
      <c r="C29" s="4">
        <v>587</v>
      </c>
      <c r="D29" s="8">
        <f>Sheet2!L10+Sheet2!L27+Sheet2!L44</f>
        <v>587</v>
      </c>
      <c r="E29" s="8">
        <f>Sheet2!M10+Sheet2!M27+Sheet2!M44</f>
        <v>587</v>
      </c>
      <c r="F29" s="8">
        <f>Sheet2!N10+Sheet2!N27+Sheet2!N44</f>
        <v>587</v>
      </c>
      <c r="G29" s="8">
        <f>Sheet2!O10+Sheet2!O27+Sheet2!O44</f>
        <v>587</v>
      </c>
      <c r="H29" s="8">
        <f>Sheet2!P10+Sheet2!P27+Sheet2!P44</f>
        <v>587</v>
      </c>
      <c r="I29" s="8">
        <f>Sheet2!Q10+Sheet2!Q27+Sheet2!Q44</f>
        <v>587</v>
      </c>
      <c r="J29" s="8">
        <f>Sheet2!R10+Sheet2!R27+Sheet2!R44</f>
        <v>587</v>
      </c>
      <c r="K29" s="8">
        <f>Sheet2!S10+Sheet2!S27+Sheet2!S44</f>
        <v>587</v>
      </c>
      <c r="L29" s="8">
        <f>Sheet2!T10+Sheet2!T27+Sheet2!T44</f>
        <v>587</v>
      </c>
      <c r="M29" s="8">
        <f>Sheet2!U10+Sheet2!U27+Sheet2!U44</f>
        <v>587</v>
      </c>
      <c r="N29" s="8">
        <f>Sheet2!V10+Sheet2!V27+Sheet2!V44</f>
        <v>587</v>
      </c>
    </row>
    <row r="30" spans="1:18" x14ac:dyDescent="0.3">
      <c r="B30" s="2" t="s">
        <v>5</v>
      </c>
      <c r="C30" s="4">
        <v>10774.809364548495</v>
      </c>
      <c r="D30" s="8">
        <f>Sheet2!L11+Sheet2!L28+Sheet2!L45</f>
        <v>11200.129364548495</v>
      </c>
      <c r="E30" s="8">
        <f>Sheet2!M11+Sheet2!M28+Sheet2!M45</f>
        <v>10659.538964548494</v>
      </c>
      <c r="F30" s="8">
        <f>Sheet2!N11+Sheet2!N28+Sheet2!N45</f>
        <v>11801.840852548494</v>
      </c>
      <c r="G30" s="8">
        <f>Sheet2!O11+Sheet2!O28+Sheet2!O45</f>
        <v>11906.661167428494</v>
      </c>
      <c r="H30" s="8">
        <f>Sheet2!P11+Sheet2!P28+Sheet2!P45</f>
        <v>12118.398203486095</v>
      </c>
      <c r="I30" s="8">
        <f>Sheet2!Q11+Sheet2!Q28+Sheet2!Q45</f>
        <v>10957.440538317967</v>
      </c>
      <c r="J30" s="8">
        <f>Sheet2!R11+Sheet2!R28+Sheet2!R45</f>
        <v>11584.947914842578</v>
      </c>
      <c r="K30" s="8">
        <f>Sheet2!S11+Sheet2!S28+Sheet2!S45</f>
        <v>10439.993758333756</v>
      </c>
      <c r="L30" s="8">
        <f>Sheet2!T11+Sheet2!T28+Sheet2!T45</f>
        <v>11575.709290147313</v>
      </c>
      <c r="M30" s="8">
        <f>Sheet2!U11+Sheet2!U28+Sheet2!U45</f>
        <v>11883.386287915278</v>
      </c>
      <c r="N30" s="8">
        <f>Sheet2!V11+Sheet2!V28+Sheet2!V45</f>
        <v>12305.92936484995</v>
      </c>
    </row>
    <row r="31" spans="1:18" x14ac:dyDescent="0.3">
      <c r="B31" s="2" t="s">
        <v>6</v>
      </c>
      <c r="C31" s="4">
        <v>19342.043478260868</v>
      </c>
      <c r="D31" s="8">
        <f>Sheet2!L12+Sheet2!L29+Sheet2!L46</f>
        <v>21042.44347826087</v>
      </c>
      <c r="E31" s="8">
        <f>Sheet2!M12+Sheet2!M29+Sheet2!M46</f>
        <v>19697.613478260868</v>
      </c>
      <c r="F31" s="8">
        <f>Sheet2!N12+Sheet2!N29+Sheet2!N46</f>
        <v>23149.147678260866</v>
      </c>
      <c r="G31" s="8">
        <f>Sheet2!O12+Sheet2!O29+Sheet2!O46</f>
        <v>23564.149762260866</v>
      </c>
      <c r="H31" s="8">
        <f>Sheet2!P12+Sheet2!P29+Sheet2!P46</f>
        <v>24199.102950780867</v>
      </c>
      <c r="I31" s="8">
        <f>Sheet2!Q12+Sheet2!Q29+Sheet2!Q46</f>
        <v>21486.101761330468</v>
      </c>
      <c r="J31" s="8">
        <f>Sheet2!R12+Sheet2!R29+Sheet2!R46</f>
        <v>24404.023509822557</v>
      </c>
      <c r="K31" s="8">
        <f>Sheet2!S12+Sheet2!S29+Sheet2!S46</f>
        <v>19706.475706350771</v>
      </c>
      <c r="L31" s="8">
        <f>Sheet2!T12+Sheet2!T29+Sheet2!T46</f>
        <v>23354.385962317065</v>
      </c>
      <c r="M31" s="8">
        <f>Sheet2!U12+Sheet2!U29+Sheet2!U46</f>
        <v>23773.492811998189</v>
      </c>
      <c r="N31" s="8">
        <f>Sheet2!V12+Sheet2!V29+Sheet2!V46</f>
        <v>24414.726292010309</v>
      </c>
    </row>
    <row r="32" spans="1:18" x14ac:dyDescent="0.3">
      <c r="B32" s="2" t="s">
        <v>7</v>
      </c>
      <c r="C32" s="4">
        <v>17303.147157190637</v>
      </c>
      <c r="D32" s="8">
        <f>Sheet2!L13+Sheet2!L30+Sheet2!L47</f>
        <v>19680.057157190637</v>
      </c>
      <c r="E32" s="8">
        <f>Sheet2!M13+Sheet2!M30+Sheet2!M47</f>
        <v>17597.352657190637</v>
      </c>
      <c r="F32" s="8">
        <f>Sheet2!N13+Sheet2!N30+Sheet2!N47</f>
        <v>21585.157042190636</v>
      </c>
      <c r="G32" s="8">
        <f>Sheet2!O13+Sheet2!O30+Sheet2!O47</f>
        <v>22105.087338740635</v>
      </c>
      <c r="H32" s="8">
        <f>Sheet2!P13+Sheet2!P30+Sheet2!P47</f>
        <v>22283.596740556135</v>
      </c>
      <c r="I32" s="8">
        <f>Sheet2!Q13+Sheet2!Q30+Sheet2!Q47</f>
        <v>18888.713253055172</v>
      </c>
      <c r="J32" s="8">
        <f>Sheet2!R13+Sheet2!R30+Sheet2!R47</f>
        <v>21567.827592096528</v>
      </c>
      <c r="K32" s="8">
        <f>Sheet2!S13+Sheet2!S30+Sheet2!S47</f>
        <v>18194.417179049353</v>
      </c>
      <c r="L32" s="8">
        <f>Sheet2!T13+Sheet2!T30+Sheet2!T47</f>
        <v>22056.073380360875</v>
      </c>
      <c r="M32" s="8">
        <f>Sheet2!U13+Sheet2!U30+Sheet2!U47</f>
        <v>22768.150429287685</v>
      </c>
      <c r="N32" s="8">
        <f>Sheet2!V13+Sheet2!V30+Sheet2!V47</f>
        <v>23508.710560171567</v>
      </c>
    </row>
    <row r="33" spans="2:25" x14ac:dyDescent="0.3">
      <c r="B33" s="2" t="s">
        <v>8</v>
      </c>
      <c r="C33" s="4">
        <v>3009</v>
      </c>
      <c r="D33" s="8">
        <f>Sheet2!L14+Sheet2!L31+Sheet2!L48</f>
        <v>3101.34</v>
      </c>
      <c r="E33" s="8">
        <f>Sheet2!M14+Sheet2!M31+Sheet2!M48</f>
        <v>3036.1002000000003</v>
      </c>
      <c r="F33" s="8">
        <f>Sheet2!N14+Sheet2!N31+Sheet2!N48</f>
        <v>3244.3022040000005</v>
      </c>
      <c r="G33" s="8">
        <f>Sheet2!O14+Sheet2!O31+Sheet2!O48</f>
        <v>3259.1437150200004</v>
      </c>
      <c r="H33" s="8">
        <f>Sheet2!P14+Sheet2!P31+Sheet2!P48</f>
        <v>3229.3122778698003</v>
      </c>
      <c r="I33" s="8">
        <f>Sheet2!Q14+Sheet2!Q31+Sheet2!Q48</f>
        <v>3020.2460323124042</v>
      </c>
      <c r="J33" s="8">
        <f>Sheet2!R14+Sheet2!R31+Sheet2!R48</f>
        <v>3112.3611116661559</v>
      </c>
      <c r="K33" s="8">
        <f>Sheet2!S14+Sheet2!S31+Sheet2!S48</f>
        <v>2933.9975005494944</v>
      </c>
      <c r="L33" s="8">
        <f>Sheet2!T14+Sheet2!T31+Sheet2!T48</f>
        <v>3140.1574505604844</v>
      </c>
      <c r="M33" s="8">
        <f>Sheet2!U14+Sheet2!U31+Sheet2!U48</f>
        <v>3168.7990250660891</v>
      </c>
      <c r="N33" s="8">
        <f>Sheet2!V14+Sheet2!V31+Sheet2!V48</f>
        <v>3212.1910104420804</v>
      </c>
    </row>
    <row r="34" spans="2:25" x14ac:dyDescent="0.3">
      <c r="B34" s="2" t="s">
        <v>9</v>
      </c>
      <c r="C34" s="4">
        <v>433</v>
      </c>
      <c r="D34" s="8">
        <f>Sheet2!L15+Sheet2!L32+Sheet2!L49</f>
        <v>432.82</v>
      </c>
      <c r="E34" s="8">
        <f>Sheet2!M15+Sheet2!M32+Sheet2!M49</f>
        <v>427.76099999999997</v>
      </c>
      <c r="F34" s="8">
        <f>Sheet2!N15+Sheet2!N32+Sheet2!N49</f>
        <v>459.71621999999996</v>
      </c>
      <c r="G34" s="8">
        <f>Sheet2!O15+Sheet2!O32+Sheet2!O49</f>
        <v>463.77338219999996</v>
      </c>
      <c r="H34" s="8">
        <f>Sheet2!P15+Sheet2!P32+Sheet2!P49</f>
        <v>461.72451528899995</v>
      </c>
      <c r="I34" s="8">
        <f>Sheet2!Q15+Sheet2!Q32+Sheet2!Q49</f>
        <v>429.57002498321998</v>
      </c>
      <c r="J34" s="8">
        <f>Sheet2!R15+Sheet2!R32+Sheet2!R49</f>
        <v>449.57432473338775</v>
      </c>
      <c r="K34" s="8">
        <f>Sheet2!S15+Sheet2!S32+Sheet2!S49</f>
        <v>413.7070949913861</v>
      </c>
      <c r="L34" s="8">
        <f>Sheet2!T15+Sheet2!T32+Sheet2!T49</f>
        <v>441.54416594129998</v>
      </c>
      <c r="M34" s="8">
        <f>Sheet2!U15+Sheet2!U32+Sheet2!U49</f>
        <v>447.3573284304195</v>
      </c>
      <c r="N34" s="8">
        <f>Sheet2!V15+Sheet2!V32+Sheet2!V49</f>
        <v>455.2244749990279</v>
      </c>
    </row>
    <row r="35" spans="2:25" x14ac:dyDescent="0.3">
      <c r="B35" s="2" t="s">
        <v>10</v>
      </c>
      <c r="C35" s="4">
        <v>1516</v>
      </c>
      <c r="D35" s="8">
        <f>Sheet2!L16+Sheet2!L33+Sheet2!L50</f>
        <v>1461.44</v>
      </c>
      <c r="E35" s="8">
        <f>Sheet2!M16+Sheet2!M33+Sheet2!M50</f>
        <v>1435.2512000000002</v>
      </c>
      <c r="F35" s="8">
        <f>Sheet2!N16+Sheet2!N33+Sheet2!N50</f>
        <v>1460.9162240000001</v>
      </c>
      <c r="G35" s="8">
        <f>Sheet2!O16+Sheet2!O33+Sheet2!O50</f>
        <v>1526.3620352</v>
      </c>
      <c r="H35" s="8">
        <f>Sheet2!P16+Sheet2!P33+Sheet2!P50</f>
        <v>1636.310998016</v>
      </c>
      <c r="I35" s="8">
        <f>Sheet2!Q16+Sheet2!Q33+Sheet2!Q50</f>
        <v>1784.7420978176001</v>
      </c>
      <c r="J35" s="8">
        <f>Sheet2!R16+Sheet2!R33+Sheet2!R50</f>
        <v>2045.9808334684162</v>
      </c>
      <c r="K35" s="8">
        <f>Sheet2!S16+Sheet2!S33+Sheet2!S50</f>
        <v>1970.2216001296795</v>
      </c>
      <c r="L35" s="8">
        <f>Sheet2!T16+Sheet2!T33+Sheet2!T50</f>
        <v>2024.7682481335698</v>
      </c>
      <c r="M35" s="8">
        <f>Sheet2!U16+Sheet2!U33+Sheet2!U50</f>
        <v>1856.2191058015485</v>
      </c>
      <c r="N35" s="8">
        <f>Sheet2!V16+Sheet2!V33+Sheet2!V50</f>
        <v>1651.7128131053628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2:25" x14ac:dyDescent="0.3">
      <c r="B36" s="2" t="s">
        <v>11</v>
      </c>
      <c r="C36" s="4">
        <v>1975</v>
      </c>
      <c r="D36" s="8">
        <f>Sheet2!L17+Sheet2!L34+Sheet2!L51</f>
        <v>1920.13</v>
      </c>
      <c r="E36" s="8">
        <f>Sheet2!M17+Sheet2!M34+Sheet2!M51</f>
        <v>1884.6474000000001</v>
      </c>
      <c r="F36" s="8">
        <f>Sheet2!N17+Sheet2!N34+Sheet2!N51</f>
        <v>1936.806822</v>
      </c>
      <c r="G36" s="8">
        <f>Sheet2!O17+Sheet2!O34+Sheet2!O51</f>
        <v>2044.2552313199999</v>
      </c>
      <c r="H36" s="8">
        <f>Sheet2!P17+Sheet2!P34+Sheet2!P51</f>
        <v>2196.1156498256</v>
      </c>
      <c r="I36" s="8">
        <f>Sheet2!Q17+Sheet2!Q34+Sheet2!Q51</f>
        <v>2401.1272148081598</v>
      </c>
      <c r="J36" s="8">
        <f>Sheet2!R17+Sheet2!R34+Sheet2!R51</f>
        <v>2716.8450248813024</v>
      </c>
      <c r="K36" s="8">
        <f>Sheet2!S17+Sheet2!S34+Sheet2!S51</f>
        <v>2588.3027736372374</v>
      </c>
      <c r="L36" s="8">
        <f>Sheet2!T17+Sheet2!T34+Sheet2!T51</f>
        <v>2417.3415794826306</v>
      </c>
      <c r="M36" s="8">
        <f>Sheet2!U17+Sheet2!U34+Sheet2!U51</f>
        <v>2212.920837329194</v>
      </c>
      <c r="N36" s="8">
        <f>Sheet2!V17+Sheet2!V34+Sheet2!V51</f>
        <v>1964.8903368496908</v>
      </c>
    </row>
    <row r="37" spans="2:25" x14ac:dyDescent="0.3">
      <c r="B37" s="2" t="s">
        <v>12</v>
      </c>
      <c r="C37" s="4">
        <v>589</v>
      </c>
      <c r="D37" s="8">
        <f>Sheet2!L18+Sheet2!L35+Sheet2!L52</f>
        <v>583.11</v>
      </c>
      <c r="E37" s="8">
        <f>Sheet2!M18+Sheet2!M35+Sheet2!M52</f>
        <v>580.19444999999996</v>
      </c>
      <c r="F37" s="8">
        <f>Sheet2!N18+Sheet2!N35+Sheet2!N52</f>
        <v>583.09542224999996</v>
      </c>
      <c r="G37" s="8">
        <f>Sheet2!O18+Sheet2!O35+Sheet2!O52</f>
        <v>588.92637647250001</v>
      </c>
      <c r="H37" s="8">
        <f>Sheet2!P18+Sheet2!P35+Sheet2!P52</f>
        <v>597.76027211958751</v>
      </c>
      <c r="I37" s="8">
        <f>Sheet2!Q18+Sheet2!Q35+Sheet2!Q52</f>
        <v>609.71547756197924</v>
      </c>
      <c r="J37" s="8">
        <f>Sheet2!R18+Sheet2!R35+Sheet2!R52</f>
        <v>615.81263233759898</v>
      </c>
      <c r="K37" s="8">
        <f>Sheet2!S18+Sheet2!S35+Sheet2!S52</f>
        <v>597.338253367471</v>
      </c>
      <c r="L37" s="8">
        <f>Sheet2!T18+Sheet2!T35+Sheet2!T52</f>
        <v>585.39148830012152</v>
      </c>
      <c r="M37" s="8">
        <f>Sheet2!U18+Sheet2!U35+Sheet2!U52</f>
        <v>576.61061597561968</v>
      </c>
      <c r="N37" s="8">
        <f>Sheet2!V18+Sheet2!V35+Sheet2!V52</f>
        <v>565.0784036561073</v>
      </c>
    </row>
    <row r="38" spans="2:25" x14ac:dyDescent="0.3">
      <c r="B38" s="2" t="s">
        <v>13</v>
      </c>
      <c r="C38" s="4">
        <v>155</v>
      </c>
      <c r="D38" s="8">
        <f>Sheet2!L19+Sheet2!L36+Sheet2!L53</f>
        <v>130.19999999999999</v>
      </c>
      <c r="E38" s="8">
        <f>Sheet2!M19+Sheet2!M36+Sheet2!M53</f>
        <v>141.91799999999998</v>
      </c>
      <c r="F38" s="8">
        <f>Sheet2!N19+Sheet2!N36+Sheet2!N53</f>
        <v>146.17553999999998</v>
      </c>
      <c r="G38" s="8">
        <f>Sheet2!O19+Sheet2!O36+Sheet2!O53</f>
        <v>150.56080619999997</v>
      </c>
      <c r="H38" s="8">
        <f>Sheet2!P19+Sheet2!P36+Sheet2!P53</f>
        <v>152.81921829299998</v>
      </c>
      <c r="I38" s="8">
        <f>Sheet2!Q19+Sheet2!Q36+Sheet2!Q53</f>
        <v>155.87560265885998</v>
      </c>
      <c r="J38" s="8">
        <f>Sheet2!R19+Sheet2!R36+Sheet2!R53</f>
        <v>157.43435868544859</v>
      </c>
      <c r="K38" s="8">
        <f>Sheet2!S19+Sheet2!S36+Sheet2!S53</f>
        <v>157.43435868544859</v>
      </c>
      <c r="L38" s="8">
        <f>Sheet2!T19+Sheet2!T36+Sheet2!T53</f>
        <v>155.86001509859409</v>
      </c>
      <c r="M38" s="8">
        <f>Sheet2!U19+Sheet2!U36+Sheet2!U53</f>
        <v>154.30141494760815</v>
      </c>
      <c r="N38" s="8">
        <f>Sheet2!V19+Sheet2!V36+Sheet2!V53</f>
        <v>151.21538664865599</v>
      </c>
    </row>
    <row r="39" spans="2:25" x14ac:dyDescent="0.3">
      <c r="B39" s="36" t="s">
        <v>28</v>
      </c>
      <c r="C39" s="37">
        <f>SUM(C24:C38)</f>
        <v>60763</v>
      </c>
      <c r="D39" s="37">
        <f t="shared" ref="D39:N39" si="19">SUM(D24:D38)</f>
        <v>64885.709999999992</v>
      </c>
      <c r="E39" s="37">
        <f t="shared" si="19"/>
        <v>61057.061350000004</v>
      </c>
      <c r="F39" s="37">
        <f t="shared" si="19"/>
        <v>70253.93070225</v>
      </c>
      <c r="G39" s="37">
        <f t="shared" si="19"/>
        <v>71458.937173672501</v>
      </c>
      <c r="H39" s="37">
        <f t="shared" si="19"/>
        <v>72650.356627145782</v>
      </c>
      <c r="I39" s="37">
        <f t="shared" si="19"/>
        <v>65177.736341758464</v>
      </c>
      <c r="J39" s="37">
        <f t="shared" si="19"/>
        <v>72227.374937137458</v>
      </c>
      <c r="K39" s="37">
        <f t="shared" si="19"/>
        <v>62128.664875546776</v>
      </c>
      <c r="L39" s="37">
        <f t="shared" si="19"/>
        <v>71276.506263776842</v>
      </c>
      <c r="M39" s="37">
        <f t="shared" si="19"/>
        <v>72477.839485811332</v>
      </c>
      <c r="N39" s="37">
        <f t="shared" si="19"/>
        <v>73973.376226553577</v>
      </c>
      <c r="O39" s="3">
        <f>AVERAGE(C39:N39)</f>
        <v>68194.207831971056</v>
      </c>
      <c r="P39" s="3"/>
    </row>
    <row r="40" spans="2:25" s="13" customFormat="1" x14ac:dyDescent="0.3">
      <c r="C40" s="17"/>
      <c r="D40" s="14">
        <f>(D39-C39)/C39</f>
        <v>6.7849019962806179E-2</v>
      </c>
      <c r="E40" s="14">
        <f t="shared" ref="E40:N40" si="20">(E39-D39)/D39</f>
        <v>-5.9006037693045028E-2</v>
      </c>
      <c r="F40" s="14">
        <f t="shared" si="20"/>
        <v>0.15062744830659944</v>
      </c>
      <c r="G40" s="14">
        <f t="shared" si="20"/>
        <v>1.7152157315290382E-2</v>
      </c>
      <c r="H40" s="14">
        <f t="shared" si="20"/>
        <v>1.6672784407325808E-2</v>
      </c>
      <c r="I40" s="14">
        <f t="shared" si="20"/>
        <v>-0.10285731044292185</v>
      </c>
      <c r="J40" s="14">
        <f t="shared" si="20"/>
        <v>0.1081602245038754</v>
      </c>
      <c r="K40" s="14">
        <f t="shared" si="20"/>
        <v>-0.13981831778297379</v>
      </c>
      <c r="L40" s="14">
        <f t="shared" si="20"/>
        <v>0.14724026995517436</v>
      </c>
      <c r="M40" s="14">
        <f t="shared" si="20"/>
        <v>1.6854546960938993E-2</v>
      </c>
      <c r="N40" s="14">
        <f t="shared" si="20"/>
        <v>2.0634400133229966E-2</v>
      </c>
    </row>
    <row r="41" spans="2:25" s="13" customFormat="1" x14ac:dyDescent="0.3">
      <c r="B41" s="13" t="s">
        <v>54</v>
      </c>
      <c r="C41" s="19">
        <f>C39*0.8/1000</f>
        <v>48.610399999999998</v>
      </c>
      <c r="D41" s="19">
        <f t="shared" ref="D41:N41" si="21">D39*0.8/1000</f>
        <v>51.908568000000002</v>
      </c>
      <c r="E41" s="19">
        <f t="shared" si="21"/>
        <v>48.845649080000001</v>
      </c>
      <c r="F41" s="19">
        <f t="shared" si="21"/>
        <v>56.203144561800002</v>
      </c>
      <c r="G41" s="19">
        <f t="shared" si="21"/>
        <v>57.167149738938001</v>
      </c>
      <c r="H41" s="19">
        <f t="shared" si="21"/>
        <v>58.120285301716628</v>
      </c>
      <c r="I41" s="19">
        <f t="shared" si="21"/>
        <v>52.142189073406769</v>
      </c>
      <c r="J41" s="19">
        <f t="shared" si="21"/>
        <v>57.781899949709974</v>
      </c>
      <c r="K41" s="19">
        <f t="shared" si="21"/>
        <v>49.702931900437427</v>
      </c>
      <c r="L41" s="19">
        <f t="shared" si="21"/>
        <v>57.021205011021479</v>
      </c>
      <c r="M41" s="19">
        <f t="shared" si="21"/>
        <v>57.98227158864907</v>
      </c>
      <c r="N41" s="19">
        <f t="shared" si="21"/>
        <v>59.178700981242869</v>
      </c>
    </row>
    <row r="42" spans="2:25" ht="17.25" thickBot="1" x14ac:dyDescent="0.35">
      <c r="B42" s="47" t="s">
        <v>30</v>
      </c>
      <c r="C42" s="47"/>
      <c r="D42" s="47"/>
      <c r="E42" s="47"/>
      <c r="F42" s="47"/>
      <c r="G42" s="47"/>
      <c r="H42" s="47"/>
      <c r="I42" s="48"/>
      <c r="J42" s="48"/>
      <c r="K42" s="48"/>
      <c r="L42" s="48"/>
      <c r="M42" s="48"/>
      <c r="N42" s="48"/>
    </row>
    <row r="43" spans="2:25" x14ac:dyDescent="0.3">
      <c r="B43" s="2" t="s">
        <v>31</v>
      </c>
      <c r="C43" s="2" t="s">
        <v>32</v>
      </c>
      <c r="D43" s="2" t="s">
        <v>23</v>
      </c>
      <c r="E43" s="2" t="s">
        <v>24</v>
      </c>
      <c r="F43" s="2" t="s">
        <v>25</v>
      </c>
      <c r="G43" s="2" t="s">
        <v>14</v>
      </c>
      <c r="H43" s="22" t="s">
        <v>15</v>
      </c>
      <c r="I43" s="25" t="s">
        <v>16</v>
      </c>
      <c r="J43" s="26" t="s">
        <v>17</v>
      </c>
      <c r="K43" s="26" t="s">
        <v>18</v>
      </c>
      <c r="L43" s="26" t="s">
        <v>19</v>
      </c>
      <c r="M43" s="26" t="s">
        <v>20</v>
      </c>
      <c r="N43" s="27" t="s">
        <v>21</v>
      </c>
    </row>
    <row r="44" spans="2:25" x14ac:dyDescent="0.3">
      <c r="B44" s="2" t="s">
        <v>30</v>
      </c>
      <c r="C44" s="2" t="s">
        <v>26</v>
      </c>
      <c r="D44" s="2" t="s">
        <v>14</v>
      </c>
      <c r="E44" s="2" t="s">
        <v>15</v>
      </c>
      <c r="F44" s="2" t="s">
        <v>16</v>
      </c>
      <c r="G44" s="2" t="s">
        <v>17</v>
      </c>
      <c r="H44" s="22" t="s">
        <v>18</v>
      </c>
      <c r="I44" s="28" t="s">
        <v>19</v>
      </c>
      <c r="J44" s="2" t="s">
        <v>20</v>
      </c>
      <c r="K44" s="2" t="s">
        <v>21</v>
      </c>
      <c r="L44" s="2" t="s">
        <v>22</v>
      </c>
      <c r="M44" s="2" t="s">
        <v>23</v>
      </c>
      <c r="N44" s="29" t="s">
        <v>24</v>
      </c>
      <c r="R44" s="1">
        <v>1750</v>
      </c>
    </row>
    <row r="45" spans="2:25" x14ac:dyDescent="0.3">
      <c r="B45" s="2" t="s">
        <v>1</v>
      </c>
      <c r="C45" s="9">
        <v>1080</v>
      </c>
      <c r="D45" s="9">
        <v>270</v>
      </c>
      <c r="E45" s="9">
        <v>540</v>
      </c>
      <c r="F45" s="9">
        <v>540</v>
      </c>
      <c r="G45" s="9">
        <v>1080</v>
      </c>
      <c r="H45" s="23">
        <v>0</v>
      </c>
      <c r="I45" s="30">
        <v>810</v>
      </c>
      <c r="J45" s="4">
        <v>0</v>
      </c>
      <c r="K45" s="4">
        <v>0</v>
      </c>
      <c r="L45" s="4">
        <v>1080</v>
      </c>
      <c r="M45" s="4">
        <v>0</v>
      </c>
      <c r="N45" s="31">
        <v>1080</v>
      </c>
      <c r="P45" s="2" t="s">
        <v>0</v>
      </c>
      <c r="Q45" s="2" t="s">
        <v>37</v>
      </c>
      <c r="R45" s="2" t="s">
        <v>38</v>
      </c>
    </row>
    <row r="46" spans="2:25" x14ac:dyDescent="0.3">
      <c r="B46" s="2" t="s">
        <v>2</v>
      </c>
      <c r="C46" s="9">
        <v>2970</v>
      </c>
      <c r="D46" s="9">
        <v>1620</v>
      </c>
      <c r="E46" s="9">
        <v>2160</v>
      </c>
      <c r="F46" s="9">
        <v>3780</v>
      </c>
      <c r="G46" s="9">
        <v>0</v>
      </c>
      <c r="H46" s="23">
        <v>0</v>
      </c>
      <c r="I46" s="30">
        <v>0</v>
      </c>
      <c r="J46" s="4">
        <v>0</v>
      </c>
      <c r="K46" s="4">
        <v>0</v>
      </c>
      <c r="L46" s="4">
        <v>3240</v>
      </c>
      <c r="M46" s="4">
        <v>0</v>
      </c>
      <c r="N46" s="31">
        <v>2700</v>
      </c>
      <c r="P46" s="2" t="s">
        <v>33</v>
      </c>
      <c r="Q46" s="2">
        <v>14.73</v>
      </c>
      <c r="R46" s="4">
        <f>Q46*$R$44</f>
        <v>25777.5</v>
      </c>
    </row>
    <row r="47" spans="2:25" x14ac:dyDescent="0.3">
      <c r="B47" s="2" t="s">
        <v>3</v>
      </c>
      <c r="C47" s="9">
        <v>1620</v>
      </c>
      <c r="D47" s="9">
        <v>1080</v>
      </c>
      <c r="E47" s="9">
        <v>1080</v>
      </c>
      <c r="F47" s="9">
        <v>4050</v>
      </c>
      <c r="G47" s="9">
        <v>3780</v>
      </c>
      <c r="H47" s="23">
        <v>0</v>
      </c>
      <c r="I47" s="30">
        <v>3780</v>
      </c>
      <c r="J47" s="4">
        <v>0</v>
      </c>
      <c r="K47" s="4"/>
      <c r="L47" s="4">
        <v>2970</v>
      </c>
      <c r="M47" s="4">
        <v>0</v>
      </c>
      <c r="N47" s="31">
        <v>3240</v>
      </c>
      <c r="P47" s="2" t="s">
        <v>34</v>
      </c>
      <c r="Q47" s="2">
        <v>19.88</v>
      </c>
      <c r="R47" s="4">
        <f>Q47*$R$44</f>
        <v>34790</v>
      </c>
      <c r="U47" s="7"/>
    </row>
    <row r="48" spans="2:25" x14ac:dyDescent="0.3">
      <c r="B48" s="2" t="s">
        <v>4</v>
      </c>
      <c r="C48" s="9">
        <v>0</v>
      </c>
      <c r="D48" s="9">
        <v>270</v>
      </c>
      <c r="E48" s="9">
        <v>540</v>
      </c>
      <c r="F48" s="9">
        <v>3510</v>
      </c>
      <c r="G48" s="9">
        <v>0</v>
      </c>
      <c r="H48" s="23">
        <v>0</v>
      </c>
      <c r="I48" s="30">
        <v>1350</v>
      </c>
      <c r="J48" s="4">
        <v>0</v>
      </c>
      <c r="K48" s="4"/>
      <c r="L48" s="4">
        <v>810</v>
      </c>
      <c r="M48" s="4">
        <v>0</v>
      </c>
      <c r="N48" s="31">
        <v>1080</v>
      </c>
      <c r="P48" s="2" t="s">
        <v>48</v>
      </c>
      <c r="Q48" s="2">
        <v>19.88</v>
      </c>
      <c r="R48" s="4">
        <f>Q48*$R$44</f>
        <v>34790</v>
      </c>
      <c r="U48" s="7"/>
    </row>
    <row r="49" spans="2:25" x14ac:dyDescent="0.3">
      <c r="B49" s="2" t="s">
        <v>44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23">
        <v>0</v>
      </c>
      <c r="I49" s="30">
        <v>0</v>
      </c>
      <c r="J49" s="4">
        <v>0</v>
      </c>
      <c r="K49" s="4">
        <v>0</v>
      </c>
      <c r="L49" s="4">
        <v>0</v>
      </c>
      <c r="M49" s="4">
        <v>0</v>
      </c>
      <c r="N49" s="31">
        <v>0</v>
      </c>
      <c r="P49" s="2" t="s">
        <v>35</v>
      </c>
      <c r="Q49" s="2">
        <v>14.73</v>
      </c>
      <c r="R49" s="4">
        <f>Q49*$R$44</f>
        <v>25777.5</v>
      </c>
      <c r="V49" s="3"/>
      <c r="W49" s="3"/>
      <c r="X49" s="3"/>
    </row>
    <row r="50" spans="2:25" x14ac:dyDescent="0.3">
      <c r="B50" s="2" t="s">
        <v>45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23">
        <v>0</v>
      </c>
      <c r="I50" s="30">
        <v>0</v>
      </c>
      <c r="J50" s="4">
        <v>0</v>
      </c>
      <c r="K50" s="4">
        <v>0</v>
      </c>
      <c r="L50" s="4">
        <v>0</v>
      </c>
      <c r="M50" s="4">
        <v>0</v>
      </c>
      <c r="N50" s="31">
        <v>0</v>
      </c>
      <c r="P50" s="2" t="s">
        <v>36</v>
      </c>
      <c r="Q50" s="2">
        <v>8.64</v>
      </c>
      <c r="R50" s="4">
        <f>Q50*$R$44</f>
        <v>15120.000000000002</v>
      </c>
    </row>
    <row r="51" spans="2:25" x14ac:dyDescent="0.3">
      <c r="B51" s="2" t="s">
        <v>5</v>
      </c>
      <c r="C51" s="9">
        <v>0</v>
      </c>
      <c r="D51" s="9">
        <v>9984</v>
      </c>
      <c r="E51" s="9">
        <v>11520</v>
      </c>
      <c r="F51" s="9">
        <v>29184</v>
      </c>
      <c r="G51" s="9">
        <v>0</v>
      </c>
      <c r="H51" s="23">
        <v>11904</v>
      </c>
      <c r="I51" s="30">
        <v>16128</v>
      </c>
      <c r="J51" s="4">
        <v>9216</v>
      </c>
      <c r="K51" s="4">
        <v>11520</v>
      </c>
      <c r="L51" s="4">
        <v>11904</v>
      </c>
      <c r="M51" s="4">
        <v>14976</v>
      </c>
      <c r="N51" s="31">
        <v>12672</v>
      </c>
      <c r="V51" s="6"/>
      <c r="W51" s="6"/>
      <c r="X51" s="6"/>
      <c r="Y51" s="6"/>
    </row>
    <row r="52" spans="2:25" x14ac:dyDescent="0.3">
      <c r="B52" s="2" t="s">
        <v>6</v>
      </c>
      <c r="C52" s="9">
        <v>0</v>
      </c>
      <c r="D52" s="9">
        <v>21120</v>
      </c>
      <c r="E52" s="9">
        <v>24960</v>
      </c>
      <c r="F52" s="9">
        <v>8448</v>
      </c>
      <c r="G52" s="9">
        <v>22656</v>
      </c>
      <c r="H52" s="23">
        <v>30720</v>
      </c>
      <c r="I52" s="30">
        <v>23808</v>
      </c>
      <c r="J52" s="4">
        <v>20736</v>
      </c>
      <c r="K52" s="4">
        <v>17664</v>
      </c>
      <c r="L52" s="4">
        <v>28800</v>
      </c>
      <c r="M52" s="4">
        <v>28416</v>
      </c>
      <c r="N52" s="31">
        <v>23424</v>
      </c>
      <c r="P52" s="2" t="s">
        <v>0</v>
      </c>
      <c r="Q52" s="2" t="s">
        <v>37</v>
      </c>
      <c r="R52" s="2" t="s">
        <v>38</v>
      </c>
      <c r="Y52" s="3"/>
    </row>
    <row r="53" spans="2:25" x14ac:dyDescent="0.3">
      <c r="B53" s="2" t="s">
        <v>7</v>
      </c>
      <c r="C53" s="9">
        <v>0</v>
      </c>
      <c r="D53" s="9">
        <v>24960</v>
      </c>
      <c r="E53" s="9">
        <v>26880</v>
      </c>
      <c r="F53" s="9">
        <v>14208</v>
      </c>
      <c r="G53" s="9">
        <v>24192</v>
      </c>
      <c r="H53" s="23">
        <v>24576</v>
      </c>
      <c r="I53" s="30">
        <v>0</v>
      </c>
      <c r="J53" s="4">
        <v>19200</v>
      </c>
      <c r="K53" s="4">
        <v>21120</v>
      </c>
      <c r="L53" s="4">
        <v>27264</v>
      </c>
      <c r="M53" s="4">
        <v>26880</v>
      </c>
      <c r="N53" s="31">
        <v>24192</v>
      </c>
      <c r="P53" s="2" t="s">
        <v>33</v>
      </c>
      <c r="Q53" s="2">
        <v>14.73</v>
      </c>
      <c r="R53" s="4">
        <f>Q53*$R$44</f>
        <v>25777.5</v>
      </c>
    </row>
    <row r="54" spans="2:25" x14ac:dyDescent="0.3">
      <c r="B54" s="2" t="s">
        <v>8</v>
      </c>
      <c r="C54" s="9">
        <v>0</v>
      </c>
      <c r="D54" s="9">
        <v>1536</v>
      </c>
      <c r="E54" s="9">
        <v>3840</v>
      </c>
      <c r="F54" s="9">
        <v>5760</v>
      </c>
      <c r="G54" s="9">
        <v>0</v>
      </c>
      <c r="H54" s="23">
        <v>0</v>
      </c>
      <c r="I54" s="30">
        <v>6912</v>
      </c>
      <c r="J54" s="4">
        <v>2688</v>
      </c>
      <c r="K54" s="4">
        <v>3840</v>
      </c>
      <c r="L54" s="4">
        <v>2688</v>
      </c>
      <c r="M54" s="4">
        <v>3456</v>
      </c>
      <c r="N54" s="31">
        <v>3072</v>
      </c>
      <c r="P54" s="2" t="s">
        <v>34</v>
      </c>
      <c r="Q54" s="5">
        <v>20.22</v>
      </c>
      <c r="R54" s="4">
        <f>Q54*$R$44</f>
        <v>35385</v>
      </c>
    </row>
    <row r="55" spans="2:25" x14ac:dyDescent="0.3">
      <c r="B55" s="2" t="s">
        <v>9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23">
        <v>0</v>
      </c>
      <c r="I55" s="30">
        <v>0</v>
      </c>
      <c r="J55" s="4">
        <v>0</v>
      </c>
      <c r="K55" s="4">
        <v>0</v>
      </c>
      <c r="L55" s="4">
        <v>0</v>
      </c>
      <c r="M55" s="4">
        <v>0</v>
      </c>
      <c r="N55" s="31">
        <v>0</v>
      </c>
      <c r="P55" s="2" t="s">
        <v>48</v>
      </c>
      <c r="Q55" s="2">
        <v>19.88</v>
      </c>
      <c r="R55" s="4">
        <f>Q55*$R$44</f>
        <v>34790</v>
      </c>
    </row>
    <row r="56" spans="2:25" x14ac:dyDescent="0.3">
      <c r="B56" s="2" t="s">
        <v>10</v>
      </c>
      <c r="C56" s="9">
        <v>9360</v>
      </c>
      <c r="D56" s="9">
        <v>1800</v>
      </c>
      <c r="E56" s="9">
        <v>4680</v>
      </c>
      <c r="F56" s="9">
        <v>7200</v>
      </c>
      <c r="G56" s="9">
        <v>1440</v>
      </c>
      <c r="H56" s="23">
        <v>0</v>
      </c>
      <c r="I56" s="30">
        <v>0</v>
      </c>
      <c r="J56" s="4">
        <v>0</v>
      </c>
      <c r="K56" s="4">
        <v>0</v>
      </c>
      <c r="L56" s="4">
        <v>0</v>
      </c>
      <c r="M56" s="4">
        <v>0</v>
      </c>
      <c r="N56" s="31">
        <v>0</v>
      </c>
      <c r="P56" s="2" t="s">
        <v>35</v>
      </c>
      <c r="Q56" s="2">
        <v>14.73</v>
      </c>
      <c r="R56" s="4">
        <f>Q56*$R$44</f>
        <v>25777.5</v>
      </c>
    </row>
    <row r="57" spans="2:25" x14ac:dyDescent="0.3">
      <c r="B57" s="2" t="s">
        <v>11</v>
      </c>
      <c r="C57" s="9">
        <v>6840</v>
      </c>
      <c r="D57" s="9">
        <v>1800</v>
      </c>
      <c r="E57" s="9">
        <v>5400</v>
      </c>
      <c r="F57" s="9">
        <v>8640</v>
      </c>
      <c r="G57" s="9">
        <v>7920</v>
      </c>
      <c r="H57" s="23">
        <v>0</v>
      </c>
      <c r="I57" s="30">
        <v>0</v>
      </c>
      <c r="J57" s="4">
        <v>0</v>
      </c>
      <c r="K57" s="4">
        <v>0</v>
      </c>
      <c r="L57" s="4">
        <v>0</v>
      </c>
      <c r="M57" s="4">
        <v>0</v>
      </c>
      <c r="N57" s="31">
        <v>0</v>
      </c>
      <c r="P57" s="2" t="s">
        <v>36</v>
      </c>
      <c r="Q57" s="2">
        <v>8.64</v>
      </c>
      <c r="R57" s="4">
        <f>Q57*$R$44</f>
        <v>15120.000000000002</v>
      </c>
    </row>
    <row r="58" spans="2:25" x14ac:dyDescent="0.3">
      <c r="B58" s="2" t="s">
        <v>12</v>
      </c>
      <c r="C58" s="9">
        <v>0</v>
      </c>
      <c r="D58" s="9">
        <v>0</v>
      </c>
      <c r="E58" s="9">
        <v>0</v>
      </c>
      <c r="F58" s="9">
        <v>0</v>
      </c>
      <c r="G58" s="9">
        <v>2016</v>
      </c>
      <c r="H58" s="23">
        <v>0</v>
      </c>
      <c r="I58" s="30">
        <v>1008</v>
      </c>
      <c r="J58" s="4">
        <v>1008</v>
      </c>
      <c r="K58" s="4">
        <v>1008</v>
      </c>
      <c r="L58" s="4">
        <v>1008</v>
      </c>
      <c r="M58" s="4">
        <v>0</v>
      </c>
      <c r="N58" s="31">
        <v>1008</v>
      </c>
    </row>
    <row r="59" spans="2:25" x14ac:dyDescent="0.3">
      <c r="B59" s="2" t="s">
        <v>13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23">
        <v>0</v>
      </c>
      <c r="I59" s="30">
        <v>0</v>
      </c>
      <c r="J59" s="4">
        <v>0</v>
      </c>
      <c r="K59" s="4">
        <v>0</v>
      </c>
      <c r="L59" s="4">
        <v>0</v>
      </c>
      <c r="M59" s="4">
        <v>0</v>
      </c>
      <c r="N59" s="31">
        <v>0</v>
      </c>
    </row>
    <row r="60" spans="2:25" x14ac:dyDescent="0.3">
      <c r="B60" s="36" t="s">
        <v>28</v>
      </c>
      <c r="C60" s="38">
        <f>SUM(C45:C59)</f>
        <v>21870</v>
      </c>
      <c r="D60" s="38">
        <f t="shared" ref="D60:N60" si="22">SUM(D45:D59)</f>
        <v>64440</v>
      </c>
      <c r="E60" s="38">
        <f t="shared" si="22"/>
        <v>81600</v>
      </c>
      <c r="F60" s="38">
        <f t="shared" si="22"/>
        <v>85320</v>
      </c>
      <c r="G60" s="38">
        <f t="shared" si="22"/>
        <v>63084</v>
      </c>
      <c r="H60" s="39">
        <f t="shared" si="22"/>
        <v>67200</v>
      </c>
      <c r="I60" s="40">
        <f t="shared" si="22"/>
        <v>53796</v>
      </c>
      <c r="J60" s="38">
        <f t="shared" si="22"/>
        <v>52848</v>
      </c>
      <c r="K60" s="38">
        <f t="shared" si="22"/>
        <v>55152</v>
      </c>
      <c r="L60" s="38">
        <f t="shared" si="22"/>
        <v>79764</v>
      </c>
      <c r="M60" s="38">
        <f t="shared" si="22"/>
        <v>73728</v>
      </c>
      <c r="N60" s="41">
        <f t="shared" si="22"/>
        <v>72468</v>
      </c>
    </row>
    <row r="61" spans="2:25" ht="17.25" thickBot="1" x14ac:dyDescent="0.35">
      <c r="B61" s="5" t="s">
        <v>29</v>
      </c>
      <c r="C61" s="21">
        <f>SUM(C45:C48)*$R$46+SUM(C51:C55)*$R$47+SUM(C49:C50)*$R$48+SUM(C56:C57)*$R$49+SUM(C58:C59)*$R$50</f>
        <v>563753925</v>
      </c>
      <c r="D61" s="21">
        <f t="shared" ref="D61:G61" si="23">SUM(D45:D48)*$R$46+SUM(D51:D55)*$R$47+SUM(D49:D50)*$R$48+SUM(D56:D57)*$R$49+SUM(D58:D59)*$R$50</f>
        <v>2180222100</v>
      </c>
      <c r="E61" s="21">
        <f t="shared" si="23"/>
        <v>2709084000</v>
      </c>
      <c r="F61" s="21">
        <f t="shared" si="23"/>
        <v>2718456300</v>
      </c>
      <c r="G61" s="21">
        <f t="shared" si="23"/>
        <v>2026879890</v>
      </c>
      <c r="H61" s="24">
        <f>SUM(H45:H48)*$R$46+SUM(H51:H55)*$R$54+SUM(H49:H50)*$R$48+SUM(H56:H57)*$R$49+SUM(H58:H59)*$R$50</f>
        <v>2377872000</v>
      </c>
      <c r="I61" s="32">
        <f t="shared" ref="I61:N61" si="24">SUM(I45:I48)*$R$46+SUM(I51:I55)*$R$54+SUM(I49:I50)*$R$48+SUM(I56:I57)*$R$49+SUM(I58:I59)*$R$50</f>
        <v>1826075790</v>
      </c>
      <c r="J61" s="33">
        <f t="shared" si="24"/>
        <v>1849599360</v>
      </c>
      <c r="K61" s="33">
        <f t="shared" si="24"/>
        <v>1931126400</v>
      </c>
      <c r="L61" s="33">
        <f t="shared" si="24"/>
        <v>2724201270</v>
      </c>
      <c r="M61" s="33">
        <f t="shared" si="24"/>
        <v>2608865280</v>
      </c>
      <c r="N61" s="34">
        <f t="shared" si="24"/>
        <v>2466032310</v>
      </c>
    </row>
    <row r="63" spans="2:25" x14ac:dyDescent="0.3">
      <c r="B63" s="47" t="s">
        <v>39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</row>
    <row r="64" spans="2:25" x14ac:dyDescent="0.3">
      <c r="B64" s="2" t="s">
        <v>31</v>
      </c>
      <c r="C64" s="2" t="s">
        <v>32</v>
      </c>
      <c r="D64" s="2" t="s">
        <v>23</v>
      </c>
      <c r="E64" s="2" t="s">
        <v>24</v>
      </c>
      <c r="F64" s="2" t="s">
        <v>25</v>
      </c>
      <c r="G64" s="2" t="s">
        <v>14</v>
      </c>
      <c r="H64" s="2" t="s">
        <v>15</v>
      </c>
      <c r="I64" s="2" t="s">
        <v>16</v>
      </c>
      <c r="J64" s="2" t="s">
        <v>17</v>
      </c>
      <c r="K64" s="2" t="s">
        <v>18</v>
      </c>
      <c r="L64" s="2" t="s">
        <v>19</v>
      </c>
      <c r="M64" s="2" t="s">
        <v>20</v>
      </c>
      <c r="N64" s="2" t="s">
        <v>21</v>
      </c>
    </row>
    <row r="65" spans="2:14" x14ac:dyDescent="0.3">
      <c r="B65" s="2" t="s">
        <v>30</v>
      </c>
      <c r="C65" s="2" t="s">
        <v>26</v>
      </c>
      <c r="D65" s="2" t="s">
        <v>14</v>
      </c>
      <c r="E65" s="2" t="s">
        <v>15</v>
      </c>
      <c r="F65" s="2" t="s">
        <v>16</v>
      </c>
      <c r="G65" s="2" t="s">
        <v>17</v>
      </c>
      <c r="H65" s="2" t="s">
        <v>18</v>
      </c>
      <c r="I65" s="2" t="s">
        <v>19</v>
      </c>
      <c r="J65" s="2" t="s">
        <v>20</v>
      </c>
      <c r="K65" s="2" t="s">
        <v>21</v>
      </c>
      <c r="L65" s="2" t="s">
        <v>22</v>
      </c>
      <c r="M65" s="2" t="s">
        <v>23</v>
      </c>
      <c r="N65" s="2" t="s">
        <v>24</v>
      </c>
    </row>
    <row r="66" spans="2:14" x14ac:dyDescent="0.3">
      <c r="B66" s="2" t="s">
        <v>1</v>
      </c>
      <c r="C66" s="15">
        <f t="shared" ref="C66:N66" si="25">C4/AVERAGE(C24,D24)</f>
        <v>5.663589340666535</v>
      </c>
      <c r="D66" s="15">
        <f t="shared" si="25"/>
        <v>2.4750977733945323</v>
      </c>
      <c r="E66" s="15">
        <f t="shared" si="25"/>
        <v>2.2143984027649743</v>
      </c>
      <c r="F66" s="15">
        <f t="shared" si="25"/>
        <v>2.1424616506086021</v>
      </c>
      <c r="G66" s="15">
        <f t="shared" si="25"/>
        <v>3.0061804831555818</v>
      </c>
      <c r="H66" s="15">
        <f t="shared" si="25"/>
        <v>2.0978806500379239</v>
      </c>
      <c r="I66" s="15">
        <f t="shared" si="25"/>
        <v>2.6537740459607284</v>
      </c>
      <c r="J66" s="15">
        <f t="shared" si="25"/>
        <v>1.7223603445442082</v>
      </c>
      <c r="K66" s="15">
        <f t="shared" si="25"/>
        <v>0.75556134976101119</v>
      </c>
      <c r="L66" s="15">
        <f t="shared" si="25"/>
        <v>1.7618963152506817</v>
      </c>
      <c r="M66" s="15">
        <f t="shared" si="25"/>
        <v>0.73779143105237444</v>
      </c>
      <c r="N66" s="15">
        <f t="shared" si="25"/>
        <v>1.6877487326858738</v>
      </c>
    </row>
    <row r="67" spans="2:14" x14ac:dyDescent="0.3">
      <c r="B67" s="2" t="s">
        <v>2</v>
      </c>
      <c r="C67" s="15">
        <f t="shared" ref="C67:N67" si="26">C5/AVERAGE(C25,D25)</f>
        <v>4.6540371368889728</v>
      </c>
      <c r="D67" s="15">
        <f t="shared" si="26"/>
        <v>5.0191195463572962</v>
      </c>
      <c r="E67" s="15">
        <f t="shared" si="26"/>
        <v>5.1150409056353281</v>
      </c>
      <c r="F67" s="15">
        <f t="shared" si="26"/>
        <v>6.3402897797342055</v>
      </c>
      <c r="G67" s="15">
        <f t="shared" si="26"/>
        <v>5.4729249554206305</v>
      </c>
      <c r="H67" s="15">
        <f t="shared" si="26"/>
        <v>4.8110291145192541</v>
      </c>
      <c r="I67" s="15">
        <f t="shared" si="26"/>
        <v>3.962209847343205</v>
      </c>
      <c r="J67" s="15">
        <f t="shared" si="26"/>
        <v>3.069950630322746</v>
      </c>
      <c r="K67" s="15">
        <f t="shared" si="26"/>
        <v>2.154026326322751</v>
      </c>
      <c r="L67" s="15">
        <f t="shared" si="26"/>
        <v>3.2114981673891791</v>
      </c>
      <c r="M67" s="15">
        <f t="shared" si="26"/>
        <v>2.1272043629642252</v>
      </c>
      <c r="N67" s="15">
        <f t="shared" si="26"/>
        <v>2.8890461296012688</v>
      </c>
    </row>
    <row r="68" spans="2:14" x14ac:dyDescent="0.3">
      <c r="B68" s="2" t="s">
        <v>3</v>
      </c>
      <c r="C68" s="15">
        <f t="shared" ref="C68:N68" si="27">C6/AVERAGE(C26,D26)</f>
        <v>1.7348524080787158</v>
      </c>
      <c r="D68" s="15">
        <f t="shared" si="27"/>
        <v>1.4227950337684223</v>
      </c>
      <c r="E68" s="15">
        <f t="shared" si="27"/>
        <v>1.0592961769887006</v>
      </c>
      <c r="F68" s="15">
        <f t="shared" si="27"/>
        <v>2.4087202183931216</v>
      </c>
      <c r="G68" s="15">
        <f t="shared" si="27"/>
        <v>3.6321261326022327</v>
      </c>
      <c r="H68" s="15">
        <f t="shared" si="27"/>
        <v>2.7341721001049559</v>
      </c>
      <c r="I68" s="15">
        <f t="shared" si="27"/>
        <v>4.1548676515260023</v>
      </c>
      <c r="J68" s="15">
        <f t="shared" si="27"/>
        <v>3.2323133475630983</v>
      </c>
      <c r="K68" s="15">
        <f t="shared" si="27"/>
        <v>2.2769541324691747</v>
      </c>
      <c r="L68" s="15">
        <f t="shared" si="27"/>
        <v>2.9718984053996702</v>
      </c>
      <c r="M68" s="15">
        <f t="shared" si="27"/>
        <v>1.9056722561207506</v>
      </c>
      <c r="N68" s="15">
        <f t="shared" si="27"/>
        <v>2.7685281444400136</v>
      </c>
    </row>
    <row r="69" spans="2:14" x14ac:dyDescent="0.3">
      <c r="B69" s="2" t="s">
        <v>4</v>
      </c>
      <c r="C69" s="15">
        <f t="shared" ref="C69:N69" si="28">C7/AVERAGE(C27,D27)</f>
        <v>0.4500940626263692</v>
      </c>
      <c r="D69" s="15">
        <f t="shared" si="28"/>
        <v>-1.8309377406471417E-2</v>
      </c>
      <c r="E69" s="15">
        <f t="shared" si="28"/>
        <v>-0.13645294266161306</v>
      </c>
      <c r="F69" s="15">
        <f t="shared" si="28"/>
        <v>4.4074336195518224</v>
      </c>
      <c r="G69" s="15">
        <f t="shared" si="28"/>
        <v>3.4450375565790465</v>
      </c>
      <c r="H69" s="15">
        <f t="shared" si="28"/>
        <v>2.5219969075475519</v>
      </c>
      <c r="I69" s="15">
        <f t="shared" si="28"/>
        <v>3.856904474386186</v>
      </c>
      <c r="J69" s="15">
        <f t="shared" si="28"/>
        <v>3.0153201203027833</v>
      </c>
      <c r="K69" s="15">
        <f t="shared" si="28"/>
        <v>2.1374402086714195</v>
      </c>
      <c r="L69" s="15">
        <f t="shared" si="28"/>
        <v>2.5186684228926186</v>
      </c>
      <c r="M69" s="15">
        <f t="shared" si="28"/>
        <v>1.4927273022017522</v>
      </c>
      <c r="N69" s="15">
        <f t="shared" si="28"/>
        <v>2.3550349351701203</v>
      </c>
    </row>
    <row r="70" spans="2:14" x14ac:dyDescent="0.3">
      <c r="B70" s="2" t="s">
        <v>44</v>
      </c>
      <c r="C70" s="15">
        <f t="shared" ref="C70:N70" si="29">C8/AVERAGE(C28,D28)</f>
        <v>4.1701863354037263</v>
      </c>
      <c r="D70" s="15">
        <f t="shared" si="29"/>
        <v>3.1701863354037267</v>
      </c>
      <c r="E70" s="15">
        <f t="shared" si="29"/>
        <v>2.1701863354037267</v>
      </c>
      <c r="F70" s="15">
        <f t="shared" si="29"/>
        <v>1.1701863354037267</v>
      </c>
      <c r="G70" s="15">
        <f t="shared" si="29"/>
        <v>0.17018633540372671</v>
      </c>
      <c r="H70" s="15">
        <f t="shared" si="29"/>
        <v>-0.82981366459627326</v>
      </c>
      <c r="I70" s="15">
        <f t="shared" si="29"/>
        <v>-1.8298136645962733</v>
      </c>
      <c r="J70" s="15">
        <f t="shared" si="29"/>
        <v>-2.8298136645962733</v>
      </c>
      <c r="K70" s="15">
        <f t="shared" si="29"/>
        <v>-3.8298136645962733</v>
      </c>
      <c r="L70" s="15">
        <f t="shared" si="29"/>
        <v>-4.8298136645962737</v>
      </c>
      <c r="M70" s="15">
        <f t="shared" si="29"/>
        <v>-5.8298136645962737</v>
      </c>
      <c r="N70" s="15">
        <f t="shared" si="29"/>
        <v>-6.8298136645962737</v>
      </c>
    </row>
    <row r="71" spans="2:14" x14ac:dyDescent="0.3">
      <c r="B71" s="2" t="s">
        <v>45</v>
      </c>
      <c r="C71" s="15">
        <f t="shared" ref="C71:N71" si="30">C9/AVERAGE(C29,D29)</f>
        <v>9.7001703577512775</v>
      </c>
      <c r="D71" s="15">
        <f t="shared" si="30"/>
        <v>8.7001703577512775</v>
      </c>
      <c r="E71" s="15">
        <f t="shared" si="30"/>
        <v>7.7001703577512775</v>
      </c>
      <c r="F71" s="15">
        <f t="shared" si="30"/>
        <v>6.7001703577512775</v>
      </c>
      <c r="G71" s="15">
        <f t="shared" si="30"/>
        <v>5.7001703577512775</v>
      </c>
      <c r="H71" s="15">
        <f t="shared" si="30"/>
        <v>4.7001703577512775</v>
      </c>
      <c r="I71" s="15">
        <f t="shared" si="30"/>
        <v>3.7001703577512779</v>
      </c>
      <c r="J71" s="15">
        <f t="shared" si="30"/>
        <v>2.7001703577512779</v>
      </c>
      <c r="K71" s="15">
        <f t="shared" si="30"/>
        <v>1.7001703577512777</v>
      </c>
      <c r="L71" s="15">
        <f t="shared" si="30"/>
        <v>0.70017035775127767</v>
      </c>
      <c r="M71" s="15">
        <f t="shared" si="30"/>
        <v>-0.29982964224872233</v>
      </c>
      <c r="N71" s="15">
        <f t="shared" si="30"/>
        <v>-1.2998296422487223</v>
      </c>
    </row>
    <row r="72" spans="2:14" x14ac:dyDescent="0.3">
      <c r="B72" s="2" t="s">
        <v>5</v>
      </c>
      <c r="C72" s="20">
        <f t="shared" ref="C72:N72" si="31">C10/AVERAGE(C30,D30)</f>
        <v>1.9218429589968851</v>
      </c>
      <c r="D72" s="20">
        <f t="shared" si="31"/>
        <v>1.8207102661676178</v>
      </c>
      <c r="E72" s="20">
        <f t="shared" si="31"/>
        <v>1.8485527136273412</v>
      </c>
      <c r="F72" s="20">
        <f t="shared" si="31"/>
        <v>3.2176374046463732</v>
      </c>
      <c r="G72" s="20">
        <f t="shared" si="31"/>
        <v>2.1840545641389415</v>
      </c>
      <c r="H72" s="20">
        <f t="shared" si="31"/>
        <v>2.2553132195148167</v>
      </c>
      <c r="I72" s="20">
        <f t="shared" si="31"/>
        <v>2.7674247215982279</v>
      </c>
      <c r="J72" s="20">
        <f t="shared" si="31"/>
        <v>2.6173266705930969</v>
      </c>
      <c r="K72" s="20">
        <f t="shared" si="31"/>
        <v>2.7165373556816976</v>
      </c>
      <c r="L72" s="20">
        <f t="shared" si="31"/>
        <v>2.5773824468766264</v>
      </c>
      <c r="M72" s="20">
        <f t="shared" si="31"/>
        <v>2.7552779724485541</v>
      </c>
      <c r="N72" s="20">
        <f t="shared" si="31"/>
        <v>2.7377221118069834</v>
      </c>
    </row>
    <row r="73" spans="2:14" x14ac:dyDescent="0.3">
      <c r="B73" s="2" t="s">
        <v>6</v>
      </c>
      <c r="C73" s="20">
        <f t="shared" ref="C73:N73" si="32">C11/AVERAGE(C31,D31)</f>
        <v>3.5108509164948405</v>
      </c>
      <c r="D73" s="20">
        <f t="shared" si="32"/>
        <v>3.4840163880584534</v>
      </c>
      <c r="E73" s="20">
        <f t="shared" si="32"/>
        <v>3.5583506200964772</v>
      </c>
      <c r="F73" s="20">
        <f t="shared" si="32"/>
        <v>2.6343998500770063</v>
      </c>
      <c r="G73" s="20">
        <f t="shared" si="32"/>
        <v>2.5384620469176169</v>
      </c>
      <c r="H73" s="20">
        <f t="shared" si="32"/>
        <v>2.9393979778365655</v>
      </c>
      <c r="I73" s="20">
        <f t="shared" si="32"/>
        <v>3.0274660181087341</v>
      </c>
      <c r="J73" s="20">
        <f t="shared" si="32"/>
        <v>2.9832976308115255</v>
      </c>
      <c r="K73" s="20">
        <f t="shared" si="32"/>
        <v>2.9611529229012463</v>
      </c>
      <c r="L73" s="20">
        <f t="shared" si="32"/>
        <v>2.9367123678737821</v>
      </c>
      <c r="M73" s="20">
        <f t="shared" si="32"/>
        <v>3.0647747850035474</v>
      </c>
      <c r="N73" s="20">
        <f t="shared" si="32"/>
        <v>2.9839487962609792</v>
      </c>
    </row>
    <row r="74" spans="2:14" x14ac:dyDescent="0.3">
      <c r="B74" s="2" t="s">
        <v>7</v>
      </c>
      <c r="C74" s="20">
        <f t="shared" ref="C74:N74" si="33">C12/AVERAGE(C32,D32)</f>
        <v>3.7050252466181179</v>
      </c>
      <c r="D74" s="20">
        <f t="shared" si="33"/>
        <v>3.9590623947885217</v>
      </c>
      <c r="E74" s="20">
        <f t="shared" si="33"/>
        <v>4.2403839705928741</v>
      </c>
      <c r="F74" s="20">
        <f t="shared" si="33"/>
        <v>3.4651802505950622</v>
      </c>
      <c r="G74" s="20">
        <f t="shared" si="33"/>
        <v>3.5046859469202416</v>
      </c>
      <c r="H74" s="20">
        <f t="shared" si="33"/>
        <v>3.889827989703087</v>
      </c>
      <c r="I74" s="20">
        <f t="shared" si="33"/>
        <v>3.0248700148677319</v>
      </c>
      <c r="J74" s="20">
        <f t="shared" si="33"/>
        <v>2.9585885505374043</v>
      </c>
      <c r="K74" s="20">
        <f t="shared" si="33"/>
        <v>3.0680691352868004</v>
      </c>
      <c r="L74" s="20">
        <f t="shared" si="33"/>
        <v>2.9873833749672998</v>
      </c>
      <c r="M74" s="20">
        <f t="shared" si="33"/>
        <v>3.0713154934721292</v>
      </c>
      <c r="N74" s="20">
        <f t="shared" si="33"/>
        <v>3.0520053122129163</v>
      </c>
    </row>
    <row r="75" spans="2:14" x14ac:dyDescent="0.3">
      <c r="B75" s="2" t="s">
        <v>8</v>
      </c>
      <c r="C75" s="15">
        <f t="shared" ref="C75:N75" si="34">C13/AVERAGE(C33,D33)</f>
        <v>3.3566053607491564</v>
      </c>
      <c r="D75" s="15">
        <f t="shared" si="34"/>
        <v>2.8316886900177045</v>
      </c>
      <c r="E75" s="15">
        <f t="shared" si="34"/>
        <v>3.0232329679873802</v>
      </c>
      <c r="F75" s="15">
        <f t="shared" si="34"/>
        <v>3.6931982661307852</v>
      </c>
      <c r="G75" s="15">
        <f t="shared" si="34"/>
        <v>2.6971328434895994</v>
      </c>
      <c r="H75" s="15">
        <f t="shared" si="34"/>
        <v>1.7667813720900354</v>
      </c>
      <c r="I75" s="15">
        <f t="shared" si="34"/>
        <v>3.0696750500444909</v>
      </c>
      <c r="J75" s="15">
        <f t="shared" si="34"/>
        <v>2.973093405664859</v>
      </c>
      <c r="K75" s="15">
        <f t="shared" si="34"/>
        <v>3.2578019619911407</v>
      </c>
      <c r="L75" s="15">
        <f t="shared" si="34"/>
        <v>2.9932175137042534</v>
      </c>
      <c r="M75" s="15">
        <f t="shared" si="34"/>
        <v>3.0494454399130722</v>
      </c>
      <c r="N75" s="15">
        <f t="shared" si="34"/>
        <v>2.9852052512885248</v>
      </c>
    </row>
    <row r="76" spans="2:14" x14ac:dyDescent="0.3">
      <c r="B76" s="2" t="s">
        <v>9</v>
      </c>
      <c r="C76" s="15">
        <f t="shared" ref="C76:N76" si="35">C14/AVERAGE(C34,D34)</f>
        <v>2.9359451156129452</v>
      </c>
      <c r="D76" s="15">
        <f t="shared" si="35"/>
        <v>1.9479398220504522</v>
      </c>
      <c r="E76" s="15">
        <f t="shared" si="35"/>
        <v>0.924911627590847</v>
      </c>
      <c r="F76" s="15">
        <f t="shared" si="35"/>
        <v>-0.10676291293927007</v>
      </c>
      <c r="G76" s="15">
        <f t="shared" si="35"/>
        <v>-1.1087450411114477</v>
      </c>
      <c r="H76" s="15">
        <f t="shared" si="35"/>
        <v>-2.1873692106119642</v>
      </c>
      <c r="I76" s="15">
        <f t="shared" si="35"/>
        <v>-3.1948454037722405</v>
      </c>
      <c r="J76" s="15">
        <f t="shared" si="35"/>
        <v>-4.295098735697727</v>
      </c>
      <c r="K76" s="15">
        <f t="shared" si="35"/>
        <v>-5.3028780331151655</v>
      </c>
      <c r="L76" s="15">
        <f t="shared" si="35"/>
        <v>-6.0955926956859594</v>
      </c>
      <c r="M76" s="15">
        <f t="shared" si="35"/>
        <v>-6.9944863602946601</v>
      </c>
      <c r="N76" s="15">
        <f t="shared" si="35"/>
        <v>-7.9340473325285368</v>
      </c>
    </row>
    <row r="77" spans="2:14" x14ac:dyDescent="0.3">
      <c r="B77" s="2" t="s">
        <v>10</v>
      </c>
      <c r="C77" s="15">
        <f t="shared" ref="C77:N77" si="36">C15/AVERAGE(C35,D35)</f>
        <v>10.895937449621151</v>
      </c>
      <c r="D77" s="15">
        <f t="shared" si="36"/>
        <v>11.43343135781957</v>
      </c>
      <c r="E77" s="15">
        <f t="shared" si="36"/>
        <v>13.676218188137456</v>
      </c>
      <c r="F77" s="15">
        <f t="shared" si="36"/>
        <v>17.101448448823497</v>
      </c>
      <c r="G77" s="15">
        <f t="shared" si="36"/>
        <v>16.098427041579907</v>
      </c>
      <c r="H77" s="15">
        <f t="shared" si="36"/>
        <v>13.92595722749498</v>
      </c>
      <c r="I77" s="15">
        <f t="shared" si="36"/>
        <v>11.504866230337717</v>
      </c>
      <c r="J77" s="15">
        <f t="shared" si="36"/>
        <v>9.9546758122891941</v>
      </c>
      <c r="K77" s="15">
        <f t="shared" si="36"/>
        <v>9.021186884468344</v>
      </c>
      <c r="L77" s="15">
        <f t="shared" si="36"/>
        <v>8.2427512921507624</v>
      </c>
      <c r="M77" s="15">
        <f t="shared" si="36"/>
        <v>8.0610388025084028</v>
      </c>
      <c r="N77" s="15">
        <f t="shared" si="36"/>
        <v>7.5600762706750704</v>
      </c>
    </row>
    <row r="78" spans="2:14" x14ac:dyDescent="0.3">
      <c r="B78" s="2" t="s">
        <v>11</v>
      </c>
      <c r="C78" s="15">
        <f t="shared" ref="C78:N78" si="37">C16/AVERAGE(C36,D36)</f>
        <v>6.8336615209248466</v>
      </c>
      <c r="D78" s="15">
        <f t="shared" si="37"/>
        <v>6.9327945440382397</v>
      </c>
      <c r="E78" s="15">
        <f t="shared" si="37"/>
        <v>8.7423381935778668</v>
      </c>
      <c r="F78" s="15">
        <f t="shared" si="37"/>
        <v>11.759382528830177</v>
      </c>
      <c r="G78" s="15">
        <f t="shared" si="37"/>
        <v>13.811603450483423</v>
      </c>
      <c r="H78" s="15">
        <f t="shared" si="37"/>
        <v>11.784039127118119</v>
      </c>
      <c r="I78" s="15">
        <f t="shared" si="37"/>
        <v>9.6467571631627624</v>
      </c>
      <c r="J78" s="15">
        <f t="shared" si="37"/>
        <v>8.2821717665622039</v>
      </c>
      <c r="K78" s="15">
        <f t="shared" si="37"/>
        <v>7.7435664686997789</v>
      </c>
      <c r="L78" s="15">
        <f t="shared" si="37"/>
        <v>7.327199530831459</v>
      </c>
      <c r="M78" s="15">
        <f t="shared" si="37"/>
        <v>7.0613567017494345</v>
      </c>
      <c r="N78" s="15">
        <f t="shared" si="37"/>
        <v>6.5070385303870779</v>
      </c>
    </row>
    <row r="79" spans="2:14" x14ac:dyDescent="0.3">
      <c r="B79" s="2" t="s">
        <v>12</v>
      </c>
      <c r="C79" s="15">
        <f t="shared" ref="C79:N79" si="38">C17/AVERAGE(C37,D37)</f>
        <v>2.4844084599568297</v>
      </c>
      <c r="D79" s="15">
        <f t="shared" si="38"/>
        <v>1.5007077467983552</v>
      </c>
      <c r="E79" s="15">
        <f t="shared" si="38"/>
        <v>0.50322031848154436</v>
      </c>
      <c r="F79" s="15">
        <f t="shared" si="38"/>
        <v>-0.49555370483131772</v>
      </c>
      <c r="G79" s="15">
        <f t="shared" si="38"/>
        <v>1.9157100193653915</v>
      </c>
      <c r="H79" s="15">
        <f t="shared" si="38"/>
        <v>0.8926282441697625</v>
      </c>
      <c r="I79" s="15">
        <f t="shared" si="38"/>
        <v>1.5294598206690313</v>
      </c>
      <c r="J79" s="15">
        <f t="shared" si="38"/>
        <v>2.1916241168726671</v>
      </c>
      <c r="K79" s="15">
        <f t="shared" si="38"/>
        <v>2.9424255678858291</v>
      </c>
      <c r="L79" s="15">
        <f t="shared" si="38"/>
        <v>3.7222921019384776</v>
      </c>
      <c r="M79" s="15">
        <f t="shared" si="38"/>
        <v>2.7784186137250058</v>
      </c>
      <c r="N79" s="15">
        <f t="shared" si="38"/>
        <v>3.5905930837763771</v>
      </c>
    </row>
    <row r="80" spans="2:14" x14ac:dyDescent="0.3">
      <c r="B80" s="2" t="s">
        <v>13</v>
      </c>
      <c r="C80" s="15">
        <f t="shared" ref="C80:N80" si="39">C18/AVERAGE(C38,D38)</f>
        <v>13.856942496493689</v>
      </c>
      <c r="D80" s="15">
        <f t="shared" si="39"/>
        <v>13.566173498261787</v>
      </c>
      <c r="E80" s="15">
        <f t="shared" si="39"/>
        <v>11.82867203478426</v>
      </c>
      <c r="F80" s="15">
        <f t="shared" si="39"/>
        <v>10.498925931709813</v>
      </c>
      <c r="G80" s="15">
        <f t="shared" si="39"/>
        <v>9.2764555356047715</v>
      </c>
      <c r="H80" s="15">
        <f t="shared" si="39"/>
        <v>8.1266438590662897</v>
      </c>
      <c r="I80" s="15">
        <f t="shared" si="39"/>
        <v>7.0119113234386408</v>
      </c>
      <c r="J80" s="15">
        <f t="shared" si="39"/>
        <v>5.9771988911443907</v>
      </c>
      <c r="K80" s="15">
        <f t="shared" si="39"/>
        <v>5.0022099408486334</v>
      </c>
      <c r="L80" s="15">
        <f t="shared" si="39"/>
        <v>4.0477121883603786</v>
      </c>
      <c r="M80" s="15">
        <f t="shared" si="39"/>
        <v>3.0991466456673571</v>
      </c>
      <c r="N80" s="15">
        <f t="shared" si="39"/>
        <v>2.1307705910313093</v>
      </c>
    </row>
    <row r="81" spans="2:14" x14ac:dyDescent="0.3">
      <c r="B81" s="36" t="s">
        <v>27</v>
      </c>
      <c r="C81" s="42">
        <f>AVERAGE(C66:C80)</f>
        <v>5.0582766111256046</v>
      </c>
      <c r="D81" s="42">
        <f t="shared" ref="D81:N81" si="40">AVERAGE(D66:D80)</f>
        <v>4.5497056251512991</v>
      </c>
      <c r="E81" s="42">
        <f t="shared" si="40"/>
        <v>4.4312346580505624</v>
      </c>
      <c r="F81" s="42">
        <f t="shared" si="40"/>
        <v>4.9958078682989919</v>
      </c>
      <c r="G81" s="42">
        <f t="shared" si="40"/>
        <v>4.8229608152200623</v>
      </c>
      <c r="H81" s="42">
        <f t="shared" si="40"/>
        <v>3.9619103514497591</v>
      </c>
      <c r="I81" s="42">
        <f>AVERAGE(I66:I80)</f>
        <v>3.6590465100550813</v>
      </c>
      <c r="J81" s="42">
        <f t="shared" si="40"/>
        <v>2.9702119496443631</v>
      </c>
      <c r="K81" s="42">
        <f t="shared" si="40"/>
        <v>2.4402940610018446</v>
      </c>
      <c r="L81" s="42">
        <f t="shared" si="40"/>
        <v>2.3382250750069487</v>
      </c>
      <c r="M81" s="42">
        <f t="shared" si="40"/>
        <v>1.7386693426457964</v>
      </c>
      <c r="N81" s="42">
        <f t="shared" si="40"/>
        <v>1.678935149997532</v>
      </c>
    </row>
  </sheetData>
  <mergeCells count="4">
    <mergeCell ref="B2:N2"/>
    <mergeCell ref="B22:N22"/>
    <mergeCell ref="B42:N42"/>
    <mergeCell ref="B63:N63"/>
  </mergeCells>
  <phoneticPr fontId="2" type="noConversion"/>
  <conditionalFormatting sqref="C66:N81">
    <cfRule type="colorScale" priority="1">
      <colorScale>
        <cfvo type="num" val="0"/>
        <cfvo type="num" val="3"/>
        <cfvo type="num" val="10"/>
        <color theme="8" tint="-0.249977111117893"/>
        <color theme="0"/>
        <color rgb="FFFF0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FB21-D055-445C-9C0E-7D0DA881C71B}">
  <dimension ref="E8:Q22"/>
  <sheetViews>
    <sheetView workbookViewId="0">
      <selection activeCell="F8" sqref="F8:Q22"/>
    </sheetView>
  </sheetViews>
  <sheetFormatPr defaultRowHeight="16.5" x14ac:dyDescent="0.3"/>
  <sheetData>
    <row r="8" spans="5:17" x14ac:dyDescent="0.3">
      <c r="E8" s="2" t="s">
        <v>1</v>
      </c>
      <c r="F8" s="4">
        <v>663</v>
      </c>
      <c r="G8" s="8">
        <v>558.84</v>
      </c>
      <c r="H8" s="8">
        <v>629.92920000000004</v>
      </c>
      <c r="I8" s="8">
        <v>617.57061600000009</v>
      </c>
      <c r="J8" s="8">
        <v>599.40349752000009</v>
      </c>
      <c r="K8" s="8">
        <v>587.65542756960008</v>
      </c>
      <c r="L8" s="8">
        <v>553.11610191542411</v>
      </c>
      <c r="M8" s="8">
        <v>542.29377987711564</v>
      </c>
      <c r="N8" s="8">
        <v>515.77909088325987</v>
      </c>
      <c r="O8" s="8">
        <v>530.89246360975767</v>
      </c>
      <c r="P8" s="8">
        <v>541.2703128819528</v>
      </c>
      <c r="Q8" s="8">
        <v>551.85571913959188</v>
      </c>
    </row>
    <row r="9" spans="5:17" x14ac:dyDescent="0.3">
      <c r="E9" s="2" t="s">
        <v>2</v>
      </c>
      <c r="F9" s="4">
        <v>1465</v>
      </c>
      <c r="G9" s="8">
        <v>1302.06</v>
      </c>
      <c r="H9" s="8">
        <v>1390.4202</v>
      </c>
      <c r="I9" s="8">
        <v>1498.4770080000001</v>
      </c>
      <c r="J9" s="8">
        <v>1470.36746784</v>
      </c>
      <c r="K9" s="8">
        <v>1429.0464438048</v>
      </c>
      <c r="L9" s="8">
        <v>1321.6045860526081</v>
      </c>
      <c r="M9" s="8">
        <v>1362.7785401920819</v>
      </c>
      <c r="N9" s="8">
        <v>1194.4984715747946</v>
      </c>
      <c r="O9" s="8">
        <v>1364.0483187322741</v>
      </c>
      <c r="P9" s="8">
        <v>1414.890251481565</v>
      </c>
      <c r="Q9" s="8">
        <v>1454.546959026012</v>
      </c>
    </row>
    <row r="10" spans="5:17" x14ac:dyDescent="0.3">
      <c r="E10" s="2" t="s">
        <v>44</v>
      </c>
      <c r="F10" s="4">
        <v>805</v>
      </c>
      <c r="G10" s="8">
        <v>805</v>
      </c>
      <c r="H10" s="8">
        <v>805</v>
      </c>
      <c r="I10" s="8">
        <v>805</v>
      </c>
      <c r="J10" s="8">
        <v>805</v>
      </c>
      <c r="K10" s="8">
        <v>805</v>
      </c>
      <c r="L10" s="8">
        <v>805</v>
      </c>
      <c r="M10" s="8">
        <v>805</v>
      </c>
      <c r="N10" s="8">
        <v>805</v>
      </c>
      <c r="O10" s="8">
        <v>805</v>
      </c>
      <c r="P10" s="8">
        <v>805</v>
      </c>
      <c r="Q10" s="8">
        <v>805</v>
      </c>
    </row>
    <row r="11" spans="5:17" x14ac:dyDescent="0.3">
      <c r="E11" s="2" t="s">
        <v>10</v>
      </c>
      <c r="F11" s="4">
        <v>1516</v>
      </c>
      <c r="G11" s="8">
        <v>1461.44</v>
      </c>
      <c r="H11" s="8">
        <v>1435.2512000000002</v>
      </c>
      <c r="I11" s="8">
        <v>1460.9162240000001</v>
      </c>
      <c r="J11" s="8">
        <v>1526.3620352</v>
      </c>
      <c r="K11" s="8">
        <v>1636.310998016</v>
      </c>
      <c r="L11" s="8">
        <v>1784.7420978176001</v>
      </c>
      <c r="M11" s="8">
        <v>2045.9808334684162</v>
      </c>
      <c r="N11" s="8">
        <v>1970.2216001296795</v>
      </c>
      <c r="O11" s="8">
        <v>2024.7682481335698</v>
      </c>
      <c r="P11" s="8">
        <v>1856.2191058015485</v>
      </c>
      <c r="Q11" s="8">
        <v>1651.7128131053628</v>
      </c>
    </row>
    <row r="12" spans="5:17" x14ac:dyDescent="0.3">
      <c r="E12" s="2" t="s">
        <v>3</v>
      </c>
      <c r="F12" s="4">
        <v>1545</v>
      </c>
      <c r="G12" s="8">
        <v>1544.6</v>
      </c>
      <c r="H12" s="8">
        <v>1569.5519999999999</v>
      </c>
      <c r="I12" s="8">
        <v>1638.9285599999998</v>
      </c>
      <c r="J12" s="8">
        <v>1654.5078455999999</v>
      </c>
      <c r="K12" s="8">
        <v>1638.7727671439998</v>
      </c>
      <c r="L12" s="8">
        <v>1583.6173118011197</v>
      </c>
      <c r="M12" s="8">
        <v>1577.0849655650973</v>
      </c>
      <c r="N12" s="8">
        <v>1493.2415669424934</v>
      </c>
      <c r="O12" s="8">
        <v>1574.6912296201931</v>
      </c>
      <c r="P12" s="8">
        <v>1619.5019665087989</v>
      </c>
      <c r="Q12" s="8">
        <v>1665.6570255040629</v>
      </c>
    </row>
    <row r="13" spans="5:17" x14ac:dyDescent="0.3">
      <c r="E13" s="2" t="s">
        <v>45</v>
      </c>
      <c r="F13" s="4">
        <v>587</v>
      </c>
      <c r="G13" s="8">
        <v>587</v>
      </c>
      <c r="H13" s="8">
        <v>587</v>
      </c>
      <c r="I13" s="8">
        <v>587</v>
      </c>
      <c r="J13" s="8">
        <v>587</v>
      </c>
      <c r="K13" s="8">
        <v>587</v>
      </c>
      <c r="L13" s="8">
        <v>587</v>
      </c>
      <c r="M13" s="8">
        <v>587</v>
      </c>
      <c r="N13" s="8">
        <v>587</v>
      </c>
      <c r="O13" s="8">
        <v>587</v>
      </c>
      <c r="P13" s="8">
        <v>587</v>
      </c>
      <c r="Q13" s="8">
        <v>587</v>
      </c>
    </row>
    <row r="14" spans="5:17" x14ac:dyDescent="0.3">
      <c r="E14" s="2" t="s">
        <v>11</v>
      </c>
      <c r="F14" s="4">
        <v>1975</v>
      </c>
      <c r="G14" s="8">
        <v>1920.13</v>
      </c>
      <c r="H14" s="8">
        <v>1884.6474000000001</v>
      </c>
      <c r="I14" s="8">
        <v>1936.806822</v>
      </c>
      <c r="J14" s="8">
        <v>2044.2552313199999</v>
      </c>
      <c r="K14" s="8">
        <v>2196.1156498256</v>
      </c>
      <c r="L14" s="8">
        <v>2401.1272148081598</v>
      </c>
      <c r="M14" s="8">
        <v>2716.8450248813024</v>
      </c>
      <c r="N14" s="8">
        <v>2588.3027736372374</v>
      </c>
      <c r="O14" s="8">
        <v>2417.3415794826306</v>
      </c>
      <c r="P14" s="8">
        <v>2212.920837329194</v>
      </c>
      <c r="Q14" s="8">
        <v>1964.8903368496908</v>
      </c>
    </row>
    <row r="15" spans="5:17" x14ac:dyDescent="0.3">
      <c r="E15" s="2" t="s">
        <v>4</v>
      </c>
      <c r="F15" s="4">
        <v>601</v>
      </c>
      <c r="G15" s="8">
        <v>536.54</v>
      </c>
      <c r="H15" s="8">
        <v>614.7826</v>
      </c>
      <c r="I15" s="8">
        <v>635.796513</v>
      </c>
      <c r="J15" s="8">
        <v>629.73854787000005</v>
      </c>
      <c r="K15" s="8">
        <v>623.74116239130001</v>
      </c>
      <c r="L15" s="8">
        <v>593.86633914347397</v>
      </c>
      <c r="M15" s="8">
        <v>594.41034896916972</v>
      </c>
      <c r="N15" s="8">
        <v>531.2575210516361</v>
      </c>
      <c r="O15" s="8">
        <v>559.64267147266878</v>
      </c>
      <c r="P15" s="8">
        <v>564.93909818739542</v>
      </c>
      <c r="Q15" s="8">
        <v>575.63788015114335</v>
      </c>
    </row>
    <row r="16" spans="5:17" x14ac:dyDescent="0.3">
      <c r="E16" s="2" t="s">
        <v>5</v>
      </c>
      <c r="F16" s="4">
        <v>10774.809364548495</v>
      </c>
      <c r="G16" s="8">
        <v>11200.129364548495</v>
      </c>
      <c r="H16" s="8">
        <v>10659.538964548494</v>
      </c>
      <c r="I16" s="8">
        <v>11762.840852548494</v>
      </c>
      <c r="J16" s="8">
        <v>11867.661167428494</v>
      </c>
      <c r="K16" s="8">
        <v>12079.398203486095</v>
      </c>
      <c r="L16" s="8">
        <v>10957.440538317967</v>
      </c>
      <c r="M16" s="8">
        <v>11545.947914842578</v>
      </c>
      <c r="N16" s="8">
        <v>10439.993758333756</v>
      </c>
      <c r="O16" s="8">
        <v>11536.709290147313</v>
      </c>
      <c r="P16" s="8">
        <v>11844.386287915278</v>
      </c>
      <c r="Q16" s="8">
        <v>12266.92936484995</v>
      </c>
    </row>
    <row r="17" spans="5:17" x14ac:dyDescent="0.3">
      <c r="E17" s="2" t="s">
        <v>6</v>
      </c>
      <c r="F17" s="4">
        <v>19342.043478260868</v>
      </c>
      <c r="G17" s="8">
        <v>21042.44347826087</v>
      </c>
      <c r="H17" s="8">
        <v>19697.613478260868</v>
      </c>
      <c r="I17" s="8">
        <v>23026.147678260866</v>
      </c>
      <c r="J17" s="8">
        <v>23441.149762260866</v>
      </c>
      <c r="K17" s="8">
        <v>24076.102950780867</v>
      </c>
      <c r="L17" s="8">
        <v>21486.101761330468</v>
      </c>
      <c r="M17" s="8">
        <v>24281.023509822557</v>
      </c>
      <c r="N17" s="8">
        <v>19706.475706350771</v>
      </c>
      <c r="O17" s="8">
        <v>23231.385962317065</v>
      </c>
      <c r="P17" s="8">
        <v>23650.492811998189</v>
      </c>
      <c r="Q17" s="8">
        <v>24291.726292010309</v>
      </c>
    </row>
    <row r="18" spans="5:17" x14ac:dyDescent="0.3">
      <c r="E18" s="2" t="s">
        <v>7</v>
      </c>
      <c r="F18" s="4">
        <v>17303.147157190637</v>
      </c>
      <c r="G18" s="8">
        <v>19680.057157190637</v>
      </c>
      <c r="H18" s="8">
        <v>17597.352657190637</v>
      </c>
      <c r="I18" s="8">
        <v>21425.157042190636</v>
      </c>
      <c r="J18" s="8">
        <v>21945.087338740635</v>
      </c>
      <c r="K18" s="8">
        <v>22123.596740556135</v>
      </c>
      <c r="L18" s="8">
        <v>18888.713253055172</v>
      </c>
      <c r="M18" s="8">
        <v>21407.827592096528</v>
      </c>
      <c r="N18" s="8">
        <v>18194.417179049353</v>
      </c>
      <c r="O18" s="8">
        <v>21896.073380360875</v>
      </c>
      <c r="P18" s="8">
        <v>22608.150429287685</v>
      </c>
      <c r="Q18" s="8">
        <v>23348.710560171567</v>
      </c>
    </row>
    <row r="19" spans="5:17" x14ac:dyDescent="0.3">
      <c r="E19" s="2" t="s">
        <v>8</v>
      </c>
      <c r="F19" s="4">
        <v>3009</v>
      </c>
      <c r="G19" s="8">
        <v>3101.34</v>
      </c>
      <c r="H19" s="8">
        <v>3036.1002000000003</v>
      </c>
      <c r="I19" s="8">
        <v>3244.3022040000005</v>
      </c>
      <c r="J19" s="8">
        <v>3259.1437150200004</v>
      </c>
      <c r="K19" s="8">
        <v>3229.3122778698003</v>
      </c>
      <c r="L19" s="8">
        <v>3020.2460323124042</v>
      </c>
      <c r="M19" s="8">
        <v>3112.3611116661559</v>
      </c>
      <c r="N19" s="8">
        <v>2933.9975005494944</v>
      </c>
      <c r="O19" s="8">
        <v>3140.1574505604844</v>
      </c>
      <c r="P19" s="8">
        <v>3168.7990250660891</v>
      </c>
      <c r="Q19" s="8">
        <v>3212.1910104420804</v>
      </c>
    </row>
    <row r="20" spans="5:17" x14ac:dyDescent="0.3">
      <c r="E20" s="2" t="s">
        <v>9</v>
      </c>
      <c r="F20" s="4">
        <v>433</v>
      </c>
      <c r="G20" s="8">
        <v>432.82</v>
      </c>
      <c r="H20" s="8">
        <v>427.76099999999997</v>
      </c>
      <c r="I20" s="8">
        <v>459.71621999999996</v>
      </c>
      <c r="J20" s="8">
        <v>463.77338219999996</v>
      </c>
      <c r="K20" s="8">
        <v>461.72451528899995</v>
      </c>
      <c r="L20" s="8">
        <v>429.57002498321998</v>
      </c>
      <c r="M20" s="8">
        <v>449.57432473338775</v>
      </c>
      <c r="N20" s="8">
        <v>413.7070949913861</v>
      </c>
      <c r="O20" s="8">
        <v>441.54416594129998</v>
      </c>
      <c r="P20" s="8">
        <v>447.3573284304195</v>
      </c>
      <c r="Q20" s="8">
        <v>455.2244749990279</v>
      </c>
    </row>
    <row r="21" spans="5:17" x14ac:dyDescent="0.3">
      <c r="E21" s="2" t="s">
        <v>12</v>
      </c>
      <c r="F21" s="4">
        <v>589</v>
      </c>
      <c r="G21" s="8">
        <v>583.11</v>
      </c>
      <c r="H21" s="8">
        <v>580.19444999999996</v>
      </c>
      <c r="I21" s="8">
        <v>583.09542224999996</v>
      </c>
      <c r="J21" s="8">
        <v>588.92637647250001</v>
      </c>
      <c r="K21" s="8">
        <v>597.76027211958751</v>
      </c>
      <c r="L21" s="8">
        <v>609.71547756197924</v>
      </c>
      <c r="M21" s="8">
        <v>615.81263233759898</v>
      </c>
      <c r="N21" s="8">
        <v>597.338253367471</v>
      </c>
      <c r="O21" s="8">
        <v>585.39148830012152</v>
      </c>
      <c r="P21" s="8">
        <v>576.61061597561968</v>
      </c>
      <c r="Q21" s="8">
        <v>565.0784036561073</v>
      </c>
    </row>
    <row r="22" spans="5:17" x14ac:dyDescent="0.3">
      <c r="E22" s="2" t="s">
        <v>13</v>
      </c>
      <c r="F22" s="4">
        <v>155</v>
      </c>
      <c r="G22" s="8">
        <v>130.19999999999999</v>
      </c>
      <c r="H22" s="8">
        <v>141.91799999999998</v>
      </c>
      <c r="I22" s="8">
        <v>146.17553999999998</v>
      </c>
      <c r="J22" s="8">
        <v>150.56080619999997</v>
      </c>
      <c r="K22" s="8">
        <v>152.81921829299998</v>
      </c>
      <c r="L22" s="8">
        <v>155.87560265885998</v>
      </c>
      <c r="M22" s="8">
        <v>157.43435868544859</v>
      </c>
      <c r="N22" s="8">
        <v>157.43435868544859</v>
      </c>
      <c r="O22" s="8">
        <v>155.86001509859409</v>
      </c>
      <c r="P22" s="8">
        <v>154.30141494760815</v>
      </c>
      <c r="Q22" s="8">
        <v>151.21538664865599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45D5-D1D2-4D7C-A033-B2C9EA6B62CB}">
  <dimension ref="B3:X53"/>
  <sheetViews>
    <sheetView workbookViewId="0">
      <selection activeCell="R20" sqref="R20"/>
    </sheetView>
  </sheetViews>
  <sheetFormatPr defaultRowHeight="16.5" x14ac:dyDescent="0.3"/>
  <cols>
    <col min="1" max="4" width="9" style="3"/>
    <col min="5" max="5" width="11.625" style="3" bestFit="1" customWidth="1"/>
    <col min="6" max="7" width="9" style="3"/>
    <col min="8" max="8" width="13.75" style="3" bestFit="1" customWidth="1"/>
    <col min="9" max="23" width="9" style="3"/>
    <col min="24" max="24" width="14.625" style="3" bestFit="1" customWidth="1"/>
    <col min="25" max="27" width="9" style="3"/>
    <col min="28" max="28" width="11.875" style="3" bestFit="1" customWidth="1"/>
    <col min="29" max="16384" width="9" style="3"/>
  </cols>
  <sheetData>
    <row r="3" spans="2:24" x14ac:dyDescent="0.3">
      <c r="K3" s="3" t="s">
        <v>50</v>
      </c>
    </row>
    <row r="4" spans="2:24" x14ac:dyDescent="0.3">
      <c r="C4" s="3" t="s">
        <v>42</v>
      </c>
      <c r="D4" s="3" t="s">
        <v>43</v>
      </c>
      <c r="E4" s="3" t="s">
        <v>46</v>
      </c>
      <c r="F4" s="3" t="s">
        <v>49</v>
      </c>
      <c r="H4" s="3" t="s">
        <v>47</v>
      </c>
      <c r="K4" s="2" t="s">
        <v>26</v>
      </c>
      <c r="L4" s="5" t="s">
        <v>14</v>
      </c>
      <c r="M4" s="2" t="s">
        <v>15</v>
      </c>
      <c r="N4" s="5" t="s">
        <v>16</v>
      </c>
      <c r="O4" s="5" t="s">
        <v>17</v>
      </c>
      <c r="P4" s="5" t="s">
        <v>18</v>
      </c>
      <c r="Q4" s="2" t="s">
        <v>19</v>
      </c>
      <c r="R4" s="5" t="s">
        <v>20</v>
      </c>
      <c r="S4" s="2" t="s">
        <v>21</v>
      </c>
      <c r="T4" s="5" t="s">
        <v>22</v>
      </c>
      <c r="U4" s="5" t="s">
        <v>23</v>
      </c>
      <c r="V4" s="5" t="s">
        <v>24</v>
      </c>
    </row>
    <row r="5" spans="2:24" x14ac:dyDescent="0.3">
      <c r="B5" s="4" t="s">
        <v>1</v>
      </c>
      <c r="C5" s="3">
        <v>21</v>
      </c>
      <c r="D5" s="3">
        <f>C5*31</f>
        <v>651</v>
      </c>
      <c r="E5" s="3">
        <v>12</v>
      </c>
      <c r="F5" s="3">
        <f>D5+E5</f>
        <v>663</v>
      </c>
      <c r="H5" s="3">
        <v>0</v>
      </c>
      <c r="J5" s="11"/>
      <c r="K5" s="3">
        <v>651</v>
      </c>
      <c r="L5" s="3">
        <f>Sheet1!C3</f>
        <v>546.84</v>
      </c>
      <c r="M5" s="3">
        <f>Sheet1!D3</f>
        <v>617.92920000000004</v>
      </c>
      <c r="N5" s="3">
        <f>Sheet1!E3</f>
        <v>605.57061600000009</v>
      </c>
      <c r="O5" s="3">
        <f>Sheet1!F3</f>
        <v>587.40349752000009</v>
      </c>
      <c r="P5" s="3">
        <f>Sheet1!G3</f>
        <v>575.65542756960008</v>
      </c>
      <c r="Q5" s="3">
        <f>Sheet1!H3</f>
        <v>541.11610191542411</v>
      </c>
      <c r="R5" s="3">
        <f>Sheet1!I3</f>
        <v>530.29377987711564</v>
      </c>
      <c r="S5" s="3">
        <f>Sheet1!J3</f>
        <v>503.77909088325987</v>
      </c>
      <c r="T5" s="3">
        <f>Sheet1!K3</f>
        <v>518.89246360975767</v>
      </c>
      <c r="U5" s="3">
        <f>Sheet1!L3</f>
        <v>529.2703128819528</v>
      </c>
      <c r="V5" s="3">
        <f>Sheet1!M3</f>
        <v>539.85571913959188</v>
      </c>
    </row>
    <row r="6" spans="2:24" x14ac:dyDescent="0.3">
      <c r="B6" s="4" t="s">
        <v>2</v>
      </c>
      <c r="C6" s="3">
        <v>46</v>
      </c>
      <c r="D6" s="3">
        <f t="shared" ref="D6:D19" si="0">C6*31</f>
        <v>1426</v>
      </c>
      <c r="E6" s="3">
        <v>39</v>
      </c>
      <c r="F6" s="3">
        <f t="shared" ref="F6:F19" si="1">D6+E6</f>
        <v>1465</v>
      </c>
      <c r="H6" s="3">
        <v>54</v>
      </c>
      <c r="J6" s="11"/>
      <c r="K6" s="3">
        <v>1426</v>
      </c>
      <c r="L6" s="3">
        <f>Sheet1!C5</f>
        <v>1155.06</v>
      </c>
      <c r="M6" s="3">
        <f>Sheet1!D5</f>
        <v>1351.4202</v>
      </c>
      <c r="N6" s="3">
        <f>Sheet1!E5</f>
        <v>1405.4770080000001</v>
      </c>
      <c r="O6" s="3">
        <f>Sheet1!F5</f>
        <v>1377.36746784</v>
      </c>
      <c r="P6" s="3">
        <f>Sheet1!G5</f>
        <v>1336.0464438048</v>
      </c>
      <c r="Q6" s="3">
        <f>Sheet1!H5</f>
        <v>1282.6045860526081</v>
      </c>
      <c r="R6" s="3">
        <f>Sheet1!I5</f>
        <v>1269.7785401920819</v>
      </c>
      <c r="S6" s="3">
        <f>Sheet1!J5</f>
        <v>1155.4984715747946</v>
      </c>
      <c r="T6" s="3">
        <f>Sheet1!K5</f>
        <v>1271.0483187322741</v>
      </c>
      <c r="U6" s="3">
        <f>Sheet1!L5</f>
        <v>1321.890251481565</v>
      </c>
      <c r="V6" s="3">
        <f>Sheet1!M5</f>
        <v>1361.546959026012</v>
      </c>
    </row>
    <row r="7" spans="2:24" x14ac:dyDescent="0.3">
      <c r="B7" s="4" t="s">
        <v>3</v>
      </c>
      <c r="C7" s="3">
        <v>48</v>
      </c>
      <c r="D7" s="3">
        <f t="shared" si="0"/>
        <v>1488</v>
      </c>
      <c r="E7" s="3">
        <v>57</v>
      </c>
      <c r="F7" s="3">
        <f t="shared" si="1"/>
        <v>1545</v>
      </c>
      <c r="H7" s="3">
        <v>24</v>
      </c>
      <c r="J7" s="11"/>
      <c r="K7" s="3">
        <v>1488</v>
      </c>
      <c r="L7" s="3">
        <f>Sheet1!C7</f>
        <v>1413.6</v>
      </c>
      <c r="M7" s="3">
        <f>Sheet1!D7</f>
        <v>1512.5519999999999</v>
      </c>
      <c r="N7" s="3">
        <f>Sheet1!E7</f>
        <v>1557.9285599999998</v>
      </c>
      <c r="O7" s="3">
        <f>Sheet1!F7</f>
        <v>1573.5078455999999</v>
      </c>
      <c r="P7" s="3">
        <f>Sheet1!G7</f>
        <v>1557.7727671439998</v>
      </c>
      <c r="Q7" s="3">
        <f>Sheet1!H7</f>
        <v>1526.6173118011197</v>
      </c>
      <c r="R7" s="3">
        <f>Sheet1!I7</f>
        <v>1496.0849655650973</v>
      </c>
      <c r="S7" s="3">
        <f>Sheet1!J7</f>
        <v>1436.2415669424934</v>
      </c>
      <c r="T7" s="3">
        <f>Sheet1!K7</f>
        <v>1493.6912296201931</v>
      </c>
      <c r="U7" s="3">
        <f>Sheet1!L7</f>
        <v>1538.5019665087989</v>
      </c>
      <c r="V7" s="3">
        <f>Sheet1!M7</f>
        <v>1584.6570255040629</v>
      </c>
      <c r="X7" s="3">
        <v>2218005000</v>
      </c>
    </row>
    <row r="8" spans="2:24" x14ac:dyDescent="0.3">
      <c r="B8" s="4" t="s">
        <v>4</v>
      </c>
      <c r="C8" s="3">
        <v>19</v>
      </c>
      <c r="D8" s="3">
        <f t="shared" si="0"/>
        <v>589</v>
      </c>
      <c r="E8" s="3">
        <v>12</v>
      </c>
      <c r="F8" s="3">
        <f t="shared" si="1"/>
        <v>601</v>
      </c>
      <c r="H8" s="3">
        <v>18</v>
      </c>
      <c r="J8" s="11"/>
      <c r="K8" s="3">
        <v>589</v>
      </c>
      <c r="L8" s="3">
        <f>Sheet1!C9</f>
        <v>506.53999999999996</v>
      </c>
      <c r="M8" s="3">
        <f>Sheet1!D9</f>
        <v>602.7826</v>
      </c>
      <c r="N8" s="3">
        <f>Sheet1!E9</f>
        <v>605.796513</v>
      </c>
      <c r="O8" s="3">
        <f>Sheet1!F9</f>
        <v>599.73854787000005</v>
      </c>
      <c r="P8" s="3">
        <f>Sheet1!G9</f>
        <v>593.74116239130001</v>
      </c>
      <c r="Q8" s="3">
        <f>Sheet1!H9</f>
        <v>581.86633914347397</v>
      </c>
      <c r="R8" s="3">
        <f>Sheet1!I9</f>
        <v>564.41034896916972</v>
      </c>
      <c r="S8" s="3">
        <f>Sheet1!J9</f>
        <v>519.2575210516361</v>
      </c>
      <c r="T8" s="3">
        <f>Sheet1!K9</f>
        <v>529.64267147266878</v>
      </c>
      <c r="U8" s="3">
        <f>Sheet1!L9</f>
        <v>534.93909818739542</v>
      </c>
      <c r="V8" s="3">
        <f>Sheet1!M9</f>
        <v>545.63788015114335</v>
      </c>
      <c r="X8" s="3">
        <f>X7*10%</f>
        <v>221800500</v>
      </c>
    </row>
    <row r="9" spans="2:24" x14ac:dyDescent="0.3">
      <c r="B9" s="4" t="s">
        <v>44</v>
      </c>
      <c r="C9" s="3">
        <v>23</v>
      </c>
      <c r="D9" s="3">
        <f t="shared" si="0"/>
        <v>713</v>
      </c>
      <c r="E9" s="3">
        <v>92</v>
      </c>
      <c r="F9" s="3">
        <f t="shared" si="1"/>
        <v>805</v>
      </c>
      <c r="H9" s="3">
        <v>0</v>
      </c>
      <c r="J9" s="11"/>
      <c r="K9" s="3">
        <v>713</v>
      </c>
      <c r="L9" s="3">
        <f>Sheet1!C11</f>
        <v>713</v>
      </c>
      <c r="M9" s="3">
        <f>Sheet1!D11</f>
        <v>713</v>
      </c>
      <c r="N9" s="3">
        <f>Sheet1!E11</f>
        <v>713</v>
      </c>
      <c r="O9" s="3">
        <f>Sheet1!F11</f>
        <v>713</v>
      </c>
      <c r="P9" s="3">
        <f>Sheet1!G11</f>
        <v>713</v>
      </c>
      <c r="Q9" s="3">
        <f>Sheet1!H11</f>
        <v>713</v>
      </c>
      <c r="R9" s="3">
        <f>Sheet1!I11</f>
        <v>713</v>
      </c>
      <c r="S9" s="3">
        <f>Sheet1!J11</f>
        <v>713</v>
      </c>
      <c r="T9" s="3">
        <f>Sheet1!K11</f>
        <v>713</v>
      </c>
      <c r="U9" s="3">
        <f>Sheet1!L11</f>
        <v>713</v>
      </c>
      <c r="V9" s="3">
        <f>Sheet1!M11</f>
        <v>713</v>
      </c>
    </row>
    <row r="10" spans="2:24" x14ac:dyDescent="0.3">
      <c r="B10" s="4" t="s">
        <v>45</v>
      </c>
      <c r="C10" s="3">
        <v>17</v>
      </c>
      <c r="D10" s="3">
        <f t="shared" si="0"/>
        <v>527</v>
      </c>
      <c r="E10" s="3">
        <v>60</v>
      </c>
      <c r="F10" s="3">
        <f t="shared" si="1"/>
        <v>587</v>
      </c>
      <c r="H10" s="3">
        <v>0</v>
      </c>
      <c r="J10" s="11"/>
      <c r="K10" s="3">
        <v>527</v>
      </c>
      <c r="L10" s="3">
        <f>Sheet1!C13</f>
        <v>527</v>
      </c>
      <c r="M10" s="3">
        <f>Sheet1!D13</f>
        <v>527</v>
      </c>
      <c r="N10" s="3">
        <f>Sheet1!E13</f>
        <v>527</v>
      </c>
      <c r="O10" s="3">
        <f>Sheet1!F13</f>
        <v>527</v>
      </c>
      <c r="P10" s="3">
        <f>Sheet1!G13</f>
        <v>527</v>
      </c>
      <c r="Q10" s="3">
        <f>Sheet1!H13</f>
        <v>527</v>
      </c>
      <c r="R10" s="3">
        <f>Sheet1!I13</f>
        <v>527</v>
      </c>
      <c r="S10" s="3">
        <f>Sheet1!J13</f>
        <v>527</v>
      </c>
      <c r="T10" s="3">
        <f>Sheet1!K13</f>
        <v>527</v>
      </c>
      <c r="U10" s="3">
        <f>Sheet1!L13</f>
        <v>527</v>
      </c>
      <c r="V10" s="3">
        <f>Sheet1!M13</f>
        <v>527</v>
      </c>
    </row>
    <row r="11" spans="2:24" x14ac:dyDescent="0.3">
      <c r="B11" s="4" t="s">
        <v>5</v>
      </c>
      <c r="C11" s="3">
        <v>332</v>
      </c>
      <c r="D11" s="3">
        <f t="shared" si="0"/>
        <v>10292</v>
      </c>
      <c r="E11" s="3">
        <v>482.80936454849495</v>
      </c>
      <c r="F11" s="3">
        <f t="shared" si="1"/>
        <v>10774.809364548495</v>
      </c>
      <c r="H11" s="3">
        <v>798</v>
      </c>
      <c r="J11" s="11"/>
      <c r="K11" s="3">
        <v>10292</v>
      </c>
      <c r="L11" s="3">
        <f>Sheet1!C15</f>
        <v>9880.32</v>
      </c>
      <c r="M11" s="3">
        <f>Sheet1!D15</f>
        <v>10176.729599999999</v>
      </c>
      <c r="N11" s="3">
        <f>Sheet1!E15</f>
        <v>10482.031487999999</v>
      </c>
      <c r="O11" s="3">
        <f>Sheet1!F15</f>
        <v>10586.851802879999</v>
      </c>
      <c r="P11" s="3">
        <f>Sheet1!G15</f>
        <v>10798.5888389376</v>
      </c>
      <c r="Q11" s="3">
        <f>Sheet1!H15</f>
        <v>10474.631173769472</v>
      </c>
      <c r="R11" s="3">
        <f>Sheet1!I15</f>
        <v>10265.138550294083</v>
      </c>
      <c r="S11" s="3">
        <f>Sheet1!J15</f>
        <v>9957.1843937852609</v>
      </c>
      <c r="T11" s="3">
        <f>Sheet1!K15</f>
        <v>10255.899925598818</v>
      </c>
      <c r="U11" s="3">
        <f>Sheet1!L15</f>
        <v>10563.576923366783</v>
      </c>
      <c r="V11" s="3">
        <f>Sheet1!M15</f>
        <v>10986.120000301455</v>
      </c>
    </row>
    <row r="12" spans="2:24" x14ac:dyDescent="0.3">
      <c r="B12" s="4" t="s">
        <v>6</v>
      </c>
      <c r="C12" s="3">
        <v>620</v>
      </c>
      <c r="D12" s="3">
        <f t="shared" si="0"/>
        <v>19220</v>
      </c>
      <c r="E12" s="3">
        <v>122.04347826086956</v>
      </c>
      <c r="F12" s="3">
        <f t="shared" si="1"/>
        <v>19342.043478260868</v>
      </c>
      <c r="H12" s="3">
        <v>2154</v>
      </c>
      <c r="J12" s="11"/>
      <c r="K12" s="3">
        <v>19220</v>
      </c>
      <c r="L12" s="3">
        <f>Sheet1!C17</f>
        <v>18643.400000000001</v>
      </c>
      <c r="M12" s="3">
        <f>Sheet1!D17</f>
        <v>19575.57</v>
      </c>
      <c r="N12" s="3">
        <f>Sheet1!E17</f>
        <v>20750.104199999998</v>
      </c>
      <c r="O12" s="3">
        <f>Sheet1!F17</f>
        <v>21165.106283999998</v>
      </c>
      <c r="P12" s="3">
        <f>Sheet1!G17</f>
        <v>21800.059472519999</v>
      </c>
      <c r="Q12" s="3">
        <f>Sheet1!H17</f>
        <v>21364.0582830696</v>
      </c>
      <c r="R12" s="3">
        <f>Sheet1!I17</f>
        <v>22004.980031561689</v>
      </c>
      <c r="S12" s="3">
        <f>Sheet1!J17</f>
        <v>19584.432228089903</v>
      </c>
      <c r="T12" s="3">
        <f>Sheet1!K17</f>
        <v>20955.342484056197</v>
      </c>
      <c r="U12" s="3">
        <f>Sheet1!L17</f>
        <v>21374.449333737321</v>
      </c>
      <c r="V12" s="3">
        <f>Sheet1!M17</f>
        <v>22015.682813749441</v>
      </c>
    </row>
    <row r="13" spans="2:24" x14ac:dyDescent="0.3">
      <c r="B13" s="4" t="s">
        <v>7</v>
      </c>
      <c r="C13" s="3">
        <v>513</v>
      </c>
      <c r="D13" s="3">
        <f t="shared" si="0"/>
        <v>15903</v>
      </c>
      <c r="E13" s="3">
        <v>1400.1471571906354</v>
      </c>
      <c r="F13" s="3">
        <f t="shared" si="1"/>
        <v>17303.147157190637</v>
      </c>
      <c r="H13" s="3">
        <v>2694</v>
      </c>
      <c r="J13" s="11"/>
      <c r="K13" s="3">
        <v>15903</v>
      </c>
      <c r="L13" s="3">
        <f>Sheet1!C19</f>
        <v>15425.91</v>
      </c>
      <c r="M13" s="3">
        <f>Sheet1!D19</f>
        <v>16197.2055</v>
      </c>
      <c r="N13" s="3">
        <f>Sheet1!E19</f>
        <v>17331.009884999999</v>
      </c>
      <c r="O13" s="3">
        <f>Sheet1!F19</f>
        <v>17850.940181549999</v>
      </c>
      <c r="P13" s="3">
        <f>Sheet1!G19</f>
        <v>18029.449583365498</v>
      </c>
      <c r="Q13" s="3">
        <f>Sheet1!H19</f>
        <v>17488.566095864535</v>
      </c>
      <c r="R13" s="3">
        <f>Sheet1!I19</f>
        <v>17313.680434905891</v>
      </c>
      <c r="S13" s="3">
        <f>Sheet1!J19</f>
        <v>16794.270021858716</v>
      </c>
      <c r="T13" s="3">
        <f>Sheet1!K19</f>
        <v>17801.926223170238</v>
      </c>
      <c r="U13" s="3">
        <f>Sheet1!L19</f>
        <v>18514.003272097048</v>
      </c>
      <c r="V13" s="3">
        <f>Sheet1!M19</f>
        <v>19254.56340298093</v>
      </c>
    </row>
    <row r="14" spans="2:24" x14ac:dyDescent="0.3">
      <c r="B14" s="4" t="s">
        <v>8</v>
      </c>
      <c r="C14" s="3">
        <v>93</v>
      </c>
      <c r="D14" s="3">
        <f t="shared" si="0"/>
        <v>2883</v>
      </c>
      <c r="E14" s="3">
        <v>126</v>
      </c>
      <c r="F14" s="3">
        <f t="shared" si="1"/>
        <v>3009</v>
      </c>
      <c r="H14" s="3">
        <v>150</v>
      </c>
      <c r="J14" s="11"/>
      <c r="K14" s="3">
        <v>2883</v>
      </c>
      <c r="L14" s="3">
        <f>Sheet1!C21</f>
        <v>2825.34</v>
      </c>
      <c r="M14" s="3">
        <f>Sheet1!D21</f>
        <v>2910.1002000000003</v>
      </c>
      <c r="N14" s="3">
        <f>Sheet1!E21</f>
        <v>2968.3022040000005</v>
      </c>
      <c r="O14" s="3">
        <f>Sheet1!F21</f>
        <v>2983.1437150200004</v>
      </c>
      <c r="P14" s="3">
        <f>Sheet1!G21</f>
        <v>2953.3122778698003</v>
      </c>
      <c r="Q14" s="3">
        <f>Sheet1!H21</f>
        <v>2894.2460323124042</v>
      </c>
      <c r="R14" s="3">
        <f>Sheet1!I21</f>
        <v>2836.3611116661559</v>
      </c>
      <c r="S14" s="3">
        <f>Sheet1!J21</f>
        <v>2807.9975005494944</v>
      </c>
      <c r="T14" s="3">
        <f>Sheet1!K21</f>
        <v>2864.1574505604844</v>
      </c>
      <c r="U14" s="3">
        <f>Sheet1!L21</f>
        <v>2892.7990250660891</v>
      </c>
      <c r="V14" s="3">
        <f>Sheet1!M21</f>
        <v>2936.1910104420804</v>
      </c>
    </row>
    <row r="15" spans="2:24" x14ac:dyDescent="0.3">
      <c r="B15" s="4" t="s">
        <v>9</v>
      </c>
      <c r="C15" s="3">
        <v>13</v>
      </c>
      <c r="D15" s="3">
        <f t="shared" si="0"/>
        <v>403</v>
      </c>
      <c r="E15" s="3">
        <v>30</v>
      </c>
      <c r="F15" s="3">
        <f t="shared" si="1"/>
        <v>433</v>
      </c>
      <c r="H15" s="3">
        <v>24</v>
      </c>
      <c r="J15" s="11"/>
      <c r="K15" s="3">
        <v>403</v>
      </c>
      <c r="L15" s="3">
        <f>Sheet1!C23</f>
        <v>378.82</v>
      </c>
      <c r="M15" s="3">
        <f>Sheet1!D23</f>
        <v>397.76099999999997</v>
      </c>
      <c r="N15" s="3">
        <f>Sheet1!E23</f>
        <v>405.71621999999996</v>
      </c>
      <c r="O15" s="3">
        <f>Sheet1!F23</f>
        <v>409.77338219999996</v>
      </c>
      <c r="P15" s="3">
        <f>Sheet1!G23</f>
        <v>407.72451528899995</v>
      </c>
      <c r="Q15" s="3">
        <f>Sheet1!H23</f>
        <v>399.57002498321998</v>
      </c>
      <c r="R15" s="3">
        <f>Sheet1!I23</f>
        <v>395.57432473338775</v>
      </c>
      <c r="S15" s="3">
        <f>Sheet1!J23</f>
        <v>383.7070949913861</v>
      </c>
      <c r="T15" s="3">
        <f>Sheet1!K23</f>
        <v>387.54416594129998</v>
      </c>
      <c r="U15" s="3">
        <f>Sheet1!L23</f>
        <v>393.3573284304195</v>
      </c>
      <c r="V15" s="3">
        <f>Sheet1!M23</f>
        <v>401.2244749990279</v>
      </c>
    </row>
    <row r="16" spans="2:24" x14ac:dyDescent="0.3">
      <c r="B16" s="4" t="s">
        <v>10</v>
      </c>
      <c r="C16" s="3">
        <v>44</v>
      </c>
      <c r="D16" s="3">
        <f t="shared" si="0"/>
        <v>1364</v>
      </c>
      <c r="E16" s="3">
        <v>152</v>
      </c>
      <c r="F16" s="3">
        <f t="shared" si="1"/>
        <v>1516</v>
      </c>
      <c r="H16" s="3">
        <v>0</v>
      </c>
      <c r="J16" s="11"/>
      <c r="K16" s="3">
        <v>1364</v>
      </c>
      <c r="L16" s="3">
        <f>Sheet1!C25</f>
        <v>1309.44</v>
      </c>
      <c r="M16" s="3">
        <f>Sheet1!D25</f>
        <v>1283.2512000000002</v>
      </c>
      <c r="N16" s="3">
        <f>Sheet1!E25</f>
        <v>1308.9162240000001</v>
      </c>
      <c r="O16" s="3">
        <f>Sheet1!F25</f>
        <v>1374.3620352</v>
      </c>
      <c r="P16" s="3">
        <f>Sheet1!G25</f>
        <v>1484.310998016</v>
      </c>
      <c r="Q16" s="3">
        <f>Sheet1!H25</f>
        <v>1632.7420978176001</v>
      </c>
      <c r="R16" s="3">
        <f>Sheet1!I25</f>
        <v>1893.9808334684162</v>
      </c>
      <c r="S16" s="3">
        <f>Sheet1!J25</f>
        <v>1818.2216001296795</v>
      </c>
      <c r="T16" s="3">
        <f>Sheet1!K25</f>
        <v>1872.7682481335698</v>
      </c>
      <c r="U16" s="3">
        <f>Sheet1!L25</f>
        <v>1704.2191058015485</v>
      </c>
      <c r="V16" s="3">
        <f>Sheet1!M25</f>
        <v>1499.7128131053628</v>
      </c>
    </row>
    <row r="17" spans="2:22" x14ac:dyDescent="0.3">
      <c r="B17" s="4" t="s">
        <v>11</v>
      </c>
      <c r="C17" s="3">
        <v>59</v>
      </c>
      <c r="D17" s="3">
        <f t="shared" si="0"/>
        <v>1829</v>
      </c>
      <c r="E17" s="3">
        <v>146</v>
      </c>
      <c r="F17" s="3">
        <f t="shared" si="1"/>
        <v>1975</v>
      </c>
      <c r="H17" s="3">
        <v>0</v>
      </c>
      <c r="J17" s="11"/>
      <c r="K17" s="3">
        <v>1829</v>
      </c>
      <c r="L17" s="3">
        <f>Sheet1!C27</f>
        <v>1774.13</v>
      </c>
      <c r="M17" s="3">
        <f>Sheet1!D27</f>
        <v>1738.6474000000001</v>
      </c>
      <c r="N17" s="3">
        <f>Sheet1!E27</f>
        <v>1790.806822</v>
      </c>
      <c r="O17" s="3">
        <f>Sheet1!F27</f>
        <v>1898.2552313199999</v>
      </c>
      <c r="P17" s="3">
        <f>Sheet1!G27</f>
        <v>2050.1156498256</v>
      </c>
      <c r="Q17" s="3">
        <f>Sheet1!H27</f>
        <v>2255.1272148081598</v>
      </c>
      <c r="R17" s="3">
        <f>Sheet1!I27</f>
        <v>2570.8450248813024</v>
      </c>
      <c r="S17" s="3">
        <f>Sheet1!J27</f>
        <v>2442.3027736372374</v>
      </c>
      <c r="T17" s="3">
        <f>Sheet1!K27</f>
        <v>2271.3415794826306</v>
      </c>
      <c r="U17" s="3">
        <f>Sheet1!L27</f>
        <v>2066.920837329194</v>
      </c>
      <c r="V17" s="3">
        <f>Sheet1!M27</f>
        <v>1818.8903368496908</v>
      </c>
    </row>
    <row r="18" spans="2:22" x14ac:dyDescent="0.3">
      <c r="B18" s="4" t="s">
        <v>12</v>
      </c>
      <c r="C18" s="3">
        <v>19</v>
      </c>
      <c r="D18" s="3">
        <f t="shared" si="0"/>
        <v>589</v>
      </c>
      <c r="E18" s="3">
        <v>0</v>
      </c>
      <c r="F18" s="3">
        <f t="shared" si="1"/>
        <v>589</v>
      </c>
      <c r="H18" s="3">
        <v>0</v>
      </c>
      <c r="J18" s="11"/>
      <c r="K18" s="3">
        <v>589</v>
      </c>
      <c r="L18" s="3">
        <f>Sheet1!C29</f>
        <v>583.11</v>
      </c>
      <c r="M18" s="3">
        <f>Sheet1!D29</f>
        <v>580.19444999999996</v>
      </c>
      <c r="N18" s="3">
        <f>Sheet1!E29</f>
        <v>583.09542224999996</v>
      </c>
      <c r="O18" s="3">
        <f>Sheet1!F29</f>
        <v>588.92637647250001</v>
      </c>
      <c r="P18" s="3">
        <f>Sheet1!G29</f>
        <v>597.76027211958751</v>
      </c>
      <c r="Q18" s="3">
        <f>Sheet1!H29</f>
        <v>609.71547756197924</v>
      </c>
      <c r="R18" s="3">
        <f>Sheet1!I29</f>
        <v>615.81263233759898</v>
      </c>
      <c r="S18" s="3">
        <f>Sheet1!J29</f>
        <v>597.338253367471</v>
      </c>
      <c r="T18" s="3">
        <f>Sheet1!K29</f>
        <v>585.39148830012152</v>
      </c>
      <c r="U18" s="3">
        <f>Sheet1!L29</f>
        <v>576.61061597561968</v>
      </c>
      <c r="V18" s="3">
        <f>Sheet1!M29</f>
        <v>565.0784036561073</v>
      </c>
    </row>
    <row r="19" spans="2:22" x14ac:dyDescent="0.3">
      <c r="B19" s="4" t="s">
        <v>13</v>
      </c>
      <c r="C19" s="3">
        <v>5</v>
      </c>
      <c r="D19" s="3">
        <f t="shared" si="0"/>
        <v>155</v>
      </c>
      <c r="E19" s="3">
        <v>0</v>
      </c>
      <c r="F19" s="3">
        <f t="shared" si="1"/>
        <v>155</v>
      </c>
      <c r="H19" s="3">
        <v>0</v>
      </c>
      <c r="J19" s="11"/>
      <c r="K19" s="3">
        <v>155</v>
      </c>
      <c r="L19" s="3">
        <f>Sheet1!C31</f>
        <v>130.19999999999999</v>
      </c>
      <c r="M19" s="3">
        <f>Sheet1!D31</f>
        <v>141.91799999999998</v>
      </c>
      <c r="N19" s="3">
        <f>Sheet1!E31</f>
        <v>146.17553999999998</v>
      </c>
      <c r="O19" s="3">
        <f>Sheet1!F31</f>
        <v>150.56080619999997</v>
      </c>
      <c r="P19" s="3">
        <f>Sheet1!G31</f>
        <v>152.81921829299998</v>
      </c>
      <c r="Q19" s="3">
        <f>Sheet1!H31</f>
        <v>155.87560265885998</v>
      </c>
      <c r="R19" s="3">
        <f>Sheet1!I31</f>
        <v>157.43435868544859</v>
      </c>
      <c r="S19" s="3">
        <f>Sheet1!J31</f>
        <v>157.43435868544859</v>
      </c>
      <c r="T19" s="3">
        <f>Sheet1!K31</f>
        <v>155.86001509859409</v>
      </c>
      <c r="U19" s="3">
        <f>Sheet1!L31</f>
        <v>154.30141494760815</v>
      </c>
      <c r="V19" s="3">
        <f>Sheet1!M31</f>
        <v>151.21538664865599</v>
      </c>
    </row>
    <row r="20" spans="2:22" x14ac:dyDescent="0.3">
      <c r="D20" s="3">
        <f>SUM(D5:D19)</f>
        <v>58032</v>
      </c>
      <c r="F20" s="3">
        <f>SUM(F5:F19)</f>
        <v>60763</v>
      </c>
      <c r="H20" s="3">
        <f>SUM(H5:H19)</f>
        <v>5916</v>
      </c>
      <c r="K20" s="3" t="s">
        <v>51</v>
      </c>
      <c r="L20" s="3">
        <f t="shared" ref="L20:V20" si="2">SUM(L5:L19)</f>
        <v>55812.709999999992</v>
      </c>
      <c r="M20" s="3">
        <f t="shared" si="2"/>
        <v>58326.061350000004</v>
      </c>
      <c r="N20" s="3">
        <f t="shared" si="2"/>
        <v>61180.930702249992</v>
      </c>
      <c r="O20" s="3">
        <f t="shared" si="2"/>
        <v>62385.937173672493</v>
      </c>
      <c r="P20" s="3">
        <f t="shared" si="2"/>
        <v>63577.356627145789</v>
      </c>
      <c r="Q20" s="3">
        <f t="shared" si="2"/>
        <v>62446.736341758464</v>
      </c>
      <c r="R20" s="3">
        <f t="shared" si="2"/>
        <v>63154.374937137436</v>
      </c>
      <c r="S20" s="3">
        <f t="shared" si="2"/>
        <v>59397.664875546776</v>
      </c>
      <c r="T20" s="3">
        <f t="shared" si="2"/>
        <v>62203.506263776842</v>
      </c>
      <c r="U20" s="3">
        <f t="shared" si="2"/>
        <v>63404.839485811332</v>
      </c>
      <c r="V20" s="3">
        <f t="shared" si="2"/>
        <v>64900.376226553562</v>
      </c>
    </row>
    <row r="21" spans="2:22" x14ac:dyDescent="0.3">
      <c r="K21" s="2" t="s">
        <v>26</v>
      </c>
      <c r="L21" s="2" t="s">
        <v>14</v>
      </c>
      <c r="M21" s="2" t="s">
        <v>15</v>
      </c>
      <c r="N21" s="2" t="s">
        <v>16</v>
      </c>
      <c r="O21" s="2" t="s">
        <v>17</v>
      </c>
      <c r="P21" s="2" t="s">
        <v>18</v>
      </c>
      <c r="Q21" s="2" t="s">
        <v>19</v>
      </c>
      <c r="R21" s="2" t="s">
        <v>20</v>
      </c>
      <c r="S21" s="2" t="s">
        <v>21</v>
      </c>
      <c r="T21" s="2" t="s">
        <v>22</v>
      </c>
      <c r="U21" s="2" t="s">
        <v>23</v>
      </c>
      <c r="V21" s="2" t="s">
        <v>24</v>
      </c>
    </row>
    <row r="22" spans="2:22" x14ac:dyDescent="0.3">
      <c r="K22" s="3">
        <v>12</v>
      </c>
      <c r="L22" s="3">
        <v>12</v>
      </c>
      <c r="M22" s="3">
        <v>12</v>
      </c>
      <c r="N22" s="3">
        <v>12</v>
      </c>
      <c r="O22" s="3">
        <v>12</v>
      </c>
      <c r="P22" s="3">
        <v>12</v>
      </c>
      <c r="Q22" s="3">
        <v>12</v>
      </c>
      <c r="R22" s="3">
        <v>12</v>
      </c>
      <c r="S22" s="3">
        <v>12</v>
      </c>
      <c r="T22" s="3">
        <v>12</v>
      </c>
      <c r="U22" s="3">
        <v>12</v>
      </c>
      <c r="V22" s="3">
        <v>12</v>
      </c>
    </row>
    <row r="23" spans="2:22" x14ac:dyDescent="0.3">
      <c r="K23" s="3">
        <v>39</v>
      </c>
      <c r="L23" s="3">
        <v>39</v>
      </c>
      <c r="M23" s="3">
        <v>39</v>
      </c>
      <c r="N23" s="3">
        <v>39</v>
      </c>
      <c r="O23" s="3">
        <v>39</v>
      </c>
      <c r="P23" s="3">
        <v>39</v>
      </c>
      <c r="Q23" s="3">
        <v>39</v>
      </c>
      <c r="R23" s="3">
        <v>39</v>
      </c>
      <c r="S23" s="3">
        <v>39</v>
      </c>
      <c r="T23" s="3">
        <v>39</v>
      </c>
      <c r="U23" s="3">
        <v>39</v>
      </c>
      <c r="V23" s="3">
        <v>39</v>
      </c>
    </row>
    <row r="24" spans="2:22" x14ac:dyDescent="0.3">
      <c r="K24" s="3">
        <v>57</v>
      </c>
      <c r="L24" s="3">
        <v>57</v>
      </c>
      <c r="M24" s="3">
        <v>57</v>
      </c>
      <c r="N24" s="3">
        <v>57</v>
      </c>
      <c r="O24" s="3">
        <v>57</v>
      </c>
      <c r="P24" s="3">
        <v>57</v>
      </c>
      <c r="Q24" s="3">
        <v>57</v>
      </c>
      <c r="R24" s="3">
        <v>57</v>
      </c>
      <c r="S24" s="3">
        <v>57</v>
      </c>
      <c r="T24" s="3">
        <v>57</v>
      </c>
      <c r="U24" s="3">
        <v>57</v>
      </c>
      <c r="V24" s="3">
        <v>57</v>
      </c>
    </row>
    <row r="25" spans="2:22" x14ac:dyDescent="0.3">
      <c r="K25" s="3">
        <v>12</v>
      </c>
      <c r="L25" s="3">
        <v>12</v>
      </c>
      <c r="M25" s="3">
        <v>12</v>
      </c>
      <c r="N25" s="3">
        <v>12</v>
      </c>
      <c r="O25" s="3">
        <v>12</v>
      </c>
      <c r="P25" s="3">
        <v>12</v>
      </c>
      <c r="Q25" s="3">
        <v>12</v>
      </c>
      <c r="R25" s="3">
        <v>12</v>
      </c>
      <c r="S25" s="3">
        <v>12</v>
      </c>
      <c r="T25" s="3">
        <v>12</v>
      </c>
      <c r="U25" s="3">
        <v>12</v>
      </c>
      <c r="V25" s="3">
        <v>12</v>
      </c>
    </row>
    <row r="26" spans="2:22" x14ac:dyDescent="0.3">
      <c r="K26" s="3">
        <v>92</v>
      </c>
      <c r="L26" s="3">
        <v>92</v>
      </c>
      <c r="M26" s="3">
        <v>92</v>
      </c>
      <c r="N26" s="3">
        <v>92</v>
      </c>
      <c r="O26" s="3">
        <v>92</v>
      </c>
      <c r="P26" s="3">
        <v>92</v>
      </c>
      <c r="Q26" s="3">
        <v>92</v>
      </c>
      <c r="R26" s="3">
        <v>92</v>
      </c>
      <c r="S26" s="3">
        <v>92</v>
      </c>
      <c r="T26" s="3">
        <v>92</v>
      </c>
      <c r="U26" s="3">
        <v>92</v>
      </c>
      <c r="V26" s="3">
        <v>92</v>
      </c>
    </row>
    <row r="27" spans="2:22" x14ac:dyDescent="0.3">
      <c r="K27" s="3">
        <v>60</v>
      </c>
      <c r="L27" s="3">
        <v>60</v>
      </c>
      <c r="M27" s="3">
        <v>60</v>
      </c>
      <c r="N27" s="3">
        <v>60</v>
      </c>
      <c r="O27" s="3">
        <v>60</v>
      </c>
      <c r="P27" s="3">
        <v>60</v>
      </c>
      <c r="Q27" s="3">
        <v>60</v>
      </c>
      <c r="R27" s="3">
        <v>60</v>
      </c>
      <c r="S27" s="3">
        <v>60</v>
      </c>
      <c r="T27" s="3">
        <v>60</v>
      </c>
      <c r="U27" s="3">
        <v>60</v>
      </c>
      <c r="V27" s="3">
        <v>60</v>
      </c>
    </row>
    <row r="28" spans="2:22" x14ac:dyDescent="0.3">
      <c r="K28" s="3">
        <v>482.80936454849495</v>
      </c>
      <c r="L28" s="3">
        <v>482.80936454849495</v>
      </c>
      <c r="M28" s="3">
        <v>482.80936454849495</v>
      </c>
      <c r="N28" s="3">
        <v>482.80936454849495</v>
      </c>
      <c r="O28" s="3">
        <v>482.80936454849495</v>
      </c>
      <c r="P28" s="3">
        <v>482.80936454849495</v>
      </c>
      <c r="Q28" s="3">
        <v>482.80936454849495</v>
      </c>
      <c r="R28" s="3">
        <v>482.80936454849495</v>
      </c>
      <c r="S28" s="3">
        <v>482.80936454849495</v>
      </c>
      <c r="T28" s="3">
        <v>482.80936454849495</v>
      </c>
      <c r="U28" s="3">
        <v>482.80936454849495</v>
      </c>
      <c r="V28" s="3">
        <v>482.80936454849495</v>
      </c>
    </row>
    <row r="29" spans="2:22" x14ac:dyDescent="0.3">
      <c r="K29" s="3">
        <v>122.04347826086956</v>
      </c>
      <c r="L29" s="3">
        <v>122.04347826086956</v>
      </c>
      <c r="M29" s="3">
        <v>122.04347826086956</v>
      </c>
      <c r="N29" s="3">
        <v>122.04347826086956</v>
      </c>
      <c r="O29" s="3">
        <v>122.04347826086956</v>
      </c>
      <c r="P29" s="3">
        <v>122.04347826086956</v>
      </c>
      <c r="Q29" s="3">
        <v>122.04347826086956</v>
      </c>
      <c r="R29" s="3">
        <v>122.04347826086956</v>
      </c>
      <c r="S29" s="3">
        <v>122.04347826086956</v>
      </c>
      <c r="T29" s="3">
        <v>122.04347826086956</v>
      </c>
      <c r="U29" s="3">
        <v>122.04347826086956</v>
      </c>
      <c r="V29" s="3">
        <v>122.04347826086956</v>
      </c>
    </row>
    <row r="30" spans="2:22" x14ac:dyDescent="0.3">
      <c r="K30" s="3">
        <v>1400.1471571906354</v>
      </c>
      <c r="L30" s="3">
        <v>1400.1471571906354</v>
      </c>
      <c r="M30" s="3">
        <v>1400.1471571906354</v>
      </c>
      <c r="N30" s="3">
        <v>1400.1471571906354</v>
      </c>
      <c r="O30" s="3">
        <v>1400.1471571906354</v>
      </c>
      <c r="P30" s="3">
        <v>1400.1471571906354</v>
      </c>
      <c r="Q30" s="3">
        <v>1400.1471571906354</v>
      </c>
      <c r="R30" s="3">
        <v>1400.1471571906354</v>
      </c>
      <c r="S30" s="3">
        <v>1400.1471571906354</v>
      </c>
      <c r="T30" s="3">
        <v>1400.1471571906354</v>
      </c>
      <c r="U30" s="3">
        <v>1400.1471571906354</v>
      </c>
      <c r="V30" s="3">
        <v>1400.1471571906354</v>
      </c>
    </row>
    <row r="31" spans="2:22" x14ac:dyDescent="0.3">
      <c r="K31" s="3">
        <v>126</v>
      </c>
      <c r="L31" s="3">
        <v>126</v>
      </c>
      <c r="M31" s="3">
        <v>126</v>
      </c>
      <c r="N31" s="3">
        <v>126</v>
      </c>
      <c r="O31" s="3">
        <v>126</v>
      </c>
      <c r="P31" s="3">
        <v>126</v>
      </c>
      <c r="Q31" s="3">
        <v>126</v>
      </c>
      <c r="R31" s="3">
        <v>126</v>
      </c>
      <c r="S31" s="3">
        <v>126</v>
      </c>
      <c r="T31" s="3">
        <v>126</v>
      </c>
      <c r="U31" s="3">
        <v>126</v>
      </c>
      <c r="V31" s="3">
        <v>126</v>
      </c>
    </row>
    <row r="32" spans="2:22" x14ac:dyDescent="0.3">
      <c r="K32" s="3">
        <v>30</v>
      </c>
      <c r="L32" s="3">
        <v>30</v>
      </c>
      <c r="M32" s="3">
        <v>30</v>
      </c>
      <c r="N32" s="3">
        <v>30</v>
      </c>
      <c r="O32" s="3">
        <v>30</v>
      </c>
      <c r="P32" s="3">
        <v>30</v>
      </c>
      <c r="Q32" s="3">
        <v>30</v>
      </c>
      <c r="R32" s="3">
        <v>30</v>
      </c>
      <c r="S32" s="3">
        <v>30</v>
      </c>
      <c r="T32" s="3">
        <v>30</v>
      </c>
      <c r="U32" s="3">
        <v>30</v>
      </c>
      <c r="V32" s="3">
        <v>30</v>
      </c>
    </row>
    <row r="33" spans="11:22" x14ac:dyDescent="0.3">
      <c r="K33" s="3">
        <v>152</v>
      </c>
      <c r="L33" s="3">
        <v>152</v>
      </c>
      <c r="M33" s="3">
        <v>152</v>
      </c>
      <c r="N33" s="3">
        <v>152</v>
      </c>
      <c r="O33" s="3">
        <v>152</v>
      </c>
      <c r="P33" s="3">
        <v>152</v>
      </c>
      <c r="Q33" s="3">
        <v>152</v>
      </c>
      <c r="R33" s="3">
        <v>152</v>
      </c>
      <c r="S33" s="3">
        <v>152</v>
      </c>
      <c r="T33" s="3">
        <v>152</v>
      </c>
      <c r="U33" s="3">
        <v>152</v>
      </c>
      <c r="V33" s="3">
        <v>152</v>
      </c>
    </row>
    <row r="34" spans="11:22" x14ac:dyDescent="0.3">
      <c r="K34" s="3">
        <v>146</v>
      </c>
      <c r="L34" s="3">
        <v>146</v>
      </c>
      <c r="M34" s="3">
        <v>146</v>
      </c>
      <c r="N34" s="3">
        <v>146</v>
      </c>
      <c r="O34" s="3">
        <v>146</v>
      </c>
      <c r="P34" s="3">
        <v>146</v>
      </c>
      <c r="Q34" s="3">
        <v>146</v>
      </c>
      <c r="R34" s="3">
        <v>146</v>
      </c>
      <c r="S34" s="3">
        <v>146</v>
      </c>
      <c r="T34" s="3">
        <v>146</v>
      </c>
      <c r="U34" s="3">
        <v>146</v>
      </c>
      <c r="V34" s="3">
        <v>146</v>
      </c>
    </row>
    <row r="35" spans="11:22" x14ac:dyDescent="0.3"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6" spans="11:22" x14ac:dyDescent="0.3"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</row>
    <row r="37" spans="11:22" x14ac:dyDescent="0.3">
      <c r="K37" s="3" t="s">
        <v>52</v>
      </c>
      <c r="L37" s="16" t="s">
        <v>53</v>
      </c>
    </row>
    <row r="38" spans="11:22" x14ac:dyDescent="0.3">
      <c r="K38" s="2" t="s">
        <v>26</v>
      </c>
      <c r="L38" s="2" t="s">
        <v>14</v>
      </c>
      <c r="M38" s="2" t="s">
        <v>15</v>
      </c>
      <c r="N38" s="2" t="s">
        <v>16</v>
      </c>
      <c r="O38" s="2" t="s">
        <v>17</v>
      </c>
      <c r="P38" s="2" t="s">
        <v>18</v>
      </c>
      <c r="Q38" s="2" t="s">
        <v>19</v>
      </c>
      <c r="R38" s="2" t="s">
        <v>20</v>
      </c>
      <c r="S38" s="2" t="s">
        <v>21</v>
      </c>
      <c r="T38" s="2" t="s">
        <v>22</v>
      </c>
      <c r="U38" s="2" t="s">
        <v>23</v>
      </c>
      <c r="V38" s="2" t="s">
        <v>24</v>
      </c>
    </row>
    <row r="39" spans="11:22" x14ac:dyDescent="0.3">
      <c r="L39" s="3">
        <v>0</v>
      </c>
      <c r="N39" s="3">
        <v>0</v>
      </c>
      <c r="O39" s="3">
        <v>0</v>
      </c>
      <c r="P39" s="3">
        <v>0</v>
      </c>
      <c r="R39" s="3">
        <v>0</v>
      </c>
      <c r="T39" s="3">
        <v>0</v>
      </c>
      <c r="U39" s="3">
        <v>0</v>
      </c>
      <c r="V39" s="3">
        <v>0</v>
      </c>
    </row>
    <row r="40" spans="11:22" x14ac:dyDescent="0.3">
      <c r="L40" s="3">
        <v>108</v>
      </c>
      <c r="N40" s="3">
        <v>108</v>
      </c>
      <c r="O40" s="3">
        <v>108</v>
      </c>
      <c r="P40" s="3">
        <v>108</v>
      </c>
      <c r="R40" s="3">
        <v>108</v>
      </c>
      <c r="T40" s="3">
        <v>108</v>
      </c>
      <c r="U40" s="3">
        <v>108</v>
      </c>
      <c r="V40" s="3">
        <v>108</v>
      </c>
    </row>
    <row r="41" spans="11:22" x14ac:dyDescent="0.3">
      <c r="L41" s="3">
        <v>74</v>
      </c>
      <c r="N41" s="3">
        <v>74</v>
      </c>
      <c r="O41" s="3">
        <v>74</v>
      </c>
      <c r="P41" s="3">
        <v>74</v>
      </c>
      <c r="R41" s="3">
        <v>74</v>
      </c>
      <c r="T41" s="3">
        <v>74</v>
      </c>
      <c r="U41" s="3">
        <v>74</v>
      </c>
      <c r="V41" s="3">
        <v>74</v>
      </c>
    </row>
    <row r="42" spans="11:22" x14ac:dyDescent="0.3">
      <c r="L42" s="3">
        <v>18</v>
      </c>
      <c r="N42" s="3">
        <v>18</v>
      </c>
      <c r="O42" s="3">
        <v>18</v>
      </c>
      <c r="P42" s="3">
        <v>18</v>
      </c>
      <c r="R42" s="3">
        <v>18</v>
      </c>
      <c r="T42" s="3">
        <v>18</v>
      </c>
      <c r="U42" s="3">
        <v>18</v>
      </c>
      <c r="V42" s="3">
        <v>18</v>
      </c>
    </row>
    <row r="43" spans="11:22" x14ac:dyDescent="0.3">
      <c r="L43" s="3">
        <v>0</v>
      </c>
      <c r="N43" s="3">
        <v>0</v>
      </c>
      <c r="O43" s="3">
        <v>0</v>
      </c>
      <c r="P43" s="3">
        <v>0</v>
      </c>
      <c r="R43" s="3">
        <v>0</v>
      </c>
      <c r="T43" s="3">
        <v>0</v>
      </c>
      <c r="U43" s="3">
        <v>0</v>
      </c>
      <c r="V43" s="3">
        <v>0</v>
      </c>
    </row>
    <row r="44" spans="11:22" x14ac:dyDescent="0.3">
      <c r="L44" s="3">
        <v>0</v>
      </c>
      <c r="N44" s="3">
        <v>0</v>
      </c>
      <c r="O44" s="3">
        <v>0</v>
      </c>
      <c r="P44" s="3">
        <v>0</v>
      </c>
      <c r="R44" s="3">
        <v>0</v>
      </c>
      <c r="T44" s="3">
        <v>0</v>
      </c>
      <c r="U44" s="3">
        <v>0</v>
      </c>
      <c r="V44" s="3">
        <v>0</v>
      </c>
    </row>
    <row r="45" spans="11:22" x14ac:dyDescent="0.3">
      <c r="L45" s="3">
        <v>837</v>
      </c>
      <c r="N45" s="3">
        <v>837</v>
      </c>
      <c r="O45" s="3">
        <v>837</v>
      </c>
      <c r="P45" s="3">
        <v>837</v>
      </c>
      <c r="R45" s="3">
        <v>837</v>
      </c>
      <c r="T45" s="3">
        <v>837</v>
      </c>
      <c r="U45" s="3">
        <v>837</v>
      </c>
      <c r="V45" s="3">
        <v>837</v>
      </c>
    </row>
    <row r="46" spans="11:22" x14ac:dyDescent="0.3">
      <c r="L46" s="3">
        <v>2277</v>
      </c>
      <c r="N46" s="3">
        <v>2277</v>
      </c>
      <c r="O46" s="3">
        <v>2277</v>
      </c>
      <c r="P46" s="3">
        <v>2277</v>
      </c>
      <c r="R46" s="3">
        <v>2277</v>
      </c>
      <c r="T46" s="3">
        <v>2277</v>
      </c>
      <c r="U46" s="3">
        <v>2277</v>
      </c>
      <c r="V46" s="3">
        <v>2277</v>
      </c>
    </row>
    <row r="47" spans="11:22" x14ac:dyDescent="0.3">
      <c r="L47" s="3">
        <v>2854</v>
      </c>
      <c r="N47" s="3">
        <v>2854</v>
      </c>
      <c r="O47" s="3">
        <v>2854</v>
      </c>
      <c r="P47" s="3">
        <v>2854</v>
      </c>
      <c r="R47" s="3">
        <v>2854</v>
      </c>
      <c r="T47" s="3">
        <v>2854</v>
      </c>
      <c r="U47" s="3">
        <v>2854</v>
      </c>
      <c r="V47" s="3">
        <v>2854</v>
      </c>
    </row>
    <row r="48" spans="11:22" x14ac:dyDescent="0.3">
      <c r="L48" s="3">
        <v>150</v>
      </c>
      <c r="N48" s="3">
        <v>150</v>
      </c>
      <c r="O48" s="3">
        <v>150</v>
      </c>
      <c r="P48" s="3">
        <v>150</v>
      </c>
      <c r="R48" s="3">
        <v>150</v>
      </c>
      <c r="T48" s="3">
        <v>150</v>
      </c>
      <c r="U48" s="3">
        <v>150</v>
      </c>
      <c r="V48" s="3">
        <v>150</v>
      </c>
    </row>
    <row r="49" spans="12:22" x14ac:dyDescent="0.3">
      <c r="L49" s="3">
        <v>24</v>
      </c>
      <c r="N49" s="3">
        <v>24</v>
      </c>
      <c r="O49" s="3">
        <v>24</v>
      </c>
      <c r="P49" s="3">
        <v>24</v>
      </c>
      <c r="R49" s="3">
        <v>24</v>
      </c>
      <c r="T49" s="3">
        <v>24</v>
      </c>
      <c r="U49" s="3">
        <v>24</v>
      </c>
      <c r="V49" s="3">
        <v>24</v>
      </c>
    </row>
    <row r="50" spans="12:22" x14ac:dyDescent="0.3">
      <c r="L50" s="3">
        <v>0</v>
      </c>
      <c r="N50" s="3">
        <v>0</v>
      </c>
      <c r="O50" s="3">
        <v>0</v>
      </c>
      <c r="P50" s="3">
        <v>0</v>
      </c>
      <c r="R50" s="3">
        <v>0</v>
      </c>
      <c r="T50" s="3">
        <v>0</v>
      </c>
      <c r="U50" s="3">
        <v>0</v>
      </c>
      <c r="V50" s="3">
        <v>0</v>
      </c>
    </row>
    <row r="51" spans="12:22" x14ac:dyDescent="0.3">
      <c r="L51" s="3">
        <v>0</v>
      </c>
      <c r="N51" s="3">
        <v>0</v>
      </c>
      <c r="O51" s="3">
        <v>0</v>
      </c>
      <c r="P51" s="3">
        <v>0</v>
      </c>
      <c r="R51" s="3">
        <v>0</v>
      </c>
      <c r="T51" s="3">
        <v>0</v>
      </c>
      <c r="U51" s="3">
        <v>0</v>
      </c>
      <c r="V51" s="3">
        <v>0</v>
      </c>
    </row>
    <row r="52" spans="12:22" x14ac:dyDescent="0.3">
      <c r="L52" s="3">
        <v>0</v>
      </c>
      <c r="N52" s="3">
        <v>0</v>
      </c>
      <c r="O52" s="3">
        <v>0</v>
      </c>
      <c r="P52" s="3">
        <v>0</v>
      </c>
      <c r="R52" s="3">
        <v>0</v>
      </c>
      <c r="T52" s="3">
        <v>0</v>
      </c>
      <c r="U52" s="3">
        <v>0</v>
      </c>
      <c r="V52" s="3">
        <v>0</v>
      </c>
    </row>
    <row r="53" spans="12:22" x14ac:dyDescent="0.3">
      <c r="L53" s="3">
        <v>0</v>
      </c>
      <c r="N53" s="3">
        <v>0</v>
      </c>
      <c r="O53" s="3">
        <v>0</v>
      </c>
      <c r="P53" s="3">
        <v>0</v>
      </c>
      <c r="R53" s="3">
        <v>0</v>
      </c>
      <c r="T53" s="3">
        <v>0</v>
      </c>
      <c r="U53" s="3">
        <v>0</v>
      </c>
      <c r="V53" s="3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97D5-BDBF-41AA-9752-1EC6EDE3A0DC}">
  <dimension ref="A1:M32"/>
  <sheetViews>
    <sheetView workbookViewId="0">
      <selection activeCell="K32" sqref="K32"/>
    </sheetView>
  </sheetViews>
  <sheetFormatPr defaultRowHeight="16.5" x14ac:dyDescent="0.3"/>
  <sheetData>
    <row r="1" spans="1:13" x14ac:dyDescent="0.3">
      <c r="B1" s="3" t="s">
        <v>50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B2" s="2" t="s">
        <v>26</v>
      </c>
      <c r="C2" s="5" t="s">
        <v>14</v>
      </c>
      <c r="D2" s="2" t="s">
        <v>15</v>
      </c>
      <c r="E2" s="5" t="s">
        <v>16</v>
      </c>
      <c r="F2" s="5" t="s">
        <v>17</v>
      </c>
      <c r="G2" s="5" t="s">
        <v>18</v>
      </c>
      <c r="H2" s="2" t="s">
        <v>19</v>
      </c>
      <c r="I2" s="5" t="s">
        <v>20</v>
      </c>
      <c r="J2" s="2" t="s">
        <v>21</v>
      </c>
      <c r="K2" s="5" t="s">
        <v>22</v>
      </c>
      <c r="L2" s="5" t="s">
        <v>23</v>
      </c>
      <c r="M2" s="5" t="s">
        <v>24</v>
      </c>
    </row>
    <row r="3" spans="1:13" x14ac:dyDescent="0.3">
      <c r="A3" s="4" t="s">
        <v>1</v>
      </c>
      <c r="B3" s="3">
        <v>651</v>
      </c>
      <c r="C3" s="3">
        <f>B3+B3*C4</f>
        <v>546.84</v>
      </c>
      <c r="D3" s="3">
        <f t="shared" ref="D3:M3" si="0">C3+C3*D4</f>
        <v>617.92920000000004</v>
      </c>
      <c r="E3" s="3">
        <f t="shared" si="0"/>
        <v>605.57061600000009</v>
      </c>
      <c r="F3" s="3">
        <f t="shared" si="0"/>
        <v>587.40349752000009</v>
      </c>
      <c r="G3" s="3">
        <f t="shared" si="0"/>
        <v>575.65542756960008</v>
      </c>
      <c r="H3" s="3">
        <f t="shared" si="0"/>
        <v>541.11610191542411</v>
      </c>
      <c r="I3" s="3">
        <f t="shared" si="0"/>
        <v>530.29377987711564</v>
      </c>
      <c r="J3" s="3">
        <f t="shared" si="0"/>
        <v>503.77909088325987</v>
      </c>
      <c r="K3" s="3">
        <f t="shared" si="0"/>
        <v>518.89246360975767</v>
      </c>
      <c r="L3" s="3">
        <f t="shared" si="0"/>
        <v>529.2703128819528</v>
      </c>
      <c r="M3" s="3">
        <f t="shared" si="0"/>
        <v>539.85571913959188</v>
      </c>
    </row>
    <row r="4" spans="1:13" s="12" customFormat="1" x14ac:dyDescent="0.3">
      <c r="A4" s="10"/>
      <c r="B4" s="11"/>
      <c r="C4" s="11">
        <v>-0.16</v>
      </c>
      <c r="D4" s="11">
        <v>0.13</v>
      </c>
      <c r="E4" s="11">
        <v>-0.02</v>
      </c>
      <c r="F4" s="11">
        <v>-0.03</v>
      </c>
      <c r="G4" s="11">
        <v>-0.02</v>
      </c>
      <c r="H4" s="11">
        <v>-0.06</v>
      </c>
      <c r="I4" s="11">
        <v>-0.02</v>
      </c>
      <c r="J4" s="11">
        <v>-0.05</v>
      </c>
      <c r="K4" s="11">
        <v>0.03</v>
      </c>
      <c r="L4" s="11">
        <v>0.02</v>
      </c>
      <c r="M4" s="11">
        <v>0.02</v>
      </c>
    </row>
    <row r="5" spans="1:13" x14ac:dyDescent="0.3">
      <c r="A5" s="4" t="s">
        <v>2</v>
      </c>
      <c r="B5" s="3">
        <v>1426</v>
      </c>
      <c r="C5" s="3">
        <f>B5+B5*C6</f>
        <v>1155.06</v>
      </c>
      <c r="D5" s="3">
        <f t="shared" ref="D5" si="1">C5+C5*D6</f>
        <v>1351.4202</v>
      </c>
      <c r="E5" s="3">
        <f t="shared" ref="E5" si="2">D5+D5*E6</f>
        <v>1405.4770080000001</v>
      </c>
      <c r="F5" s="3">
        <f t="shared" ref="F5" si="3">E5+E5*F6</f>
        <v>1377.36746784</v>
      </c>
      <c r="G5" s="3">
        <f t="shared" ref="G5" si="4">F5+F5*G6</f>
        <v>1336.0464438048</v>
      </c>
      <c r="H5" s="3">
        <f t="shared" ref="H5" si="5">G5+G5*H6</f>
        <v>1282.6045860526081</v>
      </c>
      <c r="I5" s="3">
        <f t="shared" ref="I5" si="6">H5+H5*I6</f>
        <v>1269.7785401920819</v>
      </c>
      <c r="J5" s="3">
        <f t="shared" ref="J5" si="7">I5+I5*J6</f>
        <v>1155.4984715747946</v>
      </c>
      <c r="K5" s="3">
        <f t="shared" ref="K5" si="8">J5+J5*K6</f>
        <v>1271.0483187322741</v>
      </c>
      <c r="L5" s="3">
        <f t="shared" ref="L5" si="9">K5+K5*L6</f>
        <v>1321.890251481565</v>
      </c>
      <c r="M5" s="3">
        <f t="shared" ref="M5" si="10">L5+L5*M6</f>
        <v>1361.546959026012</v>
      </c>
    </row>
    <row r="6" spans="1:13" s="12" customFormat="1" x14ac:dyDescent="0.3">
      <c r="A6" s="10"/>
      <c r="B6" s="11"/>
      <c r="C6" s="11">
        <v>-0.19</v>
      </c>
      <c r="D6" s="11">
        <v>0.17</v>
      </c>
      <c r="E6" s="11">
        <v>0.04</v>
      </c>
      <c r="F6" s="11">
        <v>-0.02</v>
      </c>
      <c r="G6" s="11">
        <v>-0.03</v>
      </c>
      <c r="H6" s="11">
        <v>-0.04</v>
      </c>
      <c r="I6" s="11">
        <v>-0.01</v>
      </c>
      <c r="J6" s="11">
        <v>-0.09</v>
      </c>
      <c r="K6" s="11">
        <v>0.1</v>
      </c>
      <c r="L6" s="11">
        <v>0.04</v>
      </c>
      <c r="M6" s="11">
        <v>0.03</v>
      </c>
    </row>
    <row r="7" spans="1:13" x14ac:dyDescent="0.3">
      <c r="A7" s="4" t="s">
        <v>3</v>
      </c>
      <c r="B7" s="3">
        <v>1488</v>
      </c>
      <c r="C7" s="3">
        <f>B7+B7*C8</f>
        <v>1413.6</v>
      </c>
      <c r="D7" s="3">
        <f t="shared" ref="D7" si="11">C7+C7*D8</f>
        <v>1512.5519999999999</v>
      </c>
      <c r="E7" s="3">
        <f t="shared" ref="E7" si="12">D7+D7*E8</f>
        <v>1557.9285599999998</v>
      </c>
      <c r="F7" s="3">
        <f t="shared" ref="F7" si="13">E7+E7*F8</f>
        <v>1573.5078455999999</v>
      </c>
      <c r="G7" s="3">
        <f t="shared" ref="G7" si="14">F7+F7*G8</f>
        <v>1557.7727671439998</v>
      </c>
      <c r="H7" s="3">
        <f t="shared" ref="H7" si="15">G7+G7*H8</f>
        <v>1526.6173118011197</v>
      </c>
      <c r="I7" s="3">
        <f t="shared" ref="I7" si="16">H7+H7*I8</f>
        <v>1496.0849655650973</v>
      </c>
      <c r="J7" s="3">
        <f t="shared" ref="J7" si="17">I7+I7*J8</f>
        <v>1436.2415669424934</v>
      </c>
      <c r="K7" s="3">
        <f t="shared" ref="K7" si="18">J7+J7*K8</f>
        <v>1493.6912296201931</v>
      </c>
      <c r="L7" s="3">
        <f t="shared" ref="L7" si="19">K7+K7*L8</f>
        <v>1538.5019665087989</v>
      </c>
      <c r="M7" s="3">
        <f t="shared" ref="M7" si="20">L7+L7*M8</f>
        <v>1584.6570255040629</v>
      </c>
    </row>
    <row r="8" spans="1:13" s="12" customFormat="1" x14ac:dyDescent="0.3">
      <c r="A8" s="10"/>
      <c r="B8" s="11"/>
      <c r="C8" s="11">
        <v>-0.05</v>
      </c>
      <c r="D8" s="11">
        <v>7.0000000000000007E-2</v>
      </c>
      <c r="E8" s="11">
        <v>0.03</v>
      </c>
      <c r="F8" s="11">
        <v>0.01</v>
      </c>
      <c r="G8" s="11">
        <v>-0.01</v>
      </c>
      <c r="H8" s="11">
        <v>-0.02</v>
      </c>
      <c r="I8" s="11">
        <v>-0.02</v>
      </c>
      <c r="J8" s="11">
        <v>-0.04</v>
      </c>
      <c r="K8" s="11">
        <v>0.04</v>
      </c>
      <c r="L8" s="11">
        <v>0.03</v>
      </c>
      <c r="M8" s="11">
        <v>0.03</v>
      </c>
    </row>
    <row r="9" spans="1:13" x14ac:dyDescent="0.3">
      <c r="A9" s="4" t="s">
        <v>4</v>
      </c>
      <c r="B9" s="3">
        <v>589</v>
      </c>
      <c r="C9" s="3">
        <f>B9+B9*C10</f>
        <v>506.53999999999996</v>
      </c>
      <c r="D9" s="3">
        <f t="shared" ref="D9" si="21">C9+C9*D10</f>
        <v>602.7826</v>
      </c>
      <c r="E9" s="3">
        <f t="shared" ref="E9" si="22">D9+D9*E10</f>
        <v>605.796513</v>
      </c>
      <c r="F9" s="3">
        <f t="shared" ref="F9" si="23">E9+E9*F10</f>
        <v>599.73854787000005</v>
      </c>
      <c r="G9" s="3">
        <f t="shared" ref="G9" si="24">F9+F9*G10</f>
        <v>593.74116239130001</v>
      </c>
      <c r="H9" s="3">
        <f t="shared" ref="H9" si="25">G9+G9*H10</f>
        <v>581.86633914347397</v>
      </c>
      <c r="I9" s="3">
        <f t="shared" ref="I9" si="26">H9+H9*I10</f>
        <v>564.41034896916972</v>
      </c>
      <c r="J9" s="3">
        <f t="shared" ref="J9" si="27">I9+I9*J10</f>
        <v>519.2575210516361</v>
      </c>
      <c r="K9" s="3">
        <f t="shared" ref="K9" si="28">J9+J9*K10</f>
        <v>529.64267147266878</v>
      </c>
      <c r="L9" s="3">
        <f t="shared" ref="L9" si="29">K9+K9*L10</f>
        <v>534.93909818739542</v>
      </c>
      <c r="M9" s="3">
        <f t="shared" ref="M9" si="30">L9+L9*M10</f>
        <v>545.63788015114335</v>
      </c>
    </row>
    <row r="10" spans="1:13" s="12" customFormat="1" x14ac:dyDescent="0.3">
      <c r="A10" s="10"/>
      <c r="B10" s="11"/>
      <c r="C10" s="11">
        <v>-0.14000000000000001</v>
      </c>
      <c r="D10" s="11">
        <v>0.19</v>
      </c>
      <c r="E10" s="11">
        <v>5.0000000000000001E-3</v>
      </c>
      <c r="F10" s="11">
        <v>-0.01</v>
      </c>
      <c r="G10" s="11">
        <v>-0.01</v>
      </c>
      <c r="H10" s="11">
        <v>-0.02</v>
      </c>
      <c r="I10" s="11">
        <v>-0.03</v>
      </c>
      <c r="J10" s="11">
        <v>-0.08</v>
      </c>
      <c r="K10" s="11">
        <v>0.02</v>
      </c>
      <c r="L10" s="11">
        <v>0.01</v>
      </c>
      <c r="M10" s="11">
        <v>0.02</v>
      </c>
    </row>
    <row r="11" spans="1:13" x14ac:dyDescent="0.3">
      <c r="A11" s="4" t="s">
        <v>44</v>
      </c>
      <c r="B11" s="3">
        <v>713</v>
      </c>
      <c r="C11" s="3">
        <f>B11+B11*C12</f>
        <v>713</v>
      </c>
      <c r="D11" s="3">
        <f t="shared" ref="D11" si="31">C11+C11*D12</f>
        <v>713</v>
      </c>
      <c r="E11" s="3">
        <f t="shared" ref="E11" si="32">D11+D11*E12</f>
        <v>713</v>
      </c>
      <c r="F11" s="3">
        <f t="shared" ref="F11" si="33">E11+E11*F12</f>
        <v>713</v>
      </c>
      <c r="G11" s="3">
        <f t="shared" ref="G11" si="34">F11+F11*G12</f>
        <v>713</v>
      </c>
      <c r="H11" s="3">
        <f t="shared" ref="H11" si="35">G11+G11*H12</f>
        <v>713</v>
      </c>
      <c r="I11" s="3">
        <f t="shared" ref="I11" si="36">H11+H11*I12</f>
        <v>713</v>
      </c>
      <c r="J11" s="3">
        <f t="shared" ref="J11" si="37">I11+I11*J12</f>
        <v>713</v>
      </c>
      <c r="K11" s="3">
        <f t="shared" ref="K11" si="38">J11+J11*K12</f>
        <v>713</v>
      </c>
      <c r="L11" s="3">
        <f t="shared" ref="L11" si="39">K11+K11*L12</f>
        <v>713</v>
      </c>
      <c r="M11" s="3">
        <f t="shared" ref="M11" si="40">L11+L11*M12</f>
        <v>713</v>
      </c>
    </row>
    <row r="12" spans="1:13" s="12" customFormat="1" x14ac:dyDescent="0.3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3">
      <c r="A13" s="4" t="s">
        <v>45</v>
      </c>
      <c r="B13" s="3">
        <v>527</v>
      </c>
      <c r="C13" s="3">
        <f>B13+B13*C14</f>
        <v>527</v>
      </c>
      <c r="D13" s="3">
        <f t="shared" ref="D13" si="41">C13+C13*D14</f>
        <v>527</v>
      </c>
      <c r="E13" s="3">
        <f t="shared" ref="E13" si="42">D13+D13*E14</f>
        <v>527</v>
      </c>
      <c r="F13" s="3">
        <f t="shared" ref="F13" si="43">E13+E13*F14</f>
        <v>527</v>
      </c>
      <c r="G13" s="3">
        <f t="shared" ref="G13" si="44">F13+F13*G14</f>
        <v>527</v>
      </c>
      <c r="H13" s="3">
        <f t="shared" ref="H13" si="45">G13+G13*H14</f>
        <v>527</v>
      </c>
      <c r="I13" s="3">
        <f t="shared" ref="I13" si="46">H13+H13*I14</f>
        <v>527</v>
      </c>
      <c r="J13" s="3">
        <f t="shared" ref="J13" si="47">I13+I13*J14</f>
        <v>527</v>
      </c>
      <c r="K13" s="3">
        <f t="shared" ref="K13" si="48">J13+J13*K14</f>
        <v>527</v>
      </c>
      <c r="L13" s="3">
        <f t="shared" ref="L13" si="49">K13+K13*L14</f>
        <v>527</v>
      </c>
      <c r="M13" s="3">
        <f t="shared" ref="M13" si="50">L13+L13*M14</f>
        <v>527</v>
      </c>
    </row>
    <row r="14" spans="1:13" s="12" customFormat="1" x14ac:dyDescent="0.3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3">
      <c r="A15" s="4" t="s">
        <v>5</v>
      </c>
      <c r="B15" s="3">
        <v>10292</v>
      </c>
      <c r="C15" s="3">
        <f>B15+B15*C16</f>
        <v>9880.32</v>
      </c>
      <c r="D15" s="3">
        <f t="shared" ref="D15" si="51">C15+C15*D16</f>
        <v>10176.729599999999</v>
      </c>
      <c r="E15" s="3">
        <f t="shared" ref="E15" si="52">D15+D15*E16</f>
        <v>10482.031487999999</v>
      </c>
      <c r="F15" s="3">
        <f t="shared" ref="F15" si="53">E15+E15*F16</f>
        <v>10586.851802879999</v>
      </c>
      <c r="G15" s="3">
        <f t="shared" ref="G15" si="54">F15+F15*G16</f>
        <v>10798.5888389376</v>
      </c>
      <c r="H15" s="3">
        <f t="shared" ref="H15" si="55">G15+G15*H16</f>
        <v>10474.631173769472</v>
      </c>
      <c r="I15" s="3">
        <f t="shared" ref="I15" si="56">H15+H15*I16</f>
        <v>10265.138550294083</v>
      </c>
      <c r="J15" s="3">
        <f t="shared" ref="J15" si="57">I15+I15*J16</f>
        <v>9957.1843937852609</v>
      </c>
      <c r="K15" s="3">
        <f t="shared" ref="K15" si="58">J15+J15*K16</f>
        <v>10255.899925598818</v>
      </c>
      <c r="L15" s="3">
        <f t="shared" ref="L15" si="59">K15+K15*L16</f>
        <v>10563.576923366783</v>
      </c>
      <c r="M15" s="3">
        <f t="shared" ref="M15" si="60">L15+L15*M16</f>
        <v>10986.120000301455</v>
      </c>
    </row>
    <row r="16" spans="1:13" s="12" customFormat="1" x14ac:dyDescent="0.3">
      <c r="A16" s="10"/>
      <c r="B16" s="11"/>
      <c r="C16" s="11">
        <v>-0.04</v>
      </c>
      <c r="D16" s="11">
        <v>0.03</v>
      </c>
      <c r="E16" s="11">
        <v>0.03</v>
      </c>
      <c r="F16" s="11">
        <v>0.01</v>
      </c>
      <c r="G16" s="11">
        <v>0.02</v>
      </c>
      <c r="H16" s="11">
        <v>-0.03</v>
      </c>
      <c r="I16" s="11">
        <v>-0.02</v>
      </c>
      <c r="J16" s="11">
        <v>-0.03</v>
      </c>
      <c r="K16" s="11">
        <v>0.03</v>
      </c>
      <c r="L16" s="11">
        <v>0.03</v>
      </c>
      <c r="M16" s="11">
        <v>0.04</v>
      </c>
    </row>
    <row r="17" spans="1:13" x14ac:dyDescent="0.3">
      <c r="A17" s="4" t="s">
        <v>6</v>
      </c>
      <c r="B17" s="3">
        <v>19220</v>
      </c>
      <c r="C17" s="3">
        <f>B17+B17*C18</f>
        <v>18643.400000000001</v>
      </c>
      <c r="D17" s="3">
        <f t="shared" ref="D17" si="61">C17+C17*D18</f>
        <v>19575.57</v>
      </c>
      <c r="E17" s="3">
        <f t="shared" ref="E17" si="62">D17+D17*E18</f>
        <v>20750.104199999998</v>
      </c>
      <c r="F17" s="3">
        <f t="shared" ref="F17" si="63">E17+E17*F18</f>
        <v>21165.106283999998</v>
      </c>
      <c r="G17" s="3">
        <f t="shared" ref="G17" si="64">F17+F17*G18</f>
        <v>21800.059472519999</v>
      </c>
      <c r="H17" s="3">
        <f t="shared" ref="H17" si="65">G17+G17*H18</f>
        <v>21364.0582830696</v>
      </c>
      <c r="I17" s="3">
        <f t="shared" ref="I17" si="66">H17+H17*I18</f>
        <v>22004.980031561689</v>
      </c>
      <c r="J17" s="3">
        <f t="shared" ref="J17" si="67">I17+I17*J18</f>
        <v>19584.432228089903</v>
      </c>
      <c r="K17" s="3">
        <f t="shared" ref="K17" si="68">J17+J17*K18</f>
        <v>20955.342484056197</v>
      </c>
      <c r="L17" s="3">
        <f t="shared" ref="L17" si="69">K17+K17*L18</f>
        <v>21374.449333737321</v>
      </c>
      <c r="M17" s="3">
        <f t="shared" ref="M17" si="70">L17+L17*M18</f>
        <v>22015.682813749441</v>
      </c>
    </row>
    <row r="18" spans="1:13" s="12" customFormat="1" x14ac:dyDescent="0.3">
      <c r="A18" s="10"/>
      <c r="B18" s="11"/>
      <c r="C18" s="11">
        <v>-0.03</v>
      </c>
      <c r="D18" s="11">
        <v>0.05</v>
      </c>
      <c r="E18" s="11">
        <v>0.06</v>
      </c>
      <c r="F18" s="11">
        <v>0.02</v>
      </c>
      <c r="G18" s="11">
        <v>0.03</v>
      </c>
      <c r="H18" s="11">
        <v>-0.02</v>
      </c>
      <c r="I18" s="11">
        <v>0.03</v>
      </c>
      <c r="J18" s="11">
        <v>-0.11</v>
      </c>
      <c r="K18" s="11">
        <v>7.0000000000000007E-2</v>
      </c>
      <c r="L18" s="11">
        <v>0.02</v>
      </c>
      <c r="M18" s="11">
        <v>0.03</v>
      </c>
    </row>
    <row r="19" spans="1:13" x14ac:dyDescent="0.3">
      <c r="A19" s="4" t="s">
        <v>7</v>
      </c>
      <c r="B19" s="3">
        <v>15903</v>
      </c>
      <c r="C19" s="3">
        <f>B19+B19*C20</f>
        <v>15425.91</v>
      </c>
      <c r="D19" s="3">
        <f t="shared" ref="D19" si="71">C19+C19*D20</f>
        <v>16197.2055</v>
      </c>
      <c r="E19" s="3">
        <f t="shared" ref="E19" si="72">D19+D19*E20</f>
        <v>17331.009884999999</v>
      </c>
      <c r="F19" s="3">
        <f t="shared" ref="F19" si="73">E19+E19*F20</f>
        <v>17850.940181549999</v>
      </c>
      <c r="G19" s="3">
        <f t="shared" ref="G19" si="74">F19+F19*G20</f>
        <v>18029.449583365498</v>
      </c>
      <c r="H19" s="3">
        <f t="shared" ref="H19" si="75">G19+G19*H20</f>
        <v>17488.566095864535</v>
      </c>
      <c r="I19" s="3">
        <f t="shared" ref="I19" si="76">H19+H19*I20</f>
        <v>17313.680434905891</v>
      </c>
      <c r="J19" s="3">
        <f t="shared" ref="J19" si="77">I19+I19*J20</f>
        <v>16794.270021858716</v>
      </c>
      <c r="K19" s="3">
        <f t="shared" ref="K19" si="78">J19+J19*K20</f>
        <v>17801.926223170238</v>
      </c>
      <c r="L19" s="3">
        <f t="shared" ref="L19" si="79">K19+K19*L20</f>
        <v>18514.003272097048</v>
      </c>
      <c r="M19" s="3">
        <f t="shared" ref="M19" si="80">L19+L19*M20</f>
        <v>19254.56340298093</v>
      </c>
    </row>
    <row r="20" spans="1:13" s="12" customFormat="1" x14ac:dyDescent="0.3">
      <c r="A20" s="10"/>
      <c r="B20" s="11"/>
      <c r="C20" s="11">
        <v>-0.03</v>
      </c>
      <c r="D20" s="11">
        <v>0.05</v>
      </c>
      <c r="E20" s="11">
        <v>7.0000000000000007E-2</v>
      </c>
      <c r="F20" s="11">
        <v>0.03</v>
      </c>
      <c r="G20" s="11">
        <v>0.01</v>
      </c>
      <c r="H20" s="11">
        <v>-0.03</v>
      </c>
      <c r="I20" s="11">
        <v>-0.01</v>
      </c>
      <c r="J20" s="11">
        <v>-0.03</v>
      </c>
      <c r="K20" s="11">
        <v>0.06</v>
      </c>
      <c r="L20" s="11">
        <v>0.04</v>
      </c>
      <c r="M20" s="11">
        <v>0.04</v>
      </c>
    </row>
    <row r="21" spans="1:13" x14ac:dyDescent="0.3">
      <c r="A21" s="4" t="s">
        <v>8</v>
      </c>
      <c r="B21" s="3">
        <v>2883</v>
      </c>
      <c r="C21" s="3">
        <f>B21+B21*C22</f>
        <v>2825.34</v>
      </c>
      <c r="D21" s="3">
        <f t="shared" ref="D21" si="81">C21+C21*D22</f>
        <v>2910.1002000000003</v>
      </c>
      <c r="E21" s="3">
        <f t="shared" ref="E21" si="82">D21+D21*E22</f>
        <v>2968.3022040000005</v>
      </c>
      <c r="F21" s="3">
        <f t="shared" ref="F21" si="83">E21+E21*F22</f>
        <v>2983.1437150200004</v>
      </c>
      <c r="G21" s="3">
        <f t="shared" ref="G21" si="84">F21+F21*G22</f>
        <v>2953.3122778698003</v>
      </c>
      <c r="H21" s="3">
        <f t="shared" ref="H21" si="85">G21+G21*H22</f>
        <v>2894.2460323124042</v>
      </c>
      <c r="I21" s="3">
        <f t="shared" ref="I21" si="86">H21+H21*I22</f>
        <v>2836.3611116661559</v>
      </c>
      <c r="J21" s="3">
        <f t="shared" ref="J21" si="87">I21+I21*J22</f>
        <v>2807.9975005494944</v>
      </c>
      <c r="K21" s="3">
        <f t="shared" ref="K21" si="88">J21+J21*K22</f>
        <v>2864.1574505604844</v>
      </c>
      <c r="L21" s="3">
        <f t="shared" ref="L21" si="89">K21+K21*L22</f>
        <v>2892.7990250660891</v>
      </c>
      <c r="M21" s="3">
        <f t="shared" ref="M21" si="90">L21+L21*M22</f>
        <v>2936.1910104420804</v>
      </c>
    </row>
    <row r="22" spans="1:13" s="12" customFormat="1" x14ac:dyDescent="0.3">
      <c r="A22" s="10"/>
      <c r="B22" s="11"/>
      <c r="C22" s="11">
        <v>-0.02</v>
      </c>
      <c r="D22" s="11">
        <v>0.03</v>
      </c>
      <c r="E22" s="11">
        <v>0.02</v>
      </c>
      <c r="F22" s="11">
        <v>5.0000000000000001E-3</v>
      </c>
      <c r="G22" s="11">
        <v>-0.01</v>
      </c>
      <c r="H22" s="11">
        <v>-0.02</v>
      </c>
      <c r="I22" s="11">
        <v>-0.02</v>
      </c>
      <c r="J22" s="11">
        <v>-0.01</v>
      </c>
      <c r="K22" s="11">
        <v>0.02</v>
      </c>
      <c r="L22" s="11">
        <v>0.01</v>
      </c>
      <c r="M22" s="11">
        <v>1.4999999999999999E-2</v>
      </c>
    </row>
    <row r="23" spans="1:13" x14ac:dyDescent="0.3">
      <c r="A23" s="4" t="s">
        <v>9</v>
      </c>
      <c r="B23" s="3">
        <v>403</v>
      </c>
      <c r="C23" s="3">
        <f>B23+B23*C24</f>
        <v>378.82</v>
      </c>
      <c r="D23" s="3">
        <f t="shared" ref="D23" si="91">C23+C23*D24</f>
        <v>397.76099999999997</v>
      </c>
      <c r="E23" s="3">
        <f t="shared" ref="E23" si="92">D23+D23*E24</f>
        <v>405.71621999999996</v>
      </c>
      <c r="F23" s="3">
        <f t="shared" ref="F23" si="93">E23+E23*F24</f>
        <v>409.77338219999996</v>
      </c>
      <c r="G23" s="3">
        <f t="shared" ref="G23" si="94">F23+F23*G24</f>
        <v>407.72451528899995</v>
      </c>
      <c r="H23" s="3">
        <f t="shared" ref="H23" si="95">G23+G23*H24</f>
        <v>399.57002498321998</v>
      </c>
      <c r="I23" s="3">
        <f t="shared" ref="I23" si="96">H23+H23*I24</f>
        <v>395.57432473338775</v>
      </c>
      <c r="J23" s="3">
        <f t="shared" ref="J23" si="97">I23+I23*J24</f>
        <v>383.7070949913861</v>
      </c>
      <c r="K23" s="3">
        <f t="shared" ref="K23" si="98">J23+J23*K24</f>
        <v>387.54416594129998</v>
      </c>
      <c r="L23" s="3">
        <f t="shared" ref="L23" si="99">K23+K23*L24</f>
        <v>393.3573284304195</v>
      </c>
      <c r="M23" s="3">
        <f t="shared" ref="M23" si="100">L23+L23*M24</f>
        <v>401.2244749990279</v>
      </c>
    </row>
    <row r="24" spans="1:13" s="12" customFormat="1" x14ac:dyDescent="0.3">
      <c r="A24" s="10"/>
      <c r="B24" s="11"/>
      <c r="C24" s="11">
        <v>-0.06</v>
      </c>
      <c r="D24" s="11">
        <v>0.05</v>
      </c>
      <c r="E24" s="11">
        <v>0.02</v>
      </c>
      <c r="F24" s="11">
        <v>0.01</v>
      </c>
      <c r="G24" s="11">
        <v>-5.0000000000000001E-3</v>
      </c>
      <c r="H24" s="11">
        <v>-0.02</v>
      </c>
      <c r="I24" s="11">
        <v>-0.01</v>
      </c>
      <c r="J24" s="11">
        <v>-0.03</v>
      </c>
      <c r="K24" s="11">
        <v>0.01</v>
      </c>
      <c r="L24" s="11">
        <v>1.4999999999999999E-2</v>
      </c>
      <c r="M24" s="11">
        <v>0.02</v>
      </c>
    </row>
    <row r="25" spans="1:13" x14ac:dyDescent="0.3">
      <c r="A25" s="4" t="s">
        <v>10</v>
      </c>
      <c r="B25" s="3">
        <v>1364</v>
      </c>
      <c r="C25" s="3">
        <f>B25+B25*C26</f>
        <v>1309.44</v>
      </c>
      <c r="D25" s="3">
        <f t="shared" ref="D25" si="101">C25+C25*D26</f>
        <v>1283.2512000000002</v>
      </c>
      <c r="E25" s="3">
        <f t="shared" ref="E25" si="102">D25+D25*E26</f>
        <v>1308.9162240000001</v>
      </c>
      <c r="F25" s="3">
        <f t="shared" ref="F25" si="103">E25+E25*F26</f>
        <v>1374.3620352</v>
      </c>
      <c r="G25" s="3">
        <f t="shared" ref="G25" si="104">F25+F25*G26</f>
        <v>1484.310998016</v>
      </c>
      <c r="H25" s="3">
        <f t="shared" ref="H25" si="105">G25+G25*H26</f>
        <v>1632.7420978176001</v>
      </c>
      <c r="I25" s="3">
        <f t="shared" ref="I25" si="106">H25+H25*I26</f>
        <v>1893.9808334684162</v>
      </c>
      <c r="J25" s="3">
        <f t="shared" ref="J25" si="107">I25+I25*J26</f>
        <v>1818.2216001296795</v>
      </c>
      <c r="K25" s="3">
        <f t="shared" ref="K25" si="108">J25+J25*K26</f>
        <v>1872.7682481335698</v>
      </c>
      <c r="L25" s="3">
        <f t="shared" ref="L25" si="109">K25+K25*L26</f>
        <v>1704.2191058015485</v>
      </c>
      <c r="M25" s="3">
        <f t="shared" ref="M25" si="110">L25+L25*M26</f>
        <v>1499.7128131053628</v>
      </c>
    </row>
    <row r="26" spans="1:13" s="12" customFormat="1" x14ac:dyDescent="0.3">
      <c r="A26" s="10"/>
      <c r="B26" s="11"/>
      <c r="C26" s="11">
        <v>-0.04</v>
      </c>
      <c r="D26" s="11">
        <v>-0.02</v>
      </c>
      <c r="E26" s="11">
        <v>0.02</v>
      </c>
      <c r="F26" s="11">
        <v>0.05</v>
      </c>
      <c r="G26" s="11">
        <v>0.08</v>
      </c>
      <c r="H26" s="11">
        <v>0.1</v>
      </c>
      <c r="I26" s="11">
        <v>0.16</v>
      </c>
      <c r="J26" s="11">
        <v>-0.04</v>
      </c>
      <c r="K26" s="11">
        <v>0.03</v>
      </c>
      <c r="L26" s="11">
        <v>-0.09</v>
      </c>
      <c r="M26" s="11">
        <v>-0.12</v>
      </c>
    </row>
    <row r="27" spans="1:13" x14ac:dyDescent="0.3">
      <c r="A27" s="4" t="s">
        <v>11</v>
      </c>
      <c r="B27" s="3">
        <v>1829</v>
      </c>
      <c r="C27" s="3">
        <f>B27+B27*C28</f>
        <v>1774.13</v>
      </c>
      <c r="D27" s="3">
        <f t="shared" ref="D27" si="111">C27+C27*D28</f>
        <v>1738.6474000000001</v>
      </c>
      <c r="E27" s="3">
        <f t="shared" ref="E27" si="112">D27+D27*E28</f>
        <v>1790.806822</v>
      </c>
      <c r="F27" s="3">
        <f t="shared" ref="F27" si="113">E27+E27*F28</f>
        <v>1898.2552313199999</v>
      </c>
      <c r="G27" s="3">
        <f t="shared" ref="G27" si="114">F27+F27*G28</f>
        <v>2050.1156498256</v>
      </c>
      <c r="H27" s="3">
        <f t="shared" ref="H27" si="115">G27+G27*H28</f>
        <v>2255.1272148081598</v>
      </c>
      <c r="I27" s="3">
        <f t="shared" ref="I27" si="116">H27+H27*I28</f>
        <v>2570.8450248813024</v>
      </c>
      <c r="J27" s="3">
        <f t="shared" ref="J27" si="117">I27+I27*J28</f>
        <v>2442.3027736372374</v>
      </c>
      <c r="K27" s="3">
        <f t="shared" ref="K27" si="118">J27+J27*K28</f>
        <v>2271.3415794826306</v>
      </c>
      <c r="L27" s="3">
        <f t="shared" ref="L27" si="119">K27+K27*L28</f>
        <v>2066.920837329194</v>
      </c>
      <c r="M27" s="3">
        <f t="shared" ref="M27" si="120">L27+L27*M28</f>
        <v>1818.8903368496908</v>
      </c>
    </row>
    <row r="28" spans="1:13" s="12" customFormat="1" x14ac:dyDescent="0.3">
      <c r="A28" s="10"/>
      <c r="B28" s="11"/>
      <c r="C28" s="11">
        <v>-0.03</v>
      </c>
      <c r="D28" s="11">
        <v>-0.02</v>
      </c>
      <c r="E28" s="11">
        <v>0.03</v>
      </c>
      <c r="F28" s="11">
        <v>0.06</v>
      </c>
      <c r="G28" s="11">
        <v>0.08</v>
      </c>
      <c r="H28" s="11">
        <v>0.1</v>
      </c>
      <c r="I28" s="11">
        <v>0.14000000000000001</v>
      </c>
      <c r="J28" s="11">
        <v>-0.05</v>
      </c>
      <c r="K28" s="11">
        <v>-7.0000000000000007E-2</v>
      </c>
      <c r="L28" s="11">
        <v>-0.09</v>
      </c>
      <c r="M28" s="11">
        <v>-0.12</v>
      </c>
    </row>
    <row r="29" spans="1:13" x14ac:dyDescent="0.3">
      <c r="A29" s="4" t="s">
        <v>12</v>
      </c>
      <c r="B29" s="3">
        <v>589</v>
      </c>
      <c r="C29" s="3">
        <f>B29+B29*C30</f>
        <v>583.11</v>
      </c>
      <c r="D29" s="3">
        <f t="shared" ref="D29" si="121">C29+C29*D30</f>
        <v>580.19444999999996</v>
      </c>
      <c r="E29" s="3">
        <f t="shared" ref="E29" si="122">D29+D29*E30</f>
        <v>583.09542224999996</v>
      </c>
      <c r="F29" s="3">
        <f t="shared" ref="F29" si="123">E29+E29*F30</f>
        <v>588.92637647250001</v>
      </c>
      <c r="G29" s="3">
        <f t="shared" ref="G29" si="124">F29+F29*G30</f>
        <v>597.76027211958751</v>
      </c>
      <c r="H29" s="3">
        <f t="shared" ref="H29" si="125">G29+G29*H30</f>
        <v>609.71547756197924</v>
      </c>
      <c r="I29" s="3">
        <f t="shared" ref="I29" si="126">H29+H29*I30</f>
        <v>615.81263233759898</v>
      </c>
      <c r="J29" s="3">
        <f t="shared" ref="J29" si="127">I29+I29*J30</f>
        <v>597.338253367471</v>
      </c>
      <c r="K29" s="3">
        <f t="shared" ref="K29" si="128">J29+J29*K30</f>
        <v>585.39148830012152</v>
      </c>
      <c r="L29" s="3">
        <f t="shared" ref="L29" si="129">K29+K29*L30</f>
        <v>576.61061597561968</v>
      </c>
      <c r="M29" s="3">
        <f t="shared" ref="M29" si="130">L29+L29*M30</f>
        <v>565.0784036561073</v>
      </c>
    </row>
    <row r="30" spans="1:13" s="12" customFormat="1" x14ac:dyDescent="0.3">
      <c r="A30" s="10"/>
      <c r="B30" s="11"/>
      <c r="C30" s="11">
        <v>-0.01</v>
      </c>
      <c r="D30" s="11">
        <v>-5.0000000000000001E-3</v>
      </c>
      <c r="E30" s="11">
        <v>5.0000000000000001E-3</v>
      </c>
      <c r="F30" s="11">
        <v>0.01</v>
      </c>
      <c r="G30" s="11">
        <v>1.4999999999999999E-2</v>
      </c>
      <c r="H30" s="11">
        <v>0.02</v>
      </c>
      <c r="I30" s="11">
        <v>0.01</v>
      </c>
      <c r="J30" s="11">
        <v>-0.03</v>
      </c>
      <c r="K30" s="11">
        <v>-0.02</v>
      </c>
      <c r="L30" s="11">
        <v>-1.4999999999999999E-2</v>
      </c>
      <c r="M30" s="11">
        <v>-0.02</v>
      </c>
    </row>
    <row r="31" spans="1:13" x14ac:dyDescent="0.3">
      <c r="A31" s="4" t="s">
        <v>13</v>
      </c>
      <c r="B31" s="3">
        <v>155</v>
      </c>
      <c r="C31" s="3">
        <f>B31+B31*C32</f>
        <v>130.19999999999999</v>
      </c>
      <c r="D31" s="3">
        <f t="shared" ref="D31" si="131">C31+C31*D32</f>
        <v>141.91799999999998</v>
      </c>
      <c r="E31" s="3">
        <f t="shared" ref="E31" si="132">D31+D31*E32</f>
        <v>146.17553999999998</v>
      </c>
      <c r="F31" s="3">
        <f t="shared" ref="F31" si="133">E31+E31*F32</f>
        <v>150.56080619999997</v>
      </c>
      <c r="G31" s="3">
        <f t="shared" ref="G31" si="134">F31+F31*G32</f>
        <v>152.81921829299998</v>
      </c>
      <c r="H31" s="3">
        <f t="shared" ref="H31" si="135">G31+G31*H32</f>
        <v>155.87560265885998</v>
      </c>
      <c r="I31" s="3">
        <f t="shared" ref="I31" si="136">H31+H31*I32</f>
        <v>157.43435868544859</v>
      </c>
      <c r="J31" s="3">
        <f t="shared" ref="J31" si="137">I31+I31*J32</f>
        <v>157.43435868544859</v>
      </c>
      <c r="K31" s="3">
        <f t="shared" ref="K31" si="138">J31+J31*K32</f>
        <v>155.86001509859409</v>
      </c>
      <c r="L31" s="3">
        <f t="shared" ref="L31" si="139">K31+K31*L32</f>
        <v>154.30141494760815</v>
      </c>
      <c r="M31" s="3">
        <f t="shared" ref="M31" si="140">L31+L31*M32</f>
        <v>151.21538664865599</v>
      </c>
    </row>
    <row r="32" spans="1:13" s="12" customFormat="1" x14ac:dyDescent="0.3">
      <c r="C32" s="11">
        <v>-0.16</v>
      </c>
      <c r="D32" s="11">
        <v>0.09</v>
      </c>
      <c r="E32" s="11">
        <v>0.03</v>
      </c>
      <c r="F32" s="11">
        <v>0.03</v>
      </c>
      <c r="G32" s="11">
        <v>1.4999999999999999E-2</v>
      </c>
      <c r="H32" s="11">
        <v>0.02</v>
      </c>
      <c r="I32" s="11">
        <v>0.01</v>
      </c>
      <c r="J32" s="11">
        <v>0</v>
      </c>
      <c r="K32" s="11">
        <v>-0.01</v>
      </c>
      <c r="L32" s="11">
        <v>-0.01</v>
      </c>
      <c r="M32" s="11">
        <v>-0.02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C94E-0BDC-491C-BE22-090C1133DB32}">
  <dimension ref="A1:M32"/>
  <sheetViews>
    <sheetView workbookViewId="0">
      <selection activeCell="E34" sqref="E34"/>
    </sheetView>
  </sheetViews>
  <sheetFormatPr defaultRowHeight="16.5" x14ac:dyDescent="0.3"/>
  <sheetData>
    <row r="1" spans="1:13" x14ac:dyDescent="0.3">
      <c r="B1" s="3" t="s">
        <v>50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B2" s="2" t="s">
        <v>26</v>
      </c>
      <c r="C2" s="5" t="s">
        <v>14</v>
      </c>
      <c r="D2" s="2" t="s">
        <v>15</v>
      </c>
      <c r="E2" s="5" t="s">
        <v>16</v>
      </c>
      <c r="F2" s="5" t="s">
        <v>17</v>
      </c>
      <c r="G2" s="5" t="s">
        <v>18</v>
      </c>
      <c r="H2" s="2" t="s">
        <v>19</v>
      </c>
      <c r="I2" s="5" t="s">
        <v>20</v>
      </c>
      <c r="J2" s="2" t="s">
        <v>21</v>
      </c>
      <c r="K2" s="5" t="s">
        <v>22</v>
      </c>
      <c r="L2" s="5" t="s">
        <v>23</v>
      </c>
      <c r="M2" s="5" t="s">
        <v>24</v>
      </c>
    </row>
    <row r="3" spans="1:13" x14ac:dyDescent="0.3">
      <c r="A3" s="4" t="s">
        <v>1</v>
      </c>
      <c r="B3" s="3">
        <v>651</v>
      </c>
      <c r="C3" s="3">
        <f>B3+B3*C4</f>
        <v>670.53</v>
      </c>
      <c r="D3" s="3">
        <f t="shared" ref="D3:M3" si="0">C3+C3*D4</f>
        <v>677.23529999999994</v>
      </c>
      <c r="E3" s="3">
        <f t="shared" si="0"/>
        <v>663.69059399999992</v>
      </c>
      <c r="F3" s="3">
        <f t="shared" si="0"/>
        <v>643.77987617999997</v>
      </c>
      <c r="G3" s="3">
        <f t="shared" si="0"/>
        <v>630.90427865639992</v>
      </c>
      <c r="H3" s="3">
        <f t="shared" si="0"/>
        <v>599.35906472357988</v>
      </c>
      <c r="I3" s="3">
        <f t="shared" si="0"/>
        <v>575.38470213463665</v>
      </c>
      <c r="J3" s="3">
        <f t="shared" si="0"/>
        <v>558.12316107059758</v>
      </c>
      <c r="K3" s="3">
        <f t="shared" si="0"/>
        <v>563.7043926813036</v>
      </c>
      <c r="L3" s="3">
        <f t="shared" si="0"/>
        <v>574.97848053492964</v>
      </c>
      <c r="M3" s="3">
        <f t="shared" si="0"/>
        <v>586.47805014562823</v>
      </c>
    </row>
    <row r="4" spans="1:13" s="12" customFormat="1" x14ac:dyDescent="0.3">
      <c r="A4" s="10"/>
      <c r="B4" s="11"/>
      <c r="C4" s="11">
        <v>0.03</v>
      </c>
      <c r="D4" s="11">
        <v>0.01</v>
      </c>
      <c r="E4" s="11">
        <v>-0.02</v>
      </c>
      <c r="F4" s="11">
        <v>-0.03</v>
      </c>
      <c r="G4" s="11">
        <v>-0.02</v>
      </c>
      <c r="H4" s="11">
        <v>-0.05</v>
      </c>
      <c r="I4" s="11">
        <v>-0.04</v>
      </c>
      <c r="J4" s="11">
        <v>-0.03</v>
      </c>
      <c r="K4" s="11">
        <v>0.01</v>
      </c>
      <c r="L4" s="11">
        <v>0.02</v>
      </c>
      <c r="M4" s="11">
        <v>0.02</v>
      </c>
    </row>
    <row r="5" spans="1:13" x14ac:dyDescent="0.3">
      <c r="A5" s="4" t="s">
        <v>2</v>
      </c>
      <c r="B5" s="3">
        <v>1426</v>
      </c>
      <c r="C5" s="3">
        <f>B5+B5*C6</f>
        <v>1468.78</v>
      </c>
      <c r="D5" s="3">
        <f t="shared" ref="D5:M5" si="1">C5+C5*D6</f>
        <v>1498.1556</v>
      </c>
      <c r="E5" s="3">
        <f t="shared" si="1"/>
        <v>1513.137156</v>
      </c>
      <c r="F5" s="3">
        <f t="shared" si="1"/>
        <v>1482.8744128799999</v>
      </c>
      <c r="G5" s="3">
        <f t="shared" si="1"/>
        <v>1423.5594363647999</v>
      </c>
      <c r="H5" s="3">
        <f t="shared" si="1"/>
        <v>1352.38146454656</v>
      </c>
      <c r="I5" s="3">
        <f t="shared" si="1"/>
        <v>1325.3338352556289</v>
      </c>
      <c r="J5" s="3">
        <f t="shared" si="1"/>
        <v>1338.5871736081851</v>
      </c>
      <c r="K5" s="3">
        <f t="shared" si="1"/>
        <v>1365.3589170803489</v>
      </c>
      <c r="L5" s="3">
        <f t="shared" si="1"/>
        <v>1406.3196845927594</v>
      </c>
      <c r="M5" s="3">
        <f t="shared" si="1"/>
        <v>1462.5724719764698</v>
      </c>
    </row>
    <row r="6" spans="1:13" s="12" customFormat="1" x14ac:dyDescent="0.3">
      <c r="A6" s="10"/>
      <c r="B6" s="11"/>
      <c r="C6" s="11">
        <v>0.03</v>
      </c>
      <c r="D6" s="11">
        <v>0.02</v>
      </c>
      <c r="E6" s="11">
        <v>0.01</v>
      </c>
      <c r="F6" s="11">
        <v>-0.02</v>
      </c>
      <c r="G6" s="11">
        <v>-0.04</v>
      </c>
      <c r="H6" s="11">
        <v>-0.05</v>
      </c>
      <c r="I6" s="11">
        <v>-0.02</v>
      </c>
      <c r="J6" s="11">
        <v>0.01</v>
      </c>
      <c r="K6" s="11">
        <v>0.02</v>
      </c>
      <c r="L6" s="11">
        <v>0.03</v>
      </c>
      <c r="M6" s="11">
        <v>0.04</v>
      </c>
    </row>
    <row r="7" spans="1:13" x14ac:dyDescent="0.3">
      <c r="A7" s="4" t="s">
        <v>3</v>
      </c>
      <c r="B7" s="3">
        <v>1488</v>
      </c>
      <c r="C7" s="3">
        <f>B7+B7*C8</f>
        <v>1532.64</v>
      </c>
      <c r="D7" s="3">
        <f t="shared" ref="D7:M7" si="2">C7+C7*D8</f>
        <v>1563.2928000000002</v>
      </c>
      <c r="E7" s="3">
        <f t="shared" si="2"/>
        <v>1594.5586560000002</v>
      </c>
      <c r="F7" s="3">
        <f t="shared" si="2"/>
        <v>1610.5042425600002</v>
      </c>
      <c r="G7" s="3">
        <f t="shared" si="2"/>
        <v>1594.3992001344002</v>
      </c>
      <c r="H7" s="3">
        <f t="shared" si="2"/>
        <v>1562.5112161317122</v>
      </c>
      <c r="I7" s="3">
        <f t="shared" si="2"/>
        <v>1531.260991809078</v>
      </c>
      <c r="J7" s="3">
        <f t="shared" si="2"/>
        <v>1515.9483818909871</v>
      </c>
      <c r="K7" s="3">
        <f t="shared" si="2"/>
        <v>1546.2673495288068</v>
      </c>
      <c r="L7" s="3">
        <f t="shared" si="2"/>
        <v>1577.1926965193829</v>
      </c>
      <c r="M7" s="3">
        <f t="shared" si="2"/>
        <v>1624.5084774149643</v>
      </c>
    </row>
    <row r="8" spans="1:13" s="12" customFormat="1" x14ac:dyDescent="0.3">
      <c r="A8" s="10"/>
      <c r="B8" s="11"/>
      <c r="C8" s="11">
        <v>0.03</v>
      </c>
      <c r="D8" s="11">
        <v>0.02</v>
      </c>
      <c r="E8" s="11">
        <v>0.02</v>
      </c>
      <c r="F8" s="11">
        <v>0.01</v>
      </c>
      <c r="G8" s="11">
        <v>-0.01</v>
      </c>
      <c r="H8" s="11">
        <v>-0.02</v>
      </c>
      <c r="I8" s="11">
        <v>-0.02</v>
      </c>
      <c r="J8" s="11">
        <v>-0.01</v>
      </c>
      <c r="K8" s="11">
        <v>0.02</v>
      </c>
      <c r="L8" s="11">
        <v>0.02</v>
      </c>
      <c r="M8" s="11">
        <v>0.03</v>
      </c>
    </row>
    <row r="9" spans="1:13" x14ac:dyDescent="0.3">
      <c r="A9" s="4" t="s">
        <v>4</v>
      </c>
      <c r="B9" s="3">
        <v>589</v>
      </c>
      <c r="C9" s="3">
        <f>B9+B9*C10</f>
        <v>594.89</v>
      </c>
      <c r="D9" s="3">
        <f t="shared" ref="D9:M9" si="3">C9+C9*D10</f>
        <v>603.81335000000001</v>
      </c>
      <c r="E9" s="3">
        <f t="shared" si="3"/>
        <v>606.83241674999999</v>
      </c>
      <c r="F9" s="3">
        <f t="shared" si="3"/>
        <v>600.76409258249998</v>
      </c>
      <c r="G9" s="3">
        <f t="shared" si="3"/>
        <v>594.75645165667504</v>
      </c>
      <c r="H9" s="3">
        <f t="shared" si="3"/>
        <v>582.86132262354158</v>
      </c>
      <c r="I9" s="3">
        <f t="shared" si="3"/>
        <v>565.37548294483531</v>
      </c>
      <c r="J9" s="3">
        <f t="shared" si="3"/>
        <v>559.72172811538701</v>
      </c>
      <c r="K9" s="3">
        <f t="shared" si="3"/>
        <v>556.92311947481005</v>
      </c>
      <c r="L9" s="3">
        <f t="shared" si="3"/>
        <v>562.49235066955816</v>
      </c>
      <c r="M9" s="3">
        <f t="shared" si="3"/>
        <v>573.74219768294938</v>
      </c>
    </row>
    <row r="10" spans="1:13" s="12" customFormat="1" x14ac:dyDescent="0.3">
      <c r="A10" s="10"/>
      <c r="B10" s="11"/>
      <c r="C10" s="11">
        <v>0.01</v>
      </c>
      <c r="D10" s="11">
        <v>1.4999999999999999E-2</v>
      </c>
      <c r="E10" s="11">
        <v>5.0000000000000001E-3</v>
      </c>
      <c r="F10" s="11">
        <v>-0.01</v>
      </c>
      <c r="G10" s="11">
        <v>-0.01</v>
      </c>
      <c r="H10" s="11">
        <v>-0.02</v>
      </c>
      <c r="I10" s="11">
        <v>-0.03</v>
      </c>
      <c r="J10" s="11">
        <v>-0.01</v>
      </c>
      <c r="K10" s="11">
        <v>-5.0000000000000001E-3</v>
      </c>
      <c r="L10" s="11">
        <v>0.01</v>
      </c>
      <c r="M10" s="11">
        <v>0.02</v>
      </c>
    </row>
    <row r="11" spans="1:13" x14ac:dyDescent="0.3">
      <c r="A11" s="4" t="s">
        <v>44</v>
      </c>
      <c r="B11" s="3">
        <v>713</v>
      </c>
      <c r="C11" s="3">
        <f>B11+B11*C12</f>
        <v>713</v>
      </c>
      <c r="D11" s="3">
        <f t="shared" ref="D11:M11" si="4">C11+C11*D12</f>
        <v>713</v>
      </c>
      <c r="E11" s="3">
        <f t="shared" si="4"/>
        <v>713</v>
      </c>
      <c r="F11" s="3">
        <f t="shared" si="4"/>
        <v>713</v>
      </c>
      <c r="G11" s="3">
        <f t="shared" si="4"/>
        <v>713</v>
      </c>
      <c r="H11" s="3">
        <f t="shared" si="4"/>
        <v>713</v>
      </c>
      <c r="I11" s="3">
        <f t="shared" si="4"/>
        <v>713</v>
      </c>
      <c r="J11" s="3">
        <f t="shared" si="4"/>
        <v>713</v>
      </c>
      <c r="K11" s="3">
        <f t="shared" si="4"/>
        <v>713</v>
      </c>
      <c r="L11" s="3">
        <f t="shared" si="4"/>
        <v>713</v>
      </c>
      <c r="M11" s="3">
        <f t="shared" si="4"/>
        <v>713</v>
      </c>
    </row>
    <row r="12" spans="1:13" s="12" customFormat="1" x14ac:dyDescent="0.3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3">
      <c r="A13" s="4" t="s">
        <v>45</v>
      </c>
      <c r="B13" s="3">
        <v>527</v>
      </c>
      <c r="C13" s="3">
        <f>B13+B13*C14</f>
        <v>527</v>
      </c>
      <c r="D13" s="3">
        <f t="shared" ref="D13:M13" si="5">C13+C13*D14</f>
        <v>527</v>
      </c>
      <c r="E13" s="3">
        <f t="shared" si="5"/>
        <v>527</v>
      </c>
      <c r="F13" s="3">
        <f t="shared" si="5"/>
        <v>527</v>
      </c>
      <c r="G13" s="3">
        <f t="shared" si="5"/>
        <v>527</v>
      </c>
      <c r="H13" s="3">
        <f t="shared" si="5"/>
        <v>527</v>
      </c>
      <c r="I13" s="3">
        <f t="shared" si="5"/>
        <v>527</v>
      </c>
      <c r="J13" s="3">
        <f t="shared" si="5"/>
        <v>527</v>
      </c>
      <c r="K13" s="3">
        <f t="shared" si="5"/>
        <v>527</v>
      </c>
      <c r="L13" s="3">
        <f t="shared" si="5"/>
        <v>527</v>
      </c>
      <c r="M13" s="3">
        <f t="shared" si="5"/>
        <v>527</v>
      </c>
    </row>
    <row r="14" spans="1:13" s="12" customFormat="1" x14ac:dyDescent="0.3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3">
      <c r="A15" s="4" t="s">
        <v>5</v>
      </c>
      <c r="B15" s="3">
        <v>10292</v>
      </c>
      <c r="C15" s="3">
        <f>B15+B15*C16</f>
        <v>10497.84</v>
      </c>
      <c r="D15" s="3">
        <f t="shared" ref="D15:M15" si="6">C15+C15*D16</f>
        <v>10655.3076</v>
      </c>
      <c r="E15" s="3">
        <f t="shared" si="6"/>
        <v>10761.860676</v>
      </c>
      <c r="F15" s="3">
        <f t="shared" si="6"/>
        <v>10815.66997938</v>
      </c>
      <c r="G15" s="3">
        <f t="shared" si="6"/>
        <v>10707.513279586199</v>
      </c>
      <c r="H15" s="3">
        <f t="shared" si="6"/>
        <v>10493.363013994474</v>
      </c>
      <c r="I15" s="3">
        <f t="shared" si="6"/>
        <v>10283.495753714586</v>
      </c>
      <c r="J15" s="3">
        <f t="shared" si="6"/>
        <v>10180.660796177439</v>
      </c>
      <c r="K15" s="3">
        <f t="shared" si="6"/>
        <v>10384.274012100988</v>
      </c>
      <c r="L15" s="3">
        <f t="shared" si="6"/>
        <v>10695.802232464019</v>
      </c>
      <c r="M15" s="3">
        <f t="shared" si="6"/>
        <v>11016.676299437939</v>
      </c>
    </row>
    <row r="16" spans="1:13" s="12" customFormat="1" x14ac:dyDescent="0.3">
      <c r="A16" s="10"/>
      <c r="B16" s="11"/>
      <c r="C16" s="11">
        <v>0.02</v>
      </c>
      <c r="D16" s="11">
        <v>1.4999999999999999E-2</v>
      </c>
      <c r="E16" s="11">
        <v>0.01</v>
      </c>
      <c r="F16" s="11">
        <v>5.0000000000000001E-3</v>
      </c>
      <c r="G16" s="11">
        <v>-0.01</v>
      </c>
      <c r="H16" s="11">
        <v>-0.02</v>
      </c>
      <c r="I16" s="11">
        <v>-0.02</v>
      </c>
      <c r="J16" s="11">
        <v>-0.01</v>
      </c>
      <c r="K16" s="11">
        <v>0.02</v>
      </c>
      <c r="L16" s="11">
        <v>0.03</v>
      </c>
      <c r="M16" s="11">
        <v>0.03</v>
      </c>
    </row>
    <row r="17" spans="1:13" x14ac:dyDescent="0.3">
      <c r="A17" s="4" t="s">
        <v>6</v>
      </c>
      <c r="B17" s="3">
        <v>19220</v>
      </c>
      <c r="C17" s="3">
        <f>B17+B17*C18</f>
        <v>19988.8</v>
      </c>
      <c r="D17" s="3">
        <f t="shared" ref="D17:M17" si="7">C17+C17*D18</f>
        <v>20988.239999999998</v>
      </c>
      <c r="E17" s="3">
        <f t="shared" si="7"/>
        <v>21827.7696</v>
      </c>
      <c r="F17" s="3">
        <f t="shared" si="7"/>
        <v>22264.324991999998</v>
      </c>
      <c r="G17" s="3">
        <f t="shared" si="7"/>
        <v>22709.611491839998</v>
      </c>
      <c r="H17" s="3">
        <f t="shared" si="7"/>
        <v>22482.515376921598</v>
      </c>
      <c r="I17" s="3">
        <f t="shared" si="7"/>
        <v>21808.03991561395</v>
      </c>
      <c r="J17" s="3">
        <f t="shared" si="7"/>
        <v>21589.95951645781</v>
      </c>
      <c r="K17" s="3">
        <f t="shared" si="7"/>
        <v>22021.758706786964</v>
      </c>
      <c r="L17" s="3">
        <f t="shared" si="7"/>
        <v>22462.193880922703</v>
      </c>
      <c r="M17" s="3">
        <f t="shared" si="7"/>
        <v>23136.059697350385</v>
      </c>
    </row>
    <row r="18" spans="1:13" s="12" customFormat="1" x14ac:dyDescent="0.3">
      <c r="A18" s="10"/>
      <c r="B18" s="11"/>
      <c r="C18" s="11">
        <v>0.04</v>
      </c>
      <c r="D18" s="11">
        <v>0.05</v>
      </c>
      <c r="E18" s="11">
        <v>0.04</v>
      </c>
      <c r="F18" s="11">
        <v>0.02</v>
      </c>
      <c r="G18" s="11">
        <v>0.02</v>
      </c>
      <c r="H18" s="11">
        <v>-0.01</v>
      </c>
      <c r="I18" s="11">
        <v>-0.03</v>
      </c>
      <c r="J18" s="11">
        <v>-0.01</v>
      </c>
      <c r="K18" s="11">
        <v>0.02</v>
      </c>
      <c r="L18" s="11">
        <v>0.02</v>
      </c>
      <c r="M18" s="11">
        <v>0.03</v>
      </c>
    </row>
    <row r="19" spans="1:13" x14ac:dyDescent="0.3">
      <c r="A19" s="4" t="s">
        <v>7</v>
      </c>
      <c r="B19" s="3">
        <v>15903</v>
      </c>
      <c r="C19" s="3">
        <f>B19+B19*C20</f>
        <v>16857.18</v>
      </c>
      <c r="D19" s="3">
        <f t="shared" ref="D19:M19" si="8">C19+C19*D20</f>
        <v>17700.039000000001</v>
      </c>
      <c r="E19" s="3">
        <f t="shared" si="8"/>
        <v>18054.039779999999</v>
      </c>
      <c r="F19" s="3">
        <f t="shared" si="8"/>
        <v>18234.580177799999</v>
      </c>
      <c r="G19" s="3">
        <f t="shared" si="8"/>
        <v>18052.234376021999</v>
      </c>
      <c r="H19" s="3">
        <f t="shared" si="8"/>
        <v>17510.667344741338</v>
      </c>
      <c r="I19" s="3">
        <f t="shared" si="8"/>
        <v>17160.453997846511</v>
      </c>
      <c r="J19" s="3">
        <f t="shared" si="8"/>
        <v>16817.24491788958</v>
      </c>
      <c r="K19" s="3">
        <f t="shared" si="8"/>
        <v>17489.934714605162</v>
      </c>
      <c r="L19" s="3">
        <f t="shared" si="8"/>
        <v>18364.431450335422</v>
      </c>
      <c r="M19" s="3">
        <f t="shared" si="8"/>
        <v>19466.297337355547</v>
      </c>
    </row>
    <row r="20" spans="1:13" s="12" customFormat="1" x14ac:dyDescent="0.3">
      <c r="A20" s="10"/>
      <c r="B20" s="11"/>
      <c r="C20" s="11">
        <v>0.06</v>
      </c>
      <c r="D20" s="11">
        <v>0.05</v>
      </c>
      <c r="E20" s="11">
        <v>0.02</v>
      </c>
      <c r="F20" s="11">
        <v>0.01</v>
      </c>
      <c r="G20" s="11">
        <v>-0.01</v>
      </c>
      <c r="H20" s="11">
        <v>-0.03</v>
      </c>
      <c r="I20" s="11">
        <v>-0.02</v>
      </c>
      <c r="J20" s="11">
        <v>-0.02</v>
      </c>
      <c r="K20" s="11">
        <v>0.04</v>
      </c>
      <c r="L20" s="11">
        <v>0.05</v>
      </c>
      <c r="M20" s="11">
        <v>0.06</v>
      </c>
    </row>
    <row r="21" spans="1:13" x14ac:dyDescent="0.3">
      <c r="A21" s="4" t="s">
        <v>8</v>
      </c>
      <c r="B21" s="3">
        <v>2883</v>
      </c>
      <c r="C21" s="3">
        <f>B21+B21*C22</f>
        <v>2911.83</v>
      </c>
      <c r="D21" s="3">
        <f t="shared" ref="D21:M21" si="9">C21+C21*D22</f>
        <v>2970.0666000000001</v>
      </c>
      <c r="E21" s="3">
        <f t="shared" si="9"/>
        <v>2999.7672660000003</v>
      </c>
      <c r="F21" s="3">
        <f t="shared" si="9"/>
        <v>3014.7661023300002</v>
      </c>
      <c r="G21" s="3">
        <f t="shared" si="9"/>
        <v>2984.6184413067003</v>
      </c>
      <c r="H21" s="3">
        <f t="shared" si="9"/>
        <v>2924.9260724805663</v>
      </c>
      <c r="I21" s="3">
        <f t="shared" si="9"/>
        <v>2866.4275510309549</v>
      </c>
      <c r="J21" s="3">
        <f t="shared" si="9"/>
        <v>2880.7596887861096</v>
      </c>
      <c r="K21" s="3">
        <f t="shared" si="9"/>
        <v>2909.5672856739707</v>
      </c>
      <c r="L21" s="3">
        <f t="shared" si="9"/>
        <v>2967.7586313874499</v>
      </c>
      <c r="M21" s="3">
        <f t="shared" si="9"/>
        <v>3012.2750108582618</v>
      </c>
    </row>
    <row r="22" spans="1:13" s="12" customFormat="1" x14ac:dyDescent="0.3">
      <c r="A22" s="10"/>
      <c r="B22" s="11"/>
      <c r="C22" s="11">
        <v>0.01</v>
      </c>
      <c r="D22" s="11">
        <v>0.02</v>
      </c>
      <c r="E22" s="11">
        <v>0.01</v>
      </c>
      <c r="F22" s="11">
        <v>5.0000000000000001E-3</v>
      </c>
      <c r="G22" s="11">
        <v>-0.01</v>
      </c>
      <c r="H22" s="11">
        <v>-0.02</v>
      </c>
      <c r="I22" s="11">
        <v>-0.02</v>
      </c>
      <c r="J22" s="11">
        <v>5.0000000000000001E-3</v>
      </c>
      <c r="K22" s="11">
        <v>0.01</v>
      </c>
      <c r="L22" s="11">
        <v>0.02</v>
      </c>
      <c r="M22" s="11">
        <v>1.4999999999999999E-2</v>
      </c>
    </row>
    <row r="23" spans="1:13" x14ac:dyDescent="0.3">
      <c r="A23" s="4" t="s">
        <v>9</v>
      </c>
      <c r="B23" s="3">
        <v>403</v>
      </c>
      <c r="C23" s="3">
        <f>B23+B23*C24</f>
        <v>407.03</v>
      </c>
      <c r="D23" s="3">
        <f t="shared" ref="D23:M23" si="10">C23+C23*D24</f>
        <v>411.10029999999995</v>
      </c>
      <c r="E23" s="3">
        <f t="shared" si="10"/>
        <v>413.15580149999994</v>
      </c>
      <c r="F23" s="3">
        <f t="shared" si="10"/>
        <v>417.28735951499993</v>
      </c>
      <c r="G23" s="3">
        <f t="shared" si="10"/>
        <v>415.20092271742493</v>
      </c>
      <c r="H23" s="3">
        <f t="shared" si="10"/>
        <v>406.89690426307641</v>
      </c>
      <c r="I23" s="3">
        <f t="shared" si="10"/>
        <v>394.68999713518411</v>
      </c>
      <c r="J23" s="3">
        <f t="shared" si="10"/>
        <v>396.66344712086004</v>
      </c>
      <c r="K23" s="3">
        <f t="shared" si="10"/>
        <v>400.63008159206862</v>
      </c>
      <c r="L23" s="3">
        <f t="shared" si="10"/>
        <v>406.63953281594962</v>
      </c>
      <c r="M23" s="3">
        <f t="shared" si="10"/>
        <v>414.77232347226862</v>
      </c>
    </row>
    <row r="24" spans="1:13" s="12" customFormat="1" x14ac:dyDescent="0.3">
      <c r="A24" s="10"/>
      <c r="B24" s="11"/>
      <c r="C24" s="11">
        <v>0.01</v>
      </c>
      <c r="D24" s="11">
        <v>0.01</v>
      </c>
      <c r="E24" s="11">
        <v>5.0000000000000001E-3</v>
      </c>
      <c r="F24" s="11">
        <v>0.01</v>
      </c>
      <c r="G24" s="11">
        <v>-5.0000000000000001E-3</v>
      </c>
      <c r="H24" s="11">
        <v>-0.02</v>
      </c>
      <c r="I24" s="11">
        <v>-0.03</v>
      </c>
      <c r="J24" s="11">
        <v>5.0000000000000001E-3</v>
      </c>
      <c r="K24" s="11">
        <v>0.01</v>
      </c>
      <c r="L24" s="11">
        <v>1.4999999999999999E-2</v>
      </c>
      <c r="M24" s="11">
        <v>0.02</v>
      </c>
    </row>
    <row r="25" spans="1:13" x14ac:dyDescent="0.3">
      <c r="A25" s="4" t="s">
        <v>10</v>
      </c>
      <c r="B25" s="3">
        <v>1364</v>
      </c>
      <c r="C25" s="3">
        <f>B25+B25*C26</f>
        <v>1336.72</v>
      </c>
      <c r="D25" s="3">
        <f t="shared" ref="D25:M25" si="11">C25+C25*D26</f>
        <v>1309.9856</v>
      </c>
      <c r="E25" s="3">
        <f t="shared" si="11"/>
        <v>1323.085456</v>
      </c>
      <c r="F25" s="3">
        <f t="shared" si="11"/>
        <v>1389.2397288</v>
      </c>
      <c r="G25" s="3">
        <f t="shared" si="11"/>
        <v>1500.3789071040001</v>
      </c>
      <c r="H25" s="3">
        <f t="shared" si="11"/>
        <v>1650.4167978144001</v>
      </c>
      <c r="I25" s="3">
        <f t="shared" si="11"/>
        <v>1897.9793174865601</v>
      </c>
      <c r="J25" s="3">
        <f t="shared" si="11"/>
        <v>1992.8782833608882</v>
      </c>
      <c r="K25" s="3">
        <f t="shared" si="11"/>
        <v>1833.4480206920171</v>
      </c>
      <c r="L25" s="3">
        <f t="shared" si="11"/>
        <v>1650.1032186228153</v>
      </c>
      <c r="M25" s="3">
        <f t="shared" si="11"/>
        <v>1452.0908323880776</v>
      </c>
    </row>
    <row r="26" spans="1:13" s="12" customFormat="1" x14ac:dyDescent="0.3">
      <c r="A26" s="10"/>
      <c r="B26" s="11"/>
      <c r="C26" s="11">
        <v>-0.02</v>
      </c>
      <c r="D26" s="11">
        <v>-0.02</v>
      </c>
      <c r="E26" s="11">
        <v>0.01</v>
      </c>
      <c r="F26" s="11">
        <v>0.05</v>
      </c>
      <c r="G26" s="11">
        <v>0.08</v>
      </c>
      <c r="H26" s="11">
        <v>0.1</v>
      </c>
      <c r="I26" s="11">
        <v>0.15</v>
      </c>
      <c r="J26" s="11">
        <v>0.05</v>
      </c>
      <c r="K26" s="11">
        <v>-0.08</v>
      </c>
      <c r="L26" s="11">
        <v>-0.1</v>
      </c>
      <c r="M26" s="11">
        <v>-0.12</v>
      </c>
    </row>
    <row r="27" spans="1:13" x14ac:dyDescent="0.3">
      <c r="A27" s="4" t="s">
        <v>11</v>
      </c>
      <c r="B27" s="3">
        <v>1829</v>
      </c>
      <c r="C27" s="3">
        <f>B27+B27*C28</f>
        <v>1792.42</v>
      </c>
      <c r="D27" s="3">
        <f t="shared" ref="D27:M27" si="12">C27+C27*D28</f>
        <v>1756.5716</v>
      </c>
      <c r="E27" s="3">
        <f t="shared" si="12"/>
        <v>1774.1373160000001</v>
      </c>
      <c r="F27" s="3">
        <f t="shared" si="12"/>
        <v>1862.8441818000001</v>
      </c>
      <c r="G27" s="3">
        <f t="shared" si="12"/>
        <v>2011.8717163440001</v>
      </c>
      <c r="H27" s="3">
        <f t="shared" si="12"/>
        <v>2213.0588879784</v>
      </c>
      <c r="I27" s="3">
        <f t="shared" si="12"/>
        <v>2545.0177211751597</v>
      </c>
      <c r="J27" s="3">
        <f t="shared" si="12"/>
        <v>2672.2686072339179</v>
      </c>
      <c r="K27" s="3">
        <f t="shared" si="12"/>
        <v>2458.4871186552045</v>
      </c>
      <c r="L27" s="3">
        <f t="shared" si="12"/>
        <v>2212.6384067896843</v>
      </c>
      <c r="M27" s="3">
        <f t="shared" si="12"/>
        <v>1947.1217979749222</v>
      </c>
    </row>
    <row r="28" spans="1:13" s="12" customFormat="1" x14ac:dyDescent="0.3">
      <c r="A28" s="10"/>
      <c r="B28" s="11"/>
      <c r="C28" s="11">
        <v>-0.02</v>
      </c>
      <c r="D28" s="11">
        <v>-0.02</v>
      </c>
      <c r="E28" s="11">
        <v>0.01</v>
      </c>
      <c r="F28" s="11">
        <v>0.05</v>
      </c>
      <c r="G28" s="11">
        <v>0.08</v>
      </c>
      <c r="H28" s="11">
        <v>0.1</v>
      </c>
      <c r="I28" s="11">
        <v>0.15</v>
      </c>
      <c r="J28" s="11">
        <v>0.05</v>
      </c>
      <c r="K28" s="11">
        <v>-0.08</v>
      </c>
      <c r="L28" s="11">
        <v>-0.1</v>
      </c>
      <c r="M28" s="11">
        <v>-0.12</v>
      </c>
    </row>
    <row r="29" spans="1:13" x14ac:dyDescent="0.3">
      <c r="A29" s="4" t="s">
        <v>12</v>
      </c>
      <c r="B29" s="3">
        <v>589</v>
      </c>
      <c r="C29" s="3">
        <f>B29+B29*C30</f>
        <v>583.11</v>
      </c>
      <c r="D29" s="3">
        <f t="shared" ref="D29:M29" si="13">C29+C29*D30</f>
        <v>580.19444999999996</v>
      </c>
      <c r="E29" s="3">
        <f t="shared" si="13"/>
        <v>583.09542224999996</v>
      </c>
      <c r="F29" s="3">
        <f t="shared" si="13"/>
        <v>588.92637647250001</v>
      </c>
      <c r="G29" s="3">
        <f t="shared" si="13"/>
        <v>597.76027211958751</v>
      </c>
      <c r="H29" s="3">
        <f t="shared" si="13"/>
        <v>609.71547756197924</v>
      </c>
      <c r="I29" s="3">
        <f t="shared" si="13"/>
        <v>615.81263233759898</v>
      </c>
      <c r="J29" s="3">
        <f t="shared" si="13"/>
        <v>621.97075866097498</v>
      </c>
      <c r="K29" s="3">
        <f t="shared" si="13"/>
        <v>615.75105107436525</v>
      </c>
      <c r="L29" s="3">
        <f t="shared" si="13"/>
        <v>606.51478530824977</v>
      </c>
      <c r="M29" s="3">
        <f t="shared" si="13"/>
        <v>594.38448960208473</v>
      </c>
    </row>
    <row r="30" spans="1:13" s="12" customFormat="1" x14ac:dyDescent="0.3">
      <c r="A30" s="10"/>
      <c r="B30" s="11"/>
      <c r="C30" s="11">
        <v>-0.01</v>
      </c>
      <c r="D30" s="11">
        <v>-5.0000000000000001E-3</v>
      </c>
      <c r="E30" s="11">
        <v>5.0000000000000001E-3</v>
      </c>
      <c r="F30" s="11">
        <v>0.01</v>
      </c>
      <c r="G30" s="11">
        <v>1.4999999999999999E-2</v>
      </c>
      <c r="H30" s="11">
        <v>0.02</v>
      </c>
      <c r="I30" s="11">
        <v>0.01</v>
      </c>
      <c r="J30" s="11">
        <v>0.01</v>
      </c>
      <c r="K30" s="11">
        <v>-0.01</v>
      </c>
      <c r="L30" s="11">
        <v>-1.4999999999999999E-2</v>
      </c>
      <c r="M30" s="11">
        <v>-0.02</v>
      </c>
    </row>
    <row r="31" spans="1:13" x14ac:dyDescent="0.3">
      <c r="A31" s="4" t="s">
        <v>13</v>
      </c>
      <c r="B31" s="3">
        <v>155</v>
      </c>
      <c r="C31" s="3">
        <f>B31+B31*C32</f>
        <v>153.44999999999999</v>
      </c>
      <c r="D31" s="3">
        <f t="shared" ref="D31:M31" si="14">C31+C31*D32</f>
        <v>152.68275</v>
      </c>
      <c r="E31" s="3">
        <f t="shared" si="14"/>
        <v>153.44616375000001</v>
      </c>
      <c r="F31" s="3">
        <f t="shared" si="14"/>
        <v>154.9806253875</v>
      </c>
      <c r="G31" s="3">
        <f t="shared" si="14"/>
        <v>157.30533476831249</v>
      </c>
      <c r="H31" s="3">
        <f t="shared" si="14"/>
        <v>160.45144146367875</v>
      </c>
      <c r="I31" s="3">
        <f t="shared" si="14"/>
        <v>162.05595587831553</v>
      </c>
      <c r="J31" s="3">
        <f t="shared" si="14"/>
        <v>163.67651543709869</v>
      </c>
      <c r="K31" s="3">
        <f t="shared" si="14"/>
        <v>162.03975028272771</v>
      </c>
      <c r="L31" s="3">
        <f t="shared" si="14"/>
        <v>159.60915402848678</v>
      </c>
      <c r="M31" s="3">
        <f t="shared" si="14"/>
        <v>156.41697094791704</v>
      </c>
    </row>
    <row r="32" spans="1:13" s="12" customFormat="1" x14ac:dyDescent="0.3">
      <c r="C32" s="11">
        <v>-0.01</v>
      </c>
      <c r="D32" s="11">
        <v>-5.0000000000000001E-3</v>
      </c>
      <c r="E32" s="11">
        <v>5.0000000000000001E-3</v>
      </c>
      <c r="F32" s="11">
        <v>0.01</v>
      </c>
      <c r="G32" s="11">
        <v>1.4999999999999999E-2</v>
      </c>
      <c r="H32" s="11">
        <v>0.02</v>
      </c>
      <c r="I32" s="11">
        <v>0.01</v>
      </c>
      <c r="J32" s="11">
        <v>0.01</v>
      </c>
      <c r="K32" s="11">
        <v>-0.01</v>
      </c>
      <c r="L32" s="11">
        <v>-1.4999999999999999E-2</v>
      </c>
      <c r="M32" s="11">
        <v>-0.02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Overview_KRONE</vt:lpstr>
      <vt:lpstr>KRONE</vt:lpstr>
      <vt:lpstr>Sheet3</vt:lpstr>
      <vt:lpstr>Sheet2</vt:lpstr>
      <vt:lpstr>Sheet1</vt:lpstr>
      <vt:lpstr>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Yeonghoon Kim</dc:creator>
  <cp:lastModifiedBy>지혜 이</cp:lastModifiedBy>
  <dcterms:created xsi:type="dcterms:W3CDTF">2026-01-15T00:38:23Z</dcterms:created>
  <dcterms:modified xsi:type="dcterms:W3CDTF">2026-01-22T09:38:29Z</dcterms:modified>
</cp:coreProperties>
</file>
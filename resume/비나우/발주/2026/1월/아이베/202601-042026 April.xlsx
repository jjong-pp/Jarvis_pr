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월\아이베\"/>
    </mc:Choice>
  </mc:AlternateContent>
  <xr:revisionPtr revIDLastSave="0" documentId="13_ncr:1_{72B6A28E-834D-440B-8761-223CF86C2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<sst xmlns="http://schemas.openxmlformats.org/spreadsheetml/2006/main" count="325" uniqueCount="238">
  <si>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</si>
  <si>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</si>
  <si>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</si>
  <si>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</si>
  <si>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</si>
  <si>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</si>
  <si>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</si>
  <si>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</si>
  <si>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</si>
  <si>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</si>
  <si>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</si>
  <si>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</si>
  <si>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</si>
  <si>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</si>
  <si>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</si>
  <si>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</si>
  <si>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</si>
  <si>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</si>
  <si>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</si>
  <si>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</si>
  <si>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</si>
  <si>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</si>
  <si>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</si>
  <si>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</si>
  <si>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</si>
  <si>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</si>
  <si>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</si>
  <si>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</si>
  <si>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</si>
  <si>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</si>
  <si>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</si>
  <si>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</si>
  <si>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</si>
  <si>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</si>
  <si>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</si>
  <si>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</si>
  <si>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</si>
  <si>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</si>
  <si>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</si>
  <si>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</si>
  <si>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</si>
  <si>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</si>
  <si>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</si>
  <si>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</si>
  <si>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</si>
  <si>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</si>
  <si>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</si>
  <si>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</si>
  <si>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</si>
  <si>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</si>
  <si>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</si>
  <si>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</si>
  <si>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</si>
  <si>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</si>
  <si>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</si>
  <si>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</si>
  <si>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</si>
  <si>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</si>
  <si>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</si>
  <si>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</si>
  <si>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</si>
  <si>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</si>
  <si>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</si>
  <si>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</si>
  <si>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</si>
  <si>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</si>
  <si>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</si>
  <si>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</si>
  <si>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</si>
  <si>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</si>
  <si>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</si>
  <si>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</si>
  <si>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</si>
  <si>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</si>
  <si>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</si>
  <si>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</si>
  <si>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</si>
  <si>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</si>
  <si>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</si>
  <si>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</si>
  <si>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</si>
  <si>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</si>
  <si>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</si>
  <si>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</si>
  <si>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</si>
  <si>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</si>
  <si>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</si>
  <si>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</si>
  <si>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</si>
  <si>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</si>
  <si>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</si>
  <si>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</si>
  <si>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</si>
  <si>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</si>
  <si>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</si>
  <si>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</si>
  <si>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</si>
  <si>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</si>
  <si>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</si>
  <si>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</si>
  <si>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</si>
  <si>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</si>
  <si>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</si>
  <si>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</si>
  <si>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</si>
  <si>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</si>
  <si>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</si>
  <si>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</si>
  <si>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</si>
  <si>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</si>
  <si>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</si>
  <si>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</si>
  <si>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</si>
  <si>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</si>
  <si>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</si>
  <si>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</si>
  <si>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</si>
  <si>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</si>
  <si>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</si>
  <si>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</si>
  <si>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</si>
  <si>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</si>
  <si>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</si>
  <si>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</si>
  <si>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</si>
  <si>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</si>
  <si>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</si>
  <si>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</si>
  <si>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</si>
  <si>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</si>
  <si>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</si>
  <si>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</si>
  <si>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</si>
  <si>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</si>
  <si>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</si>
  <si>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</si>
  <si>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</si>
  <si>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</si>
  <si>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</si>
  <si>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</si>
  <si>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</si>
  <si>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</si>
  <si>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</si>
  <si>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</si>
  <si>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</si>
  <si>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</si>
  <si>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</si>
  <si>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</si>
  <si>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</si>
  <si>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</si>
  <si>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</si>
  <si>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</si>
  <si>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</si>
  <si>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</si>
  <si>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</si>
  <si>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</si>
  <si>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</si>
  <si>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</si>
  <si>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</si>
  <si>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</si>
  <si>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</si>
  <si>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</si>
  <si>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</si>
  <si>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</si>
  <si>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</si>
  <si>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</si>
  <si>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</si>
  <si>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</si>
  <si>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</si>
  <si>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</si>
  <si>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</si>
  <si>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</si>
  <si>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</si>
  <si>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</si>
  <si>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</si>
  <si>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</si>
  <si>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</si>
  <si>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</si>
  <si>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</si>
  <si>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</si>
  <si>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</si>
  <si>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</si>
  <si>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</si>
  <si>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</si>
  <si>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</si>
  <si>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</si>
  <si>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</si>
  <si>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</si>
  <si>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</si>
  <si>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</si>
  <si>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</si>
  <si>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</si>
  <si>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</si>
  <si>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</si>
  <si>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</si>
  <si>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</si>
  <si>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</si>
  <si>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</si>
  <si>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</si>
  <si>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</si>
  <si>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</si>
  <si>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</si>
  <si>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</si>
  <si>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</si>
  <si>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</si>
  <si>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</si>
  <si>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</si>
  <si>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</si>
  <si>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</si>
  <si>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</si>
  <si>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</si>
  <si>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</si>
  <si>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</si>
  <si>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</si>
  <si>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</si>
  <si>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</si>
  <si>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</si>
  <si>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</si>
  <si>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</si>
  <si>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</si>
  <si>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</si>
  <si>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</si>
  <si>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</si>
  <si>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</si>
  <si>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</si>
  <si>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</si>
  <si>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</si>
  <si>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</si>
  <si>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</si>
  <si>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</si>
  <si>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</si>
  <si>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</si>
  <si>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</si>
  <si>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April</t>
  </si>
  <si>
    <t>W/H/04/2026</t>
  </si>
  <si>
    <t>1413 TU</t>
  </si>
  <si>
    <t>1520 TU</t>
  </si>
  <si>
    <t>1253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</si>
</sst>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0" zoomScale="85" zoomScaleNormal="85" workbookViewId="0">
      <selection activeCell="K21" sqref="K21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6" ht="17.25">
      <c r="A1" s="29" t="s">
        <v>194</v>
      </c>
      <c r="B1" s="18"/>
    </row>
    <row r="2" spans="1:16">
      <c r="A2" s="39" t="s">
        <v>28</v>
      </c>
      <c r="B2" s="39" t="s">
        <v>192</v>
      </c>
    </row>
    <row r="3" spans="1:16">
      <c r="A3" s="2" t="s">
        <v>0</v>
      </c>
      <c r="B3" s="32">
        <v>72851</v>
      </c>
    </row>
    <row r="4" spans="1:16">
      <c r="A4" s="2" t="s">
        <v>16</v>
      </c>
      <c r="B4" s="19" t="s">
        <v>17</v>
      </c>
    </row>
    <row r="5" spans="1:16">
      <c r="A5" s="2" t="s">
        <v>30</v>
      </c>
      <c r="B5" s="58">
        <v>24</v>
      </c>
    </row>
    <row r="6" spans="1:16">
      <c r="A6" s="2" t="s">
        <v>195</v>
      </c>
      <c r="B6" s="58">
        <v>4</v>
      </c>
    </row>
    <row r="7" spans="1:16">
      <c r="A7" s="2" t="s">
        <v>196</v>
      </c>
      <c r="B7" s="58">
        <v>2026</v>
      </c>
    </row>
    <row r="8" spans="1:16">
      <c r="A8" s="2" t="s">
        <v>1</v>
      </c>
      <c r="B8" s="17" t="s">
        <v>233</v>
      </c>
      <c r="C8" s="9"/>
    </row>
    <row r="9" spans="1:16">
      <c r="A9" s="2" t="s">
        <v>2</v>
      </c>
      <c r="B9" s="19" t="s">
        <v>234</v>
      </c>
      <c r="C9"/>
    </row>
    <row r="10" spans="1:16">
      <c r="A10" s="2" t="s">
        <v>3</v>
      </c>
      <c r="B10" s="20" t="s">
        <v>12</v>
      </c>
    </row>
    <row r="11" spans="1:16">
      <c r="A11" s="2" t="s">
        <v>4</v>
      </c>
      <c r="B11" s="21" t="s">
        <v>24</v>
      </c>
    </row>
    <row r="12" spans="1:16">
      <c r="A12" s="2" t="s">
        <v>5</v>
      </c>
      <c r="B12" s="20" t="s">
        <v>18</v>
      </c>
    </row>
    <row r="13" spans="1:16">
      <c r="A13" s="2" t="s">
        <v>11</v>
      </c>
      <c r="B13" s="15" t="s">
        <v>25</v>
      </c>
    </row>
    <row r="14" spans="1:16">
      <c r="A14" s="10" t="s">
        <v>15</v>
      </c>
      <c r="B14" s="25">
        <v>1</v>
      </c>
      <c r="P14" s="57">
        <f>22-14</f>
        <v>8</v>
      </c>
    </row>
    <row r="15" spans="1:16">
      <c r="A15" s="10" t="s">
        <v>21</v>
      </c>
      <c r="B15" s="24">
        <v>1</v>
      </c>
      <c r="C15"/>
    </row>
    <row r="16" spans="1:16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>
        <v>32</v>
      </c>
      <c r="I19" s="27">
        <f>H19*G19</f>
        <v>4608</v>
      </c>
      <c r="J19" s="59">
        <f t="shared" ref="J19" si="0">IF(G19="","",K19/G19)</f>
        <v>11</v>
      </c>
      <c r="K19" s="52">
        <v>1584</v>
      </c>
      <c r="L19" s="11"/>
      <c r="M19" s="1">
        <f t="shared" ref="M19:M21" si="1">K19*24</f>
        <v>38016</v>
      </c>
      <c r="N19" s="86" t="s">
        <v>210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>
        <v>12</v>
      </c>
      <c r="I20" s="27">
        <f t="shared" ref="I20:I23" si="2">H20*G20</f>
        <v>1728</v>
      </c>
      <c r="J20" s="59">
        <f t="shared" ref="J20" si="3">IF(G20="","",K20/G20)</f>
        <v>11</v>
      </c>
      <c r="K20" s="52">
        <v>1584</v>
      </c>
      <c r="L20" s="13"/>
      <c r="M20" s="1">
        <f t="shared" si="1"/>
        <v>38016</v>
      </c>
      <c r="N20" s="86" t="s">
        <v>210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6" t="s">
        <v>210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74</v>
      </c>
      <c r="I22" s="27">
        <f t="shared" si="2"/>
        <v>7104</v>
      </c>
      <c r="J22" s="59">
        <f t="shared" si="4"/>
        <v>85</v>
      </c>
      <c r="K22" s="52">
        <v>8160</v>
      </c>
      <c r="M22" s="1">
        <f t="shared" ref="M22:M24" si="5">K22*7</f>
        <v>57120</v>
      </c>
      <c r="N22" s="86" t="s">
        <v>235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33</v>
      </c>
      <c r="I23" s="27">
        <f t="shared" si="2"/>
        <v>3168</v>
      </c>
      <c r="J23" s="59">
        <f t="shared" si="4"/>
        <v>54</v>
      </c>
      <c r="K23" s="52">
        <v>5184</v>
      </c>
      <c r="M23" s="1">
        <f t="shared" si="5"/>
        <v>36288</v>
      </c>
      <c r="N23" s="86" t="s">
        <v>236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19.583333333333332</v>
      </c>
      <c r="I24" s="27">
        <f>H24*G24</f>
        <v>1880</v>
      </c>
      <c r="J24" s="59">
        <f t="shared" si="4"/>
        <v>13</v>
      </c>
      <c r="K24" s="52">
        <v>1248</v>
      </c>
      <c r="L24"/>
      <c r="M24" s="1">
        <f t="shared" si="5"/>
        <v>8736</v>
      </c>
      <c r="N24" s="86" t="s">
        <v>237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91">
        <f t="shared" ref="J25:J42" si="6">IF(G25="","",K25/G25)</f>
        <v>0</v>
      </c>
      <c r="K25" s="92">
        <v>0</v>
      </c>
      <c r="N25" s="86" t="s">
        <v>209</v>
      </c>
      <c r="O25" s="89" t="s">
        <v>228</v>
      </c>
    </row>
    <row r="26" spans="1:18">
      <c r="A26" s="15">
        <v>552897</v>
      </c>
      <c r="B26" s="15" t="s">
        <v>211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91">
        <f t="shared" si="6"/>
        <v>8</v>
      </c>
      <c r="K26" s="92">
        <v>1960</v>
      </c>
      <c r="L26" s="11"/>
      <c r="M26" s="1">
        <f t="shared" ref="M26:M28" si="7">K26*24</f>
        <v>47040</v>
      </c>
      <c r="N26" s="86" t="s">
        <v>210</v>
      </c>
      <c r="O26" s="61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0</v>
      </c>
      <c r="K27" s="92"/>
      <c r="L27" s="13"/>
      <c r="M27" s="1">
        <f t="shared" si="7"/>
        <v>0</v>
      </c>
      <c r="N27" s="89"/>
      <c r="O27" s="89" t="s">
        <v>228</v>
      </c>
    </row>
    <row r="28" spans="1:18">
      <c r="A28" s="15">
        <v>691217</v>
      </c>
      <c r="B28" s="15" t="s">
        <v>213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91">
        <f t="shared" si="6"/>
        <v>0</v>
      </c>
      <c r="K28" s="92">
        <v>0</v>
      </c>
      <c r="M28" s="1">
        <f t="shared" si="7"/>
        <v>0</v>
      </c>
      <c r="N28" s="57"/>
      <c r="O28" s="89" t="s">
        <v>228</v>
      </c>
    </row>
    <row r="29" spans="1:18">
      <c r="A29" s="15">
        <v>117771</v>
      </c>
      <c r="B29" s="15" t="s">
        <v>214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91">
        <f t="shared" si="6"/>
        <v>0.25</v>
      </c>
      <c r="K29" s="92">
        <v>50</v>
      </c>
      <c r="M29" s="1">
        <f t="shared" ref="M29:M31" si="9">K29*7</f>
        <v>350</v>
      </c>
      <c r="N29" s="57"/>
      <c r="O29" s="89" t="s">
        <v>228</v>
      </c>
    </row>
    <row r="30" spans="1:18">
      <c r="A30" s="15">
        <v>611174</v>
      </c>
      <c r="B30" s="15" t="s">
        <v>215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91">
        <f t="shared" si="6"/>
        <v>0</v>
      </c>
      <c r="K30" s="92">
        <v>0</v>
      </c>
      <c r="M30" s="1">
        <f t="shared" si="9"/>
        <v>0</v>
      </c>
      <c r="N30" s="86" t="s">
        <v>229</v>
      </c>
      <c r="O30" s="89" t="s">
        <v>228</v>
      </c>
    </row>
    <row r="31" spans="1:18">
      <c r="A31" s="15">
        <v>117547</v>
      </c>
      <c r="B31" s="15" t="s">
        <v>216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>H31*G31</f>
        <v>0</v>
      </c>
      <c r="J31" s="91">
        <f t="shared" si="6"/>
        <v>0.18518518518518517</v>
      </c>
      <c r="K31" s="92">
        <v>20</v>
      </c>
      <c r="L31"/>
      <c r="M31" s="1">
        <f t="shared" si="9"/>
        <v>140</v>
      </c>
      <c r="N31" s="57"/>
      <c r="O31" s="89" t="s">
        <v>228</v>
      </c>
    </row>
    <row r="32" spans="1:18">
      <c r="A32" s="15">
        <v>646546</v>
      </c>
      <c r="B32" s="15" t="s">
        <v>217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91">
        <f t="shared" si="6"/>
        <v>0</v>
      </c>
      <c r="K32" s="92">
        <v>0</v>
      </c>
      <c r="M32" s="1">
        <f t="shared" ref="M32" si="11">K32*4</f>
        <v>0</v>
      </c>
      <c r="O32" s="89" t="s">
        <v>228</v>
      </c>
      <c r="R32" s="56"/>
    </row>
    <row r="33" spans="1:15">
      <c r="A33" s="15">
        <v>646567</v>
      </c>
      <c r="B33" s="15" t="s">
        <v>218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91">
        <f t="shared" si="6"/>
        <v>0</v>
      </c>
      <c r="K33" s="92">
        <v>0</v>
      </c>
      <c r="L33" s="14"/>
      <c r="M33" s="14">
        <f t="shared" ref="M33" si="12">K33*7</f>
        <v>0</v>
      </c>
      <c r="O33" s="89" t="s">
        <v>228</v>
      </c>
    </row>
    <row r="34" spans="1:15">
      <c r="A34" s="15">
        <v>116180</v>
      </c>
      <c r="B34" s="15" t="s">
        <v>219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91">
        <f t="shared" si="6"/>
        <v>1</v>
      </c>
      <c r="K34" s="92">
        <v>200</v>
      </c>
      <c r="M34" s="1">
        <f>K34*5</f>
        <v>1000</v>
      </c>
      <c r="O34" s="89" t="s">
        <v>228</v>
      </c>
    </row>
    <row r="35" spans="1:15">
      <c r="A35" s="15">
        <v>552896</v>
      </c>
      <c r="B35" s="15" t="s">
        <v>220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91">
        <f t="shared" si="6"/>
        <v>0</v>
      </c>
      <c r="K35" s="92">
        <v>0</v>
      </c>
      <c r="M35" s="1">
        <f t="shared" ref="M35:M39" si="13">K35*4</f>
        <v>0</v>
      </c>
      <c r="N35" s="86" t="s">
        <v>210</v>
      </c>
      <c r="O35" s="89" t="s">
        <v>228</v>
      </c>
    </row>
    <row r="36" spans="1:15">
      <c r="A36" s="15">
        <v>578785</v>
      </c>
      <c r="B36" s="15" t="s">
        <v>221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27"/>
      <c r="I36" s="27">
        <f t="shared" si="10"/>
        <v>0</v>
      </c>
      <c r="J36" s="91">
        <f t="shared" si="6"/>
        <v>3</v>
      </c>
      <c r="K36" s="92">
        <v>735</v>
      </c>
      <c r="M36" s="1">
        <f t="shared" si="13"/>
        <v>2940</v>
      </c>
      <c r="N36" s="86" t="s">
        <v>230</v>
      </c>
      <c r="O36" s="89" t="s">
        <v>228</v>
      </c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27"/>
      <c r="I37" s="27">
        <f t="shared" si="10"/>
        <v>0</v>
      </c>
      <c r="J37" s="91">
        <f t="shared" si="6"/>
        <v>0.25925925925925924</v>
      </c>
      <c r="K37" s="92">
        <v>28</v>
      </c>
      <c r="M37" s="1">
        <f t="shared" si="13"/>
        <v>112</v>
      </c>
      <c r="O37" s="89" t="s">
        <v>228</v>
      </c>
    </row>
    <row r="38" spans="1:15">
      <c r="A38" s="15">
        <v>589466</v>
      </c>
      <c r="B38" s="15" t="s">
        <v>223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27"/>
      <c r="I38" s="27">
        <f t="shared" si="10"/>
        <v>0</v>
      </c>
      <c r="J38" s="91">
        <f t="shared" si="6"/>
        <v>0.12962962962962962</v>
      </c>
      <c r="K38" s="92">
        <v>14</v>
      </c>
      <c r="M38" s="1">
        <f t="shared" si="13"/>
        <v>56</v>
      </c>
      <c r="O38" s="89" t="s">
        <v>228</v>
      </c>
    </row>
    <row r="39" spans="1:15">
      <c r="A39" s="15">
        <v>646548</v>
      </c>
      <c r="B39" s="15" t="s">
        <v>224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27"/>
      <c r="I39" s="27">
        <f t="shared" si="10"/>
        <v>0</v>
      </c>
      <c r="J39" s="91">
        <f t="shared" si="6"/>
        <v>6.6666666666666666E-2</v>
      </c>
      <c r="K39" s="92">
        <v>15</v>
      </c>
      <c r="M39" s="1">
        <f t="shared" si="13"/>
        <v>60</v>
      </c>
      <c r="O39" s="89" t="s">
        <v>228</v>
      </c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91">
        <f t="shared" si="6"/>
        <v>8.3333333333333329E-2</v>
      </c>
      <c r="K40" s="92">
        <v>12</v>
      </c>
      <c r="O40" s="89" t="s">
        <v>228</v>
      </c>
    </row>
    <row r="41" spans="1:15">
      <c r="A41" s="15">
        <v>695413</v>
      </c>
      <c r="B41" s="15" t="s">
        <v>226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91">
        <f t="shared" si="6"/>
        <v>9.0909090909090912E-2</v>
      </c>
      <c r="K41" s="92">
        <v>12</v>
      </c>
      <c r="M41" s="1">
        <f t="shared" ref="M41" si="15">K41*7</f>
        <v>84</v>
      </c>
      <c r="O41" s="89" t="s">
        <v>228</v>
      </c>
    </row>
    <row r="42" spans="1:15">
      <c r="A42" s="15">
        <v>645380</v>
      </c>
      <c r="B42" s="15" t="s">
        <v>227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91">
        <f t="shared" si="6"/>
        <v>0.27777777777777779</v>
      </c>
      <c r="K42" s="92">
        <v>20</v>
      </c>
      <c r="M42" s="1">
        <f>K42*5</f>
        <v>100</v>
      </c>
      <c r="O42" s="89" t="s">
        <v>228</v>
      </c>
    </row>
    <row r="43" spans="1:15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8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3" t="s">
        <v>28</v>
      </c>
      <c r="B3" s="94"/>
      <c r="D3" s="95" t="s">
        <v>152</v>
      </c>
      <c r="E3" s="96"/>
      <c r="F3" s="96"/>
      <c r="G3" s="96"/>
      <c r="H3" s="9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 t="s">
        <v>231</v>
      </c>
      <c r="B47" s="36" t="s">
        <v>232</v>
      </c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2026-01-26T09:04:46Z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
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6월\아이베\"/>
    </mc:Choice>
  </mc:AlternateContent>
  <xr:revisionPtr revIDLastSave="0" documentId="13_ncr:1_{5F48C118-A78F-4A57-9A39-195C0FAD8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<sst xmlns="http://schemas.openxmlformats.org/spreadsheetml/2006/main" count="294" uniqueCount="242">
  <si>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</si>
  <si>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</si>
  <si>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</si>
  <si>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</si>
  <si>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</si>
  <si>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</si>
  <si>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</si>
  <si>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</si>
  <si>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</si>
  <si>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</si>
  <si>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</si>
  <si>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</si>
  <si>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</si>
  <si>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</si>
  <si>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</si>
  <si>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</si>
  <si>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</si>
  <si>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</si>
  <si>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</si>
  <si>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</si>
  <si>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</si>
  <si>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</si>
  <si>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</si>
  <si>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</si>
  <si>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</si>
  <si>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</si>
  <si>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</si>
  <si>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</si>
  <si>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</si>
  <si>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</si>
  <si>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</si>
  <si>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</si>
  <si>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</si>
  <si>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</si>
  <si>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</si>
  <si>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</si>
  <si>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</si>
  <si>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</si>
  <si>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</si>
  <si>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</si>
  <si>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</si>
  <si>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</si>
  <si>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</si>
  <si>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</si>
  <si>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</si>
  <si>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</si>
  <si>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</si>
  <si>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</si>
  <si>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</si>
  <si>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</si>
  <si>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</si>
  <si>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</si>
  <si>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</si>
  <si>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</si>
  <si>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</si>
  <si>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</si>
  <si>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</si>
  <si>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</si>
  <si>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</si>
  <si>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</si>
  <si>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</si>
  <si>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</si>
  <si>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</si>
  <si>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</si>
  <si>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</si>
  <si>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</si>
  <si>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</si>
  <si>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</si>
  <si>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</si>
  <si>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</si>
  <si>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</si>
  <si>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</si>
  <si>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</si>
  <si>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</si>
  <si>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</si>
  <si>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</si>
  <si>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</si>
  <si>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</si>
  <si>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</si>
  <si>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</si>
  <si>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</si>
  <si>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</si>
  <si>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</si>
  <si>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</si>
  <si>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</si>
  <si>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</si>
  <si>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</si>
  <si>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</si>
  <si>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</si>
  <si>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</si>
  <si>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</si>
  <si>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</si>
  <si>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</si>
  <si>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</si>
  <si>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</si>
  <si>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</si>
  <si>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</si>
  <si>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</si>
  <si>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</si>
  <si>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</si>
  <si>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</si>
  <si>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</si>
  <si>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</si>
  <si>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</si>
  <si>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</si>
  <si>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</si>
  <si>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</si>
  <si>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</si>
  <si>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</si>
  <si>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</si>
  <si>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</si>
  <si>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</si>
  <si>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</si>
  <si>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</si>
  <si>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</si>
  <si>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</si>
  <si>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</si>
  <si>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</si>
  <si>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</si>
  <si>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</si>
  <si>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</si>
  <si>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</si>
  <si>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</si>
  <si>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</si>
  <si>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</si>
  <si>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</si>
  <si>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</si>
  <si>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</si>
  <si>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</si>
  <si>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</si>
  <si>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</si>
  <si>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</si>
  <si>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</si>
  <si>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</si>
  <si>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</si>
  <si>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</si>
  <si>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</si>
  <si>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</si>
  <si>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</si>
  <si>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</si>
  <si>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</si>
  <si>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</si>
  <si>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</si>
  <si>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</si>
  <si>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</si>
  <si>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</si>
  <si>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</si>
  <si>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</si>
  <si>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</si>
  <si>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</si>
  <si>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</si>
  <si>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</si>
  <si>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</si>
  <si>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</si>
  <si>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</si>
  <si>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</si>
  <si>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</si>
  <si>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</si>
  <si>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</si>
  <si>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</si>
  <si>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</si>
  <si>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</si>
  <si>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</si>
  <si>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</si>
  <si>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</si>
  <si>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</si>
  <si>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</si>
  <si>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</si>
  <si>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</si>
  <si>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</si>
  <si>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</si>
  <si>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</si>
  <si>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</si>
  <si>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</si>
  <si>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</si>
  <si>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</si>
  <si>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</si>
  <si>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</si>
  <si>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</si>
  <si>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</si>
  <si>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</si>
  <si>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</si>
  <si>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</si>
  <si>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</si>
  <si>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</si>
  <si>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</si>
  <si>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</si>
  <si>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</si>
  <si>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</si>
  <si>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</si>
  <si>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</si>
  <si>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</si>
  <si>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</si>
  <si>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</si>
  <si>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</si>
  <si>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</si>
  <si>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</si>
  <si>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</si>
  <si>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</si>
  <si>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</si>
  <si>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</si>
  <si>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</si>
  <si>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</si>
  <si>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</si>
  <si>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</si>
  <si>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</si>
  <si>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</si>
  <si>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</si>
  <si>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</si>
  <si>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</si>
  <si>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</si>
  <si>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</si>
  <si>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</si>
  <si>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</si>
  <si>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</si>
  <si>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</si>
  <si>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</si>
  <si>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</si>
  <si>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</si>
  <si>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</si>
  <si>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</si>
  <si>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</si>
  <si>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</si>
  <si>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</si>
  <si>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</si>
  <si>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</si>
  <si>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</si>
  <si>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</si>
  <si>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</si>
  <si>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</si>
  <si>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</si>
  <si>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</si>
  <si>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</si>
  <si>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</si>
  <si>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</si>
  <si>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</si>
  <si>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</si>
  <si>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</si>
  <si>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27</t>
  </si>
  <si>
    <t>11</t>
  </si>
  <si>
    <t>November</t>
  </si>
  <si>
    <t>W/H/11/2026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</si>
</sst>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="70" zoomScaleNormal="70" workbookViewId="0"/>
  </sheetViews>
  <sheetFormatPr defaultColWidth="9.125" defaultRowHeight="16.5" outlineLevelCol="1" x14ac:dyDescent="0.3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8" t="s">
        <v>28</v>
      </c>
      <c r="B2" s="38" t="s">
        <v>192</v>
      </c>
    </row>
    <row r="3" spans="1:3" x14ac:dyDescent="0.3">
      <c r="A3" s="2" t="s">
        <v>0</v>
      </c>
      <c r="B3" s="90" t="s">
        <v>233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93" t="s">
        <v>238</v>
      </c>
    </row>
    <row r="6" spans="1:3" x14ac:dyDescent="0.3">
      <c r="A6" s="2" t="s">
        <v>195</v>
      </c>
      <c r="B6" s="93" t="s">
        <v>239</v>
      </c>
    </row>
    <row r="7" spans="1:3" x14ac:dyDescent="0.3">
      <c r="A7" s="2" t="s">
        <v>196</v>
      </c>
      <c r="B7" s="92" t="s">
        <v>237</v>
      </c>
    </row>
    <row r="8" spans="1:3" x14ac:dyDescent="0.3">
      <c r="A8" s="2" t="s">
        <v>1</v>
      </c>
      <c r="B8" s="17" t="s">
        <v>240</v>
      </c>
      <c r="C8" s="9"/>
    </row>
    <row r="9" spans="1:3" x14ac:dyDescent="0.3">
      <c r="A9" s="2" t="s">
        <v>2</v>
      </c>
      <c r="B9" s="19" t="s">
        <v>241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 hidden="1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/>
      <c r="I19" s="27">
        <f>H19*G19</f>
        <v>0</v>
      </c>
      <c r="J19" s="57">
        <f t="shared" ref="J19" si="0">IF(G19="","",K19/G19)</f>
        <v>0</v>
      </c>
      <c r="K19" s="51">
        <v>0</v>
      </c>
      <c r="L19" s="11"/>
      <c r="M19" s="1">
        <f t="shared" ref="M19:M21" si="1">K19*24</f>
        <v>0</v>
      </c>
      <c r="N19" s="84" t="s">
        <v>210</v>
      </c>
      <c r="O19" s="59" t="s">
        <v>198</v>
      </c>
    </row>
    <row r="20" spans="1:18" hidden="1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 t="shared" ref="I20:I23" si="2">H20*G20</f>
        <v>0</v>
      </c>
      <c r="J20" s="57">
        <f t="shared" ref="J20" si="3">IF(G20="","",K20/G20)</f>
        <v>0</v>
      </c>
      <c r="K20" s="51">
        <v>0</v>
      </c>
      <c r="L20" s="13"/>
      <c r="M20" s="1">
        <f t="shared" si="1"/>
        <v>0</v>
      </c>
      <c r="N20" s="84" t="s">
        <v>210</v>
      </c>
      <c r="O20" s="59" t="s">
        <v>198</v>
      </c>
    </row>
    <row r="21" spans="1:18" hidden="1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7">
        <f t="shared" ref="J21:J24" si="4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 hidden="1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7">
        <f t="shared" si="4"/>
        <v>0</v>
      </c>
      <c r="K22" s="51">
        <v>0</v>
      </c>
      <c r="M22" s="1">
        <f t="shared" ref="M22:M24" si="5">K22*7</f>
        <v>0</v>
      </c>
      <c r="N22" s="84" t="s">
        <v>234</v>
      </c>
      <c r="O22" s="59" t="s">
        <v>198</v>
      </c>
    </row>
    <row r="23" spans="1:18" hidden="1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7">
        <f t="shared" si="4"/>
        <v>0</v>
      </c>
      <c r="K23" s="51"/>
      <c r="M23" s="1">
        <f t="shared" si="5"/>
        <v>0</v>
      </c>
      <c r="N23" s="84" t="s">
        <v>235</v>
      </c>
      <c r="O23" s="59" t="s">
        <v>198</v>
      </c>
    </row>
    <row r="24" spans="1:18" hidden="1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7">
        <f t="shared" si="4"/>
        <v>0</v>
      </c>
      <c r="K24" s="51"/>
      <c r="L24"/>
      <c r="M24" s="1">
        <f t="shared" si="5"/>
        <v>0</v>
      </c>
      <c r="N24" s="84" t="s">
        <v>236</v>
      </c>
      <c r="O24" s="59" t="s">
        <v>198</v>
      </c>
    </row>
    <row r="25" spans="1:18" hidden="1" x14ac:dyDescent="0.3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>
        <v>0</v>
      </c>
      <c r="N25" s="84" t="s">
        <v>209</v>
      </c>
      <c r="O25" s="87" t="s">
        <v>228</v>
      </c>
    </row>
    <row r="26" spans="1:18" hidden="1" x14ac:dyDescent="0.3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0</v>
      </c>
      <c r="K26" s="91"/>
      <c r="L26" s="11"/>
      <c r="M26" s="1">
        <f t="shared" ref="M26:M28" si="7">K26*24</f>
        <v>0</v>
      </c>
      <c r="N26" s="84" t="s">
        <v>210</v>
      </c>
      <c r="O26" s="59" t="s">
        <v>198</v>
      </c>
    </row>
    <row r="27" spans="1:18" x14ac:dyDescent="0.3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>
        <v>3</v>
      </c>
      <c r="I27" s="27">
        <f t="shared" ref="I27:I30" si="8">H27*G27</f>
        <v>324</v>
      </c>
      <c r="J27" s="89">
        <f t="shared" si="6"/>
        <v>7.5925925925925926</v>
      </c>
      <c r="K27" s="91">
        <v>820</v>
      </c>
      <c r="L27" s="13"/>
      <c r="M27" s="1">
        <f t="shared" si="7"/>
        <v>19680</v>
      </c>
      <c r="N27" s="87"/>
      <c r="O27" s="87"/>
    </row>
    <row r="28" spans="1:18" hidden="1" x14ac:dyDescent="0.3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89">
        <f t="shared" si="6"/>
        <v>0</v>
      </c>
      <c r="K28" s="91">
        <v>0</v>
      </c>
      <c r="M28" s="1">
        <f t="shared" si="7"/>
        <v>0</v>
      </c>
      <c r="N28" s="56"/>
      <c r="O28" s="87" t="s">
        <v>228</v>
      </c>
    </row>
    <row r="29" spans="1:18" hidden="1" x14ac:dyDescent="0.3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89">
        <f t="shared" si="6"/>
        <v>0</v>
      </c>
      <c r="K29" s="91">
        <v>0</v>
      </c>
      <c r="M29" s="1">
        <f t="shared" ref="M29:M31" si="9">K29*7</f>
        <v>0</v>
      </c>
      <c r="N29" s="56"/>
      <c r="O29" s="87" t="s">
        <v>228</v>
      </c>
    </row>
    <row r="30" spans="1:18" hidden="1" x14ac:dyDescent="0.3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89">
        <f t="shared" si="6"/>
        <v>0</v>
      </c>
      <c r="K30" s="91">
        <v>0</v>
      </c>
      <c r="M30" s="1">
        <f t="shared" si="9"/>
        <v>0</v>
      </c>
      <c r="N30" s="84" t="s">
        <v>229</v>
      </c>
      <c r="O30" s="87" t="s">
        <v>228</v>
      </c>
    </row>
    <row r="31" spans="1:18" hidden="1" x14ac:dyDescent="0.3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89">
        <f t="shared" si="6"/>
        <v>0</v>
      </c>
      <c r="K31" s="91">
        <v>0</v>
      </c>
      <c r="L31"/>
      <c r="M31" s="1">
        <f t="shared" si="9"/>
        <v>0</v>
      </c>
      <c r="N31" s="56"/>
      <c r="O31" s="87" t="s">
        <v>228</v>
      </c>
    </row>
    <row r="32" spans="1:18" hidden="1" x14ac:dyDescent="0.3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89">
        <f t="shared" si="6"/>
        <v>0</v>
      </c>
      <c r="K32" s="91">
        <v>0</v>
      </c>
      <c r="M32" s="1">
        <f t="shared" ref="M32" si="11">K32*4</f>
        <v>0</v>
      </c>
      <c r="O32" s="87" t="s">
        <v>228</v>
      </c>
      <c r="R32" s="55"/>
    </row>
    <row r="33" spans="1:15" hidden="1" x14ac:dyDescent="0.3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89">
        <f t="shared" si="6"/>
        <v>0</v>
      </c>
      <c r="K33" s="91">
        <v>0</v>
      </c>
      <c r="L33" s="14"/>
      <c r="M33" s="14">
        <f t="shared" ref="M33" si="12">K33*7</f>
        <v>0</v>
      </c>
      <c r="O33" s="87" t="s">
        <v>228</v>
      </c>
    </row>
    <row r="34" spans="1:15" hidden="1" x14ac:dyDescent="0.3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89">
        <f t="shared" si="6"/>
        <v>0</v>
      </c>
      <c r="K34" s="91">
        <v>0</v>
      </c>
      <c r="M34" s="1">
        <f>K34*5</f>
        <v>0</v>
      </c>
      <c r="O34" s="87" t="s">
        <v>228</v>
      </c>
    </row>
    <row r="35" spans="1:15" hidden="1" x14ac:dyDescent="0.3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89">
        <f t="shared" si="6"/>
        <v>0</v>
      </c>
      <c r="K35" s="91">
        <v>0</v>
      </c>
      <c r="M35" s="1">
        <f t="shared" ref="M35:M39" si="13">K35*4</f>
        <v>0</v>
      </c>
      <c r="N35" s="84" t="s">
        <v>210</v>
      </c>
      <c r="O35" s="87" t="s">
        <v>228</v>
      </c>
    </row>
    <row r="36" spans="1:15" hidden="1" x14ac:dyDescent="0.3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89">
        <f t="shared" si="6"/>
        <v>0</v>
      </c>
      <c r="K36" s="91">
        <v>0</v>
      </c>
      <c r="M36" s="1">
        <f t="shared" si="13"/>
        <v>0</v>
      </c>
      <c r="N36" s="84" t="s">
        <v>230</v>
      </c>
      <c r="O36" s="87" t="s">
        <v>228</v>
      </c>
    </row>
    <row r="37" spans="1:15" hidden="1" x14ac:dyDescent="0.3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89">
        <f t="shared" si="6"/>
        <v>0</v>
      </c>
      <c r="K37" s="91">
        <v>0</v>
      </c>
      <c r="M37" s="1">
        <f t="shared" si="13"/>
        <v>0</v>
      </c>
      <c r="O37" s="87" t="s">
        <v>228</v>
      </c>
    </row>
    <row r="38" spans="1:15" hidden="1" x14ac:dyDescent="0.3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89">
        <f t="shared" si="6"/>
        <v>0</v>
      </c>
      <c r="K38" s="91">
        <v>0</v>
      </c>
      <c r="M38" s="1">
        <f t="shared" si="13"/>
        <v>0</v>
      </c>
      <c r="O38" s="87" t="s">
        <v>228</v>
      </c>
    </row>
    <row r="39" spans="1:15" hidden="1" x14ac:dyDescent="0.3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89">
        <f t="shared" si="6"/>
        <v>0</v>
      </c>
      <c r="K39" s="91">
        <v>0</v>
      </c>
      <c r="M39" s="1">
        <f t="shared" si="13"/>
        <v>0</v>
      </c>
      <c r="O39" s="87" t="s">
        <v>228</v>
      </c>
    </row>
    <row r="40" spans="1:15" hidden="1" x14ac:dyDescent="0.3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89">
        <f t="shared" si="6"/>
        <v>0</v>
      </c>
      <c r="K40" s="91">
        <v>0</v>
      </c>
      <c r="O40" s="87" t="s">
        <v>228</v>
      </c>
    </row>
    <row r="41" spans="1:15" hidden="1" x14ac:dyDescent="0.3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89">
        <f t="shared" si="6"/>
        <v>0</v>
      </c>
      <c r="K41" s="91">
        <v>0</v>
      </c>
      <c r="M41" s="1">
        <f t="shared" ref="M41" si="15">K41*7</f>
        <v>0</v>
      </c>
      <c r="O41" s="87" t="s">
        <v>228</v>
      </c>
    </row>
    <row r="42" spans="1:15" hidden="1" x14ac:dyDescent="0.3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</v>
      </c>
      <c r="K42" s="91">
        <v>0</v>
      </c>
      <c r="M42" s="1">
        <f>K42*5</f>
        <v>0</v>
      </c>
      <c r="O42" s="87" t="s">
        <v>228</v>
      </c>
    </row>
    <row r="43" spans="1:15" x14ac:dyDescent="0.3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 x14ac:dyDescent="0.3">
      <c r="A44" s="8"/>
      <c r="B44" s="8"/>
      <c r="C44" s="3"/>
      <c r="J44" s="8" t="s">
        <v>19</v>
      </c>
      <c r="K44" s="3"/>
    </row>
    <row r="45" spans="1:15" x14ac:dyDescent="0.3">
      <c r="A45" s="8"/>
      <c r="B45" s="8"/>
      <c r="C45" s="3"/>
      <c r="H45" s="86"/>
      <c r="J45" s="8" t="s">
        <v>20</v>
      </c>
      <c r="K45" s="28"/>
    </row>
    <row r="46" spans="1:15" x14ac:dyDescent="0.3">
      <c r="A46" s="11"/>
      <c r="B46" s="11"/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3"/>
      <c r="J54" s="22"/>
    </row>
    <row r="55" spans="1:11" x14ac:dyDescent="0.3">
      <c r="A55"/>
      <c r="B55"/>
      <c r="C55"/>
      <c r="D55"/>
      <c r="E55"/>
      <c r="F55"/>
      <c r="G55"/>
      <c r="H55"/>
      <c r="I55" s="52"/>
      <c r="J55" s="22"/>
    </row>
    <row r="56" spans="1:11" x14ac:dyDescent="0.3">
      <c r="A56"/>
      <c r="B56"/>
      <c r="C56"/>
      <c r="D56"/>
      <c r="E56"/>
      <c r="F56"/>
      <c r="G56"/>
      <c r="H56"/>
      <c r="I56" s="52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5"/>
    </row>
    <row r="62" spans="1:11" x14ac:dyDescent="0.3">
      <c r="I62"/>
    </row>
  </sheetData>
  <autoFilter ref="A18:O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 x14ac:dyDescent="0.35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 x14ac:dyDescent="0.35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 x14ac:dyDescent="0.35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 x14ac:dyDescent="0.35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 x14ac:dyDescent="0.35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 x14ac:dyDescent="0.35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 x14ac:dyDescent="0.35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 x14ac:dyDescent="0.35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 x14ac:dyDescent="0.35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 x14ac:dyDescent="0.35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 x14ac:dyDescent="0.35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 x14ac:dyDescent="0.35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 x14ac:dyDescent="0.35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 x14ac:dyDescent="0.35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 x14ac:dyDescent="0.35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 x14ac:dyDescent="0.3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 x14ac:dyDescent="0.3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 x14ac:dyDescent="0.3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 x14ac:dyDescent="0.3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 x14ac:dyDescent="0.3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 x14ac:dyDescent="0.3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 x14ac:dyDescent="0.3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 x14ac:dyDescent="0.3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 x14ac:dyDescent="0.3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 x14ac:dyDescent="0.3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 x14ac:dyDescent="0.3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 x14ac:dyDescent="0.3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 x14ac:dyDescent="0.3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 x14ac:dyDescent="0.3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 x14ac:dyDescent="0.3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 x14ac:dyDescent="0.3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0" t="s">
        <v>184</v>
      </c>
    </row>
    <row r="2" spans="1:8" ht="17.25" thickBot="1" x14ac:dyDescent="0.35"/>
    <row r="3" spans="1:8" ht="17.25" thickBot="1" x14ac:dyDescent="0.35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7.25" thickBot="1" x14ac:dyDescent="0.35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 x14ac:dyDescent="0.3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 x14ac:dyDescent="0.3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 x14ac:dyDescent="0.3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 x14ac:dyDescent="0.3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 x14ac:dyDescent="0.3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 x14ac:dyDescent="0.3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 x14ac:dyDescent="0.3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 x14ac:dyDescent="0.3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 x14ac:dyDescent="0.3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 x14ac:dyDescent="0.3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 x14ac:dyDescent="0.3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 x14ac:dyDescent="0.3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 x14ac:dyDescent="0.3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 x14ac:dyDescent="0.3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 x14ac:dyDescent="0.3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 x14ac:dyDescent="0.3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 x14ac:dyDescent="0.3">
      <c r="A21" s="32" t="s">
        <v>50</v>
      </c>
      <c r="B21" s="33" t="s">
        <v>90</v>
      </c>
      <c r="D21" s="34" t="str">
        <f t="shared" si="0"/>
        <v/>
      </c>
      <c r="H21" s="35"/>
    </row>
    <row r="22" spans="1:8" x14ac:dyDescent="0.3">
      <c r="A22" s="32" t="s">
        <v>51</v>
      </c>
      <c r="B22" s="33" t="s">
        <v>91</v>
      </c>
      <c r="D22" s="34" t="str">
        <f t="shared" si="0"/>
        <v/>
      </c>
      <c r="H22" s="35"/>
    </row>
    <row r="23" spans="1:8" x14ac:dyDescent="0.3">
      <c r="A23" s="32" t="s">
        <v>52</v>
      </c>
      <c r="B23" s="33" t="s">
        <v>92</v>
      </c>
      <c r="D23" s="34" t="str">
        <f t="shared" si="0"/>
        <v/>
      </c>
      <c r="H23" s="35"/>
    </row>
    <row r="24" spans="1:8" x14ac:dyDescent="0.3">
      <c r="A24" s="32" t="s">
        <v>53</v>
      </c>
      <c r="B24" s="33" t="s">
        <v>93</v>
      </c>
      <c r="D24" s="34" t="str">
        <f t="shared" si="0"/>
        <v/>
      </c>
      <c r="H24" s="35"/>
    </row>
    <row r="25" spans="1:8" x14ac:dyDescent="0.3">
      <c r="A25" s="32" t="s">
        <v>54</v>
      </c>
      <c r="B25" s="33" t="s">
        <v>94</v>
      </c>
      <c r="D25" s="34" t="str">
        <f t="shared" si="0"/>
        <v/>
      </c>
      <c r="H25" s="35"/>
    </row>
    <row r="26" spans="1:8" x14ac:dyDescent="0.3">
      <c r="A26" s="32" t="s">
        <v>55</v>
      </c>
      <c r="B26" s="33" t="s">
        <v>95</v>
      </c>
      <c r="D26" s="34" t="str">
        <f t="shared" si="0"/>
        <v/>
      </c>
      <c r="H26" s="35"/>
    </row>
    <row r="27" spans="1:8" x14ac:dyDescent="0.3">
      <c r="A27" s="32" t="s">
        <v>56</v>
      </c>
      <c r="B27" s="33" t="s">
        <v>96</v>
      </c>
      <c r="D27" s="34" t="str">
        <f t="shared" si="0"/>
        <v/>
      </c>
      <c r="H27" s="35"/>
    </row>
    <row r="28" spans="1:8" x14ac:dyDescent="0.3">
      <c r="A28" s="32" t="s">
        <v>57</v>
      </c>
      <c r="B28" s="33" t="s">
        <v>97</v>
      </c>
      <c r="D28" s="34" t="str">
        <f t="shared" si="0"/>
        <v/>
      </c>
      <c r="H28" s="35"/>
    </row>
    <row r="29" spans="1:8" x14ac:dyDescent="0.3">
      <c r="A29" s="32" t="s">
        <v>58</v>
      </c>
      <c r="B29" s="33" t="s">
        <v>98</v>
      </c>
      <c r="D29" s="34" t="str">
        <f t="shared" si="0"/>
        <v/>
      </c>
      <c r="H29" s="35"/>
    </row>
    <row r="30" spans="1:8" x14ac:dyDescent="0.3">
      <c r="A30" s="32" t="s">
        <v>59</v>
      </c>
      <c r="B30" s="33" t="s">
        <v>99</v>
      </c>
      <c r="D30" s="34" t="str">
        <f t="shared" si="0"/>
        <v/>
      </c>
      <c r="H30" s="35"/>
    </row>
    <row r="31" spans="1:8" x14ac:dyDescent="0.3">
      <c r="A31" s="32" t="s">
        <v>60</v>
      </c>
      <c r="B31" s="33" t="s">
        <v>100</v>
      </c>
      <c r="D31" s="34" t="str">
        <f t="shared" si="0"/>
        <v/>
      </c>
      <c r="H31" s="35"/>
    </row>
    <row r="32" spans="1:8" x14ac:dyDescent="0.3">
      <c r="A32" s="32" t="s">
        <v>61</v>
      </c>
      <c r="B32" s="33" t="s">
        <v>101</v>
      </c>
      <c r="D32" s="34" t="str">
        <f t="shared" si="0"/>
        <v/>
      </c>
      <c r="H32" s="35"/>
    </row>
    <row r="33" spans="1:8" x14ac:dyDescent="0.3">
      <c r="A33" s="32" t="s">
        <v>62</v>
      </c>
      <c r="B33" s="33" t="s">
        <v>102</v>
      </c>
      <c r="D33" s="34" t="str">
        <f t="shared" si="0"/>
        <v/>
      </c>
      <c r="H33" s="35"/>
    </row>
    <row r="34" spans="1:8" x14ac:dyDescent="0.3">
      <c r="A34" s="32" t="s">
        <v>63</v>
      </c>
      <c r="B34" s="33" t="s">
        <v>103</v>
      </c>
      <c r="D34" s="34" t="str">
        <f t="shared" si="0"/>
        <v/>
      </c>
      <c r="H34" s="35"/>
    </row>
    <row r="35" spans="1:8" x14ac:dyDescent="0.3">
      <c r="A35" s="32" t="s">
        <v>64</v>
      </c>
      <c r="B35" s="33" t="s">
        <v>104</v>
      </c>
      <c r="D35" s="34" t="str">
        <f t="shared" si="0"/>
        <v/>
      </c>
      <c r="H35" s="35"/>
    </row>
    <row r="36" spans="1:8" x14ac:dyDescent="0.3">
      <c r="A36" s="32" t="s">
        <v>65</v>
      </c>
      <c r="B36" s="33" t="s">
        <v>105</v>
      </c>
      <c r="D36" s="34" t="str">
        <f t="shared" si="0"/>
        <v/>
      </c>
      <c r="H36" s="35"/>
    </row>
    <row r="37" spans="1:8" x14ac:dyDescent="0.3">
      <c r="A37" s="32" t="s">
        <v>66</v>
      </c>
      <c r="B37" s="33" t="s">
        <v>106</v>
      </c>
      <c r="D37" s="34" t="str">
        <f t="shared" si="0"/>
        <v/>
      </c>
      <c r="H37" s="35"/>
    </row>
    <row r="38" spans="1:8" x14ac:dyDescent="0.3">
      <c r="A38" s="32" t="s">
        <v>67</v>
      </c>
      <c r="B38" s="33" t="s">
        <v>107</v>
      </c>
      <c r="D38" s="34" t="str">
        <f t="shared" si="0"/>
        <v/>
      </c>
      <c r="H38" s="35"/>
    </row>
    <row r="39" spans="1:8" x14ac:dyDescent="0.3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 x14ac:dyDescent="0.35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 x14ac:dyDescent="0.3">
      <c r="A41" s="32" t="s">
        <v>70</v>
      </c>
      <c r="B41" s="33" t="s">
        <v>110</v>
      </c>
    </row>
    <row r="42" spans="1:8" x14ac:dyDescent="0.3">
      <c r="A42" s="32" t="s">
        <v>71</v>
      </c>
      <c r="B42" s="33" t="s">
        <v>111</v>
      </c>
    </row>
    <row r="43" spans="1:8" x14ac:dyDescent="0.3">
      <c r="A43" s="32" t="s">
        <v>72</v>
      </c>
      <c r="B43" s="33" t="s">
        <v>112</v>
      </c>
    </row>
    <row r="44" spans="1:8" x14ac:dyDescent="0.3">
      <c r="A44" s="32" t="s">
        <v>73</v>
      </c>
      <c r="B44" s="33" t="s">
        <v>113</v>
      </c>
    </row>
    <row r="45" spans="1:8" x14ac:dyDescent="0.3">
      <c r="A45" s="32" t="s">
        <v>74</v>
      </c>
      <c r="B45" s="33" t="s">
        <v>114</v>
      </c>
    </row>
    <row r="46" spans="1:8" x14ac:dyDescent="0.3">
      <c r="A46" s="34" t="s">
        <v>192</v>
      </c>
      <c r="B46" s="35" t="s">
        <v>193</v>
      </c>
    </row>
    <row r="47" spans="1:8" x14ac:dyDescent="0.3">
      <c r="A47" s="34" t="s">
        <v>231</v>
      </c>
      <c r="B47" s="35" t="s">
        <v>232</v>
      </c>
    </row>
    <row r="48" spans="1:8" x14ac:dyDescent="0.3">
      <c r="A48" s="34"/>
      <c r="B48" s="35"/>
    </row>
    <row r="49" spans="1:2" x14ac:dyDescent="0.3">
      <c r="A49" s="34"/>
      <c r="B49" s="35"/>
    </row>
    <row r="50" spans="1:2" x14ac:dyDescent="0.3">
      <c r="A50" s="34"/>
      <c r="B50" s="35"/>
    </row>
    <row r="51" spans="1:2" x14ac:dyDescent="0.3">
      <c r="A51" s="34"/>
      <c r="B51" s="35"/>
    </row>
    <row r="52" spans="1:2" x14ac:dyDescent="0.3">
      <c r="A52" s="34"/>
      <c r="B52" s="35"/>
    </row>
    <row r="53" spans="1:2" x14ac:dyDescent="0.3">
      <c r="A53" s="34"/>
      <c r="B53" s="35"/>
    </row>
    <row r="54" spans="1:2" x14ac:dyDescent="0.3">
      <c r="A54" s="34"/>
      <c r="B54" s="35"/>
    </row>
    <row r="55" spans="1:2" x14ac:dyDescent="0.3">
      <c r="A55" s="34"/>
      <c r="B55" s="35"/>
    </row>
    <row r="56" spans="1:2" x14ac:dyDescent="0.3">
      <c r="A56" s="34"/>
      <c r="B56" s="35"/>
    </row>
    <row r="57" spans="1:2" x14ac:dyDescent="0.3">
      <c r="A57" s="34"/>
      <c r="B57" s="35"/>
    </row>
    <row r="58" spans="1:2" x14ac:dyDescent="0.3">
      <c r="A58" s="34"/>
      <c r="B58" s="35"/>
    </row>
    <row r="59" spans="1:2" x14ac:dyDescent="0.3">
      <c r="A59" s="34"/>
      <c r="B59" s="35"/>
    </row>
    <row r="60" spans="1:2" x14ac:dyDescent="0.3">
      <c r="A60" s="34"/>
      <c r="B60" s="35"/>
    </row>
    <row r="61" spans="1:2" x14ac:dyDescent="0.3">
      <c r="A61" s="34"/>
      <c r="B61" s="35"/>
    </row>
    <row r="62" spans="1:2" x14ac:dyDescent="0.3">
      <c r="A62" s="34"/>
      <c r="B62" s="35"/>
    </row>
    <row r="63" spans="1:2" x14ac:dyDescent="0.3">
      <c r="A63" s="34"/>
      <c r="B63" s="35"/>
    </row>
    <row r="64" spans="1:2" x14ac:dyDescent="0.3">
      <c r="A64" s="34"/>
      <c r="B64" s="35"/>
    </row>
    <row r="65" spans="1:2" x14ac:dyDescent="0.3">
      <c r="A65" s="34"/>
      <c r="B65" s="35"/>
    </row>
    <row r="66" spans="1:2" x14ac:dyDescent="0.3">
      <c r="A66" s="34"/>
      <c r="B66" s="35"/>
    </row>
    <row r="67" spans="1:2" x14ac:dyDescent="0.3">
      <c r="A67" s="34"/>
      <c r="B67" s="35"/>
    </row>
    <row r="68" spans="1:2" x14ac:dyDescent="0.3">
      <c r="A68" s="34"/>
      <c r="B68" s="35"/>
    </row>
    <row r="69" spans="1:2" x14ac:dyDescent="0.3">
      <c r="A69" s="34"/>
      <c r="B69" s="35"/>
    </row>
    <row r="70" spans="1:2" x14ac:dyDescent="0.3">
      <c r="A70" s="34"/>
      <c r="B70" s="35"/>
    </row>
    <row r="71" spans="1:2" x14ac:dyDescent="0.3">
      <c r="A71" s="34"/>
      <c r="B71" s="35"/>
    </row>
    <row r="72" spans="1:2" x14ac:dyDescent="0.3">
      <c r="A72" s="34"/>
      <c r="B72" s="35"/>
    </row>
    <row r="73" spans="1:2" x14ac:dyDescent="0.3">
      <c r="A73" s="34"/>
      <c r="B73" s="35"/>
    </row>
    <row r="74" spans="1:2" x14ac:dyDescent="0.3">
      <c r="A74" s="34"/>
      <c r="B74" s="35"/>
    </row>
    <row r="75" spans="1:2" x14ac:dyDescent="0.3">
      <c r="A75" s="34"/>
      <c r="B75" s="35"/>
    </row>
    <row r="76" spans="1:2" x14ac:dyDescent="0.3">
      <c r="A76" s="34"/>
      <c r="B76" s="35"/>
    </row>
    <row r="77" spans="1:2" x14ac:dyDescent="0.3">
      <c r="A77" s="34"/>
      <c r="B77" s="35"/>
    </row>
    <row r="78" spans="1:2" x14ac:dyDescent="0.3">
      <c r="A78" s="34"/>
      <c r="B78" s="35"/>
    </row>
    <row r="79" spans="1:2" x14ac:dyDescent="0.3">
      <c r="A79" s="34"/>
      <c r="B79" s="35"/>
    </row>
    <row r="80" spans="1:2" x14ac:dyDescent="0.3">
      <c r="A80" s="34"/>
      <c r="B80" s="35"/>
    </row>
    <row r="81" spans="1:2" x14ac:dyDescent="0.3">
      <c r="A81" s="34"/>
      <c r="B81" s="35"/>
    </row>
    <row r="82" spans="1:2" x14ac:dyDescent="0.3">
      <c r="A82" s="34"/>
      <c r="B82" s="35"/>
    </row>
    <row r="83" spans="1:2" x14ac:dyDescent="0.3">
      <c r="A83" s="34"/>
      <c r="B83" s="35"/>
    </row>
    <row r="84" spans="1:2" x14ac:dyDescent="0.3">
      <c r="A84" s="34"/>
      <c r="B84" s="35"/>
    </row>
    <row r="85" spans="1:2" x14ac:dyDescent="0.3">
      <c r="A85" s="34"/>
      <c r="B85" s="35"/>
    </row>
    <row r="86" spans="1:2" x14ac:dyDescent="0.3">
      <c r="A86" s="34"/>
      <c r="B86" s="35"/>
    </row>
    <row r="87" spans="1:2" x14ac:dyDescent="0.3">
      <c r="A87" s="34"/>
      <c r="B87" s="35"/>
    </row>
    <row r="88" spans="1:2" x14ac:dyDescent="0.3">
      <c r="A88" s="34"/>
      <c r="B88" s="35"/>
    </row>
    <row r="89" spans="1:2" x14ac:dyDescent="0.3">
      <c r="A89" s="34"/>
      <c r="B89" s="35"/>
    </row>
    <row r="90" spans="1:2" x14ac:dyDescent="0.3">
      <c r="A90" s="34"/>
      <c r="B90" s="35"/>
    </row>
    <row r="91" spans="1:2" x14ac:dyDescent="0.3">
      <c r="A91" s="34"/>
      <c r="B91" s="35"/>
    </row>
    <row r="92" spans="1:2" x14ac:dyDescent="0.3">
      <c r="A92" s="34"/>
      <c r="B92" s="35"/>
    </row>
    <row r="93" spans="1:2" x14ac:dyDescent="0.3">
      <c r="A93" s="34"/>
      <c r="B93" s="35"/>
    </row>
    <row r="94" spans="1:2" x14ac:dyDescent="0.3">
      <c r="A94" s="34"/>
      <c r="B94" s="35"/>
    </row>
    <row r="95" spans="1:2" x14ac:dyDescent="0.3">
      <c r="A95" s="34"/>
      <c r="B95" s="35"/>
    </row>
    <row r="96" spans="1:2" x14ac:dyDescent="0.3">
      <c r="A96" s="34"/>
      <c r="B96" s="35"/>
    </row>
    <row r="97" spans="1:2" x14ac:dyDescent="0.3">
      <c r="A97" s="34"/>
      <c r="B97" s="35"/>
    </row>
    <row r="98" spans="1:2" x14ac:dyDescent="0.3">
      <c r="A98" s="34"/>
      <c r="B98" s="35"/>
    </row>
    <row r="99" spans="1:2" x14ac:dyDescent="0.3">
      <c r="A99" s="34"/>
      <c r="B99" s="35"/>
    </row>
    <row r="100" spans="1:2" x14ac:dyDescent="0.3">
      <c r="A100" s="34"/>
      <c r="B100" s="35"/>
    </row>
    <row r="101" spans="1:2" x14ac:dyDescent="0.3">
      <c r="A101" s="34"/>
      <c r="B101" s="35"/>
    </row>
    <row r="102" spans="1:2" x14ac:dyDescent="0.3">
      <c r="A102" s="34"/>
      <c r="B102" s="35"/>
    </row>
    <row r="103" spans="1:2" x14ac:dyDescent="0.3">
      <c r="A103" s="34"/>
      <c r="B103" s="35"/>
    </row>
    <row r="104" spans="1:2" ht="17.25" thickBot="1" x14ac:dyDescent="0.35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2026-06-25T00:51:47Z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
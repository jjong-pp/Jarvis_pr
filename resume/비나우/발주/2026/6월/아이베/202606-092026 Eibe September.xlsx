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6월\아이베\"/>
    </mc:Choice>
  </mc:AlternateContent>
  <xr:revisionPtr revIDLastSave="0" documentId="13_ncr:1_{FABA90E1-3FCD-4002-A551-AD466144F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<sst xmlns="http://schemas.openxmlformats.org/spreadsheetml/2006/main" count="295" uniqueCount="242">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</sst>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  <numFmt numFmtId="187" formatCode="_-* #,##0.00_-;\-* #,##0.0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7" fontId="7" fillId="17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0" zoomScale="85" zoomScaleNormal="85" workbookViewId="0">
      <selection activeCell="K22" sqref="K22"/>
    </sheetView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>
        <v>22</v>
      </c>
      <c r="I19" s="27">
        <f>H19*G19</f>
        <v>3168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>H20*G20</f>
        <v>0</v>
      </c>
      <c r="J20" s="57">
        <f t="shared" ref="J20" si="2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88"/>
      <c r="I21" s="27">
        <f>H21*G21</f>
        <v>0</v>
      </c>
      <c r="J21" s="57">
        <f t="shared" ref="J21:J24" si="3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153</v>
      </c>
      <c r="I22" s="27">
        <f t="shared" ref="I22:I23" si="4">H22*G22</f>
        <v>14688</v>
      </c>
      <c r="J22" s="57">
        <f t="shared" si="3"/>
        <v>74</v>
      </c>
      <c r="K22" s="51">
        <v>7104</v>
      </c>
      <c r="M22" s="1">
        <f t="shared" ref="M22:M24" si="5">K22*7</f>
        <v>49728</v>
      </c>
      <c r="N22" s="84" t="s">
        <v>234</v>
      </c>
      <c r="O22" s="59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80</v>
      </c>
      <c r="I23" s="27">
        <f t="shared" si="4"/>
        <v>7680</v>
      </c>
      <c r="J23" s="57">
        <f t="shared" si="3"/>
        <v>29</v>
      </c>
      <c r="K23" s="51">
        <v>2784</v>
      </c>
      <c r="M23" s="1">
        <f t="shared" si="5"/>
        <v>19488</v>
      </c>
      <c r="N23" s="84" t="s">
        <v>235</v>
      </c>
      <c r="O23" s="59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25</v>
      </c>
      <c r="I24" s="27">
        <f>H24*G24</f>
        <v>2400</v>
      </c>
      <c r="J24" s="57">
        <f t="shared" si="3"/>
        <v>11</v>
      </c>
      <c r="K24" s="51">
        <v>1056</v>
      </c>
      <c r="L24"/>
      <c r="M24" s="1">
        <f t="shared" si="5"/>
        <v>7392</v>
      </c>
      <c r="N24" s="84" t="s">
        <v>236</v>
      </c>
      <c r="O24" s="59" t="s">
        <v>198</v>
      </c>
    </row>
    <row r="25" spans="1:18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/>
      <c r="N25" s="84" t="s">
        <v>209</v>
      </c>
      <c r="O25" s="87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0</v>
      </c>
      <c r="K27" s="91"/>
      <c r="L27" s="13"/>
      <c r="M27" s="1">
        <f t="shared" si="7"/>
        <v>0</v>
      </c>
      <c r="N27" s="87"/>
      <c r="O27" s="87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94">
        <f t="shared" si="6"/>
        <v>0</v>
      </c>
      <c r="K28" s="91"/>
      <c r="M28" s="1">
        <f t="shared" si="7"/>
        <v>0</v>
      </c>
      <c r="N28" s="56"/>
      <c r="O28" s="87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94">
        <f t="shared" si="6"/>
        <v>0</v>
      </c>
      <c r="K29" s="91"/>
      <c r="M29" s="1">
        <f t="shared" ref="M29:M31" si="9">K29*7</f>
        <v>0</v>
      </c>
      <c r="N29" s="56"/>
      <c r="O29" s="87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94">
        <f t="shared" si="6"/>
        <v>0</v>
      </c>
      <c r="K30" s="91"/>
      <c r="M30" s="1">
        <f t="shared" si="9"/>
        <v>0</v>
      </c>
      <c r="N30" s="84" t="s">
        <v>229</v>
      </c>
      <c r="O30" s="87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94">
        <f t="shared" si="6"/>
        <v>0</v>
      </c>
      <c r="K31" s="91"/>
      <c r="L31"/>
      <c r="M31" s="1">
        <f t="shared" si="9"/>
        <v>0</v>
      </c>
      <c r="N31" s="56"/>
      <c r="O31" s="87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94">
        <f t="shared" si="6"/>
        <v>8.8888888888888889E-3</v>
      </c>
      <c r="K32" s="91">
        <v>2</v>
      </c>
      <c r="M32" s="1">
        <f t="shared" ref="M32" si="11">K32*4</f>
        <v>8</v>
      </c>
      <c r="O32" s="87" t="s">
        <v>228</v>
      </c>
      <c r="R32" s="55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94">
        <f t="shared" si="6"/>
        <v>0</v>
      </c>
      <c r="K33" s="91"/>
      <c r="L33" s="14"/>
      <c r="M33" s="14">
        <f t="shared" ref="M33" si="12">K33*7</f>
        <v>0</v>
      </c>
      <c r="O33" s="87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94">
        <f t="shared" si="6"/>
        <v>0</v>
      </c>
      <c r="K34" s="91"/>
      <c r="M34" s="1">
        <f>K34*5</f>
        <v>0</v>
      </c>
      <c r="O34" s="87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94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94">
        <f t="shared" si="6"/>
        <v>1.3510204081632653</v>
      </c>
      <c r="K36" s="91">
        <v>331</v>
      </c>
      <c r="M36" s="1">
        <f t="shared" si="13"/>
        <v>1324</v>
      </c>
      <c r="N36" s="84" t="s">
        <v>230</v>
      </c>
      <c r="O36" s="87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94">
        <f t="shared" si="6"/>
        <v>0</v>
      </c>
      <c r="K37" s="91"/>
      <c r="M37" s="1">
        <f t="shared" si="13"/>
        <v>0</v>
      </c>
      <c r="O37" s="87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94">
        <f t="shared" si="6"/>
        <v>1.8518518518518517E-2</v>
      </c>
      <c r="K38" s="91">
        <v>2</v>
      </c>
      <c r="M38" s="1">
        <f t="shared" si="13"/>
        <v>8</v>
      </c>
      <c r="O38" s="87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94">
        <f t="shared" si="6"/>
        <v>0</v>
      </c>
      <c r="K39" s="91"/>
      <c r="M39" s="1">
        <f t="shared" si="13"/>
        <v>0</v>
      </c>
      <c r="O39" s="87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94">
        <f t="shared" si="6"/>
        <v>0</v>
      </c>
      <c r="K40" s="91"/>
      <c r="O40" s="87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94">
        <f t="shared" si="6"/>
        <v>0</v>
      </c>
      <c r="K41" s="91"/>
      <c r="M41" s="1">
        <f t="shared" ref="M41" si="15">K41*7</f>
        <v>0</v>
      </c>
      <c r="O41" s="87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1.8055555555555556</v>
      </c>
      <c r="K42" s="91">
        <v>130</v>
      </c>
      <c r="M42" s="1">
        <f>K42*5</f>
        <v>650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/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2026-06-25T00:47:20Z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
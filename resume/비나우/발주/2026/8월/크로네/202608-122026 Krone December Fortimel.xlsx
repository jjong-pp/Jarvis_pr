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7월\크로네\"/>
    </mc:Choice>
  </mc:AlternateContent>
  <xr:revisionPtr revIDLastSave="0" documentId="13_ncr:1_{3BAD7E66-8976-476A-BEF5-BF1E69D245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Order!$A$18:$M$36</definedName>
    <definedName name="ExactAddinConnection" hidden="1">"001"</definedName>
    <definedName name="ExactAddinConnection.001" hidden="1">"WFRPARNLB062.nead.danet\\EXACTPROD;001;kanaievi;1"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Order!$A$1:$K$39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J34" i="1"/>
  <c r="J33" i="1"/>
  <c r="J35" i="1" l="1"/>
  <c r="J36" i="1"/>
  <c r="I33" i="1" l="1"/>
  <c r="I34" i="1"/>
  <c r="I35" i="1"/>
  <c r="I36" i="1"/>
  <c r="I32" i="1"/>
  <c r="J32" i="1"/>
  <c r="I31" i="1"/>
  <c r="J31" i="1"/>
  <c r="I30" i="1"/>
  <c r="J30" i="1"/>
  <c r="I29" i="1"/>
  <c r="J29" i="1"/>
  <c r="J28" i="1" l="1"/>
  <c r="I28" i="1"/>
  <c r="J27" i="1"/>
  <c r="I27" i="1"/>
  <c r="F27" i="1"/>
  <c r="E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<sst xmlns="http://schemas.openxmlformats.org/spreadsheetml/2006/main" count="284" uniqueCount="256">
  <si>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</si>
  <si>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</si>
  <si>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</si>
  <si>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</si>
  <si>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</si>
  <si>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</si>
  <si>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</si>
  <si>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</si>
  <si>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</si>
  <si>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</si>
  <si>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</si>
  <si>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</si>
  <si>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</si>
  <si>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</si>
  <si>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</si>
  <si>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</si>
  <si>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</si>
  <si>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</si>
  <si>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</si>
  <si>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</si>
  <si>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</si>
  <si>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</si>
  <si>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</si>
  <si>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</si>
  <si>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</si>
  <si>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</si>
  <si>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</si>
  <si>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</si>
  <si>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</si>
  <si>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</si>
  <si>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</si>
  <si>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</si>
  <si>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</si>
  <si>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</si>
  <si>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</si>
  <si>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</si>
  <si>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</si>
  <si>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</si>
  <si>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</si>
  <si>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</si>
  <si>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</si>
  <si>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</si>
  <si>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</si>
  <si>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</si>
  <si>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</si>
  <si>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</si>
  <si>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</si>
  <si>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</si>
  <si>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</si>
  <si>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</si>
  <si>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</si>
  <si>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</si>
  <si>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</si>
  <si>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</si>
  <si>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</si>
  <si>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</si>
  <si>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</si>
  <si>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</si>
  <si>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</si>
  <si>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</si>
  <si>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</si>
  <si>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</si>
  <si>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</si>
  <si>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</si>
  <si>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</si>
  <si>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</si>
  <si>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</si>
  <si>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</si>
  <si>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</si>
  <si>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</si>
  <si>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</si>
  <si>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</si>
  <si>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</si>
  <si>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</si>
  <si>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</si>
  <si>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</si>
  <si>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</si>
  <si>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</si>
  <si>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</si>
  <si>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</si>
  <si>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</si>
  <si>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</si>
  <si>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</si>
  <si>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</si>
  <si>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</si>
  <si>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</si>
  <si>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</si>
  <si>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</si>
  <si>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</si>
  <si>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</si>
  <si>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</si>
  <si>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</si>
  <si>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</si>
  <si>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</si>
  <si>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</si>
  <si>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</si>
  <si>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</si>
  <si>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</si>
  <si>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</si>
  <si>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</si>
  <si>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</si>
  <si>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</si>
  <si>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</si>
  <si>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</si>
  <si>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</si>
  <si>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</si>
  <si>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</si>
  <si>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</si>
  <si>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</si>
  <si>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</si>
  <si>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</si>
  <si>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</si>
  <si>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</si>
  <si>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</si>
  <si>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</si>
  <si>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</si>
  <si>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</si>
  <si>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</si>
  <si>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</si>
  <si>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</si>
  <si>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</si>
  <si>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</si>
  <si>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</si>
  <si>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</si>
  <si>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</si>
  <si>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</si>
  <si>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</si>
  <si>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</si>
  <si>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</si>
  <si>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</si>
  <si>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</si>
  <si>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</si>
  <si>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</si>
  <si>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</si>
  <si>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</si>
  <si>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</si>
  <si>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</si>
  <si>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</si>
  <si>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</si>
  <si>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</si>
  <si>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</si>
  <si>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</si>
  <si>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</si>
  <si>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</si>
  <si>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</si>
  <si>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</si>
  <si>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</si>
  <si>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</si>
  <si>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</si>
  <si>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</si>
  <si>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</si>
  <si>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</si>
  <si>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</si>
  <si>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</si>
  <si>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</si>
  <si>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</si>
  <si>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</si>
  <si>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</si>
  <si>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</si>
  <si>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</si>
  <si>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</si>
  <si>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</si>
  <si>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</si>
  <si>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</si>
  <si>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</si>
  <si>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</si>
  <si>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</si>
  <si>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</si>
  <si>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</si>
  <si>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</si>
  <si>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</si>
  <si>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</si>
  <si>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</si>
  <si>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</si>
  <si>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</si>
  <si>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</si>
  <si>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</si>
  <si>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</si>
  <si>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</si>
  <si>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</si>
  <si>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</si>
  <si>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</si>
  <si>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</si>
  <si>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</si>
  <si>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</si>
  <si>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</si>
  <si>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</si>
  <si>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</si>
  <si>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</si>
  <si>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</si>
  <si>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</si>
  <si>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</si>
  <si>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</si>
  <si>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</si>
  <si>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</si>
  <si>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</si>
  <si>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</si>
  <si>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</si>
  <si>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</si>
  <si>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</si>
  <si>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</si>
  <si>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</si>
  <si>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</si>
  <si>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</si>
  <si>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</si>
  <si>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</si>
  <si>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</si>
  <si>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</si>
  <si>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</si>
  <si>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</si>
  <si>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</si>
  <si>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</si>
  <si>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</si>
  <si>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</si>
  <si>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</si>
  <si>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</si>
  <si>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</si>
  <si>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</si>
  <si>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</si>
  <si>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</si>
  <si>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</si>
  <si>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</si>
  <si>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</si>
  <si>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</si>
  <si>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</si>
  <si>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</si>
  <si>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</si>
  <si>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</si>
  <si>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</si>
  <si>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</si>
  <si>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</si>
  <si>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</si>
  <si>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</si>
  <si>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</si>
  <si>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</si>
  <si>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</si>
  <si>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</si>
  <si>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</si>
  <si>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</si>
  <si>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</si>
  <si>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</si>
  <si>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</si>
  <si>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</si>
  <si>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</si>
  <si>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</si>
  <si>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</si>
  <si>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</si>
  <si>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</si>
  <si>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</si>
  <si>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OD</t>
  </si>
  <si>
    <t>OLENA DIDKIVSKA</t>
  </si>
  <si>
    <t>2026</t>
  </si>
  <si>
    <t>30</t>
  </si>
  <si>
    <t>10</t>
  </si>
  <si>
    <t>October</t>
  </si>
  <si>
    <t>W/F/10/2026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</si>
</sst>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1" fillId="0" borderId="1" xfId="0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0" fontId="7" fillId="5" borderId="2" xfId="1" applyNumberFormat="1" applyFont="1" applyFill="1" applyBorder="1" applyAlignment="1"/>
    <xf numFmtId="0" fontId="25" fillId="16" borderId="1" xfId="0" applyFont="1" applyFill="1" applyBorder="1"/>
    <xf numFmtId="41" fontId="26" fillId="17" borderId="2" xfId="1" applyFont="1" applyFill="1" applyBorder="1" applyAlignment="1"/>
    <xf numFmtId="186" fontId="7" fillId="17" borderId="2" xfId="1" applyNumberFormat="1" applyFont="1" applyFill="1" applyBorder="1" applyAlignment="1"/>
    <xf numFmtId="0" fontId="7" fillId="17" borderId="2" xfId="1" applyNumberFormat="1" applyFont="1" applyFill="1" applyBorder="1" applyAlignment="1"/>
    <xf numFmtId="41" fontId="13" fillId="17" borderId="2" xfId="1" applyFont="1" applyFill="1" applyBorder="1" applyAlignmen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6"/>
  <sheetViews>
    <sheetView tabSelected="1" zoomScaleNormal="100" workbookViewId="0"/>
  </sheetViews>
  <sheetFormatPr defaultColWidth="9.125" defaultRowHeight="16.5" x14ac:dyDescent="0.3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17" style="1" customWidth="1"/>
    <col min="15" max="15" width="12.125" style="1" bestFit="1" customWidth="1"/>
    <col min="16" max="16" width="14.125" style="50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 x14ac:dyDescent="0.3">
      <c r="A1" s="26" t="s">
        <v>236</v>
      </c>
      <c r="B1" s="17"/>
    </row>
    <row r="2" spans="1:3" x14ac:dyDescent="0.3">
      <c r="A2" s="34" t="s">
        <v>28</v>
      </c>
      <c r="B2" s="34" t="s">
        <v>186</v>
      </c>
    </row>
    <row r="3" spans="1:3" x14ac:dyDescent="0.3">
      <c r="A3" s="2" t="s">
        <v>0</v>
      </c>
      <c r="B3" s="59">
        <v>72852</v>
      </c>
    </row>
    <row r="4" spans="1:3" x14ac:dyDescent="0.3">
      <c r="A4" s="2" t="s">
        <v>16</v>
      </c>
      <c r="B4" s="18" t="s">
        <v>17</v>
      </c>
    </row>
    <row r="5" spans="1:3" x14ac:dyDescent="0.3">
      <c r="A5" s="2" t="s">
        <v>30</v>
      </c>
      <c r="B5" s="71" t="s">
        <v>252</v>
      </c>
    </row>
    <row r="6" spans="1:3" x14ac:dyDescent="0.3">
      <c r="A6" s="2" t="s">
        <v>237</v>
      </c>
      <c r="B6" s="71" t="s">
        <v>253</v>
      </c>
    </row>
    <row r="7" spans="1:3" x14ac:dyDescent="0.3">
      <c r="A7" s="2" t="s">
        <v>238</v>
      </c>
      <c r="B7" s="71" t="s">
        <v>251</v>
      </c>
    </row>
    <row r="8" spans="1:3" x14ac:dyDescent="0.3">
      <c r="A8" s="2" t="s">
        <v>1</v>
      </c>
      <c r="B8" s="16" t="s">
        <v>254</v>
      </c>
      <c r="C8" s="9"/>
    </row>
    <row r="9" spans="1:3" x14ac:dyDescent="0.3">
      <c r="A9" s="2" t="s">
        <v>2</v>
      </c>
      <c r="B9" s="18" t="s">
        <v>255</v>
      </c>
      <c r="C9"/>
    </row>
    <row r="10" spans="1:3" x14ac:dyDescent="0.3">
      <c r="A10" s="2" t="s">
        <v>3</v>
      </c>
      <c r="B10" s="19" t="s">
        <v>12</v>
      </c>
    </row>
    <row r="11" spans="1:3" x14ac:dyDescent="0.3">
      <c r="A11" s="2" t="s">
        <v>4</v>
      </c>
      <c r="B11" s="20" t="s">
        <v>24</v>
      </c>
    </row>
    <row r="12" spans="1:3" x14ac:dyDescent="0.3">
      <c r="A12" s="2" t="s">
        <v>5</v>
      </c>
      <c r="B12" s="19" t="s">
        <v>18</v>
      </c>
    </row>
    <row r="13" spans="1:3" x14ac:dyDescent="0.3">
      <c r="A13" s="2" t="s">
        <v>11</v>
      </c>
      <c r="B13" s="15" t="s">
        <v>25</v>
      </c>
    </row>
    <row r="14" spans="1:3" x14ac:dyDescent="0.3">
      <c r="A14" s="10" t="s">
        <v>15</v>
      </c>
      <c r="B14" s="24">
        <v>1</v>
      </c>
    </row>
    <row r="15" spans="1:3" x14ac:dyDescent="0.3">
      <c r="A15" s="10" t="s">
        <v>21</v>
      </c>
      <c r="B15" s="23">
        <v>1</v>
      </c>
      <c r="C15"/>
    </row>
    <row r="16" spans="1:3" x14ac:dyDescent="0.3">
      <c r="A16" s="11"/>
    </row>
    <row r="17" spans="1:19" ht="17.25" thickBot="1" x14ac:dyDescent="0.35"/>
    <row r="18" spans="1:19" ht="63" customHeight="1" thickBot="1" x14ac:dyDescent="0.35">
      <c r="A18" s="4" t="s">
        <v>7</v>
      </c>
      <c r="B18" s="5" t="s">
        <v>6</v>
      </c>
      <c r="C18" s="5" t="s">
        <v>22</v>
      </c>
      <c r="D18" s="27" t="s">
        <v>23</v>
      </c>
      <c r="E18" s="39" t="s">
        <v>31</v>
      </c>
      <c r="F18" s="39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2" t="s">
        <v>243</v>
      </c>
      <c r="O18" s="53" t="s">
        <v>195</v>
      </c>
      <c r="P18" s="54" t="s">
        <v>196</v>
      </c>
      <c r="Q18" s="54" t="s">
        <v>197</v>
      </c>
      <c r="R18" s="54" t="s">
        <v>198</v>
      </c>
      <c r="S18" s="54" t="s">
        <v>199</v>
      </c>
    </row>
    <row r="19" spans="1:19" ht="17.25" hidden="1" thickBot="1" x14ac:dyDescent="0.35">
      <c r="A19" s="15">
        <v>677044</v>
      </c>
      <c r="B19" s="15" t="s">
        <v>188</v>
      </c>
      <c r="C19" s="63">
        <v>800</v>
      </c>
      <c r="D19" s="63" t="s">
        <v>173</v>
      </c>
      <c r="E19" s="68" t="str">
        <f>VLOOKUP($D19,'Lookup info'!$D:$H,2,FALSE)</f>
        <v>0120</v>
      </c>
      <c r="F19" s="68" t="str">
        <f>VLOOKUP($D19,'Lookup info'!$D:$H,5,FALSE)</f>
        <v>F</v>
      </c>
      <c r="G19" s="64">
        <v>96</v>
      </c>
      <c r="H19" s="77"/>
      <c r="I19" s="77">
        <f>H19*G19</f>
        <v>0</v>
      </c>
      <c r="J19" s="75">
        <f t="shared" ref="J19:J25" si="0">IF(G19="","",K19/G19)</f>
        <v>0</v>
      </c>
      <c r="K19" s="76"/>
      <c r="L19" s="11"/>
      <c r="M19" s="1">
        <f t="shared" ref="M19:M21" si="1">K19*24</f>
        <v>0</v>
      </c>
      <c r="O19" s="78" t="s">
        <v>200</v>
      </c>
      <c r="P19" s="55" t="s">
        <v>201</v>
      </c>
      <c r="Q19" s="56" t="s">
        <v>202</v>
      </c>
      <c r="R19" s="56" t="s">
        <v>203</v>
      </c>
      <c r="S19" s="60" t="s">
        <v>204</v>
      </c>
    </row>
    <row r="20" spans="1:19" ht="17.25" hidden="1" thickBot="1" x14ac:dyDescent="0.35">
      <c r="A20" s="15">
        <v>677045</v>
      </c>
      <c r="B20" s="15" t="s">
        <v>189</v>
      </c>
      <c r="C20" s="63">
        <v>800</v>
      </c>
      <c r="D20" s="63" t="s">
        <v>173</v>
      </c>
      <c r="E20" s="68" t="str">
        <f>VLOOKUP($D20,'Lookup info'!$D:$H,2,FALSE)</f>
        <v>0120</v>
      </c>
      <c r="F20" s="68" t="str">
        <f>VLOOKUP($D20,'Lookup info'!$D:$H,5,FALSE)</f>
        <v>F</v>
      </c>
      <c r="G20" s="64">
        <v>96</v>
      </c>
      <c r="H20" s="77"/>
      <c r="I20" s="77">
        <f t="shared" ref="I20:I25" si="2">H20*G20</f>
        <v>0</v>
      </c>
      <c r="J20" s="75">
        <f t="shared" si="0"/>
        <v>0</v>
      </c>
      <c r="K20" s="76"/>
      <c r="L20" s="13"/>
      <c r="M20" s="1">
        <f t="shared" si="1"/>
        <v>0</v>
      </c>
      <c r="O20" s="79"/>
      <c r="P20" s="55" t="s">
        <v>205</v>
      </c>
      <c r="Q20" s="56" t="s">
        <v>206</v>
      </c>
      <c r="R20" s="56" t="s">
        <v>207</v>
      </c>
      <c r="S20" s="60" t="s">
        <v>208</v>
      </c>
    </row>
    <row r="21" spans="1:19" ht="17.25" hidden="1" thickBot="1" x14ac:dyDescent="0.35">
      <c r="A21" s="15">
        <v>677047</v>
      </c>
      <c r="B21" s="15" t="s">
        <v>190</v>
      </c>
      <c r="C21" s="63">
        <v>800</v>
      </c>
      <c r="D21" s="63" t="s">
        <v>173</v>
      </c>
      <c r="E21" s="68" t="str">
        <f>VLOOKUP($D21,'Lookup info'!$D:$H,2,FALSE)</f>
        <v>0120</v>
      </c>
      <c r="F21" s="68" t="str">
        <f>VLOOKUP($D21,'Lookup info'!$D:$H,5,FALSE)</f>
        <v>F</v>
      </c>
      <c r="G21" s="64">
        <v>96</v>
      </c>
      <c r="H21" s="77"/>
      <c r="I21" s="77">
        <f t="shared" si="2"/>
        <v>0</v>
      </c>
      <c r="J21" s="75">
        <f t="shared" si="0"/>
        <v>0</v>
      </c>
      <c r="K21" s="76"/>
      <c r="M21" s="1">
        <f t="shared" si="1"/>
        <v>0</v>
      </c>
      <c r="O21" s="79"/>
      <c r="P21" s="55" t="s">
        <v>209</v>
      </c>
      <c r="Q21" s="56" t="s">
        <v>210</v>
      </c>
      <c r="R21" s="56" t="s">
        <v>211</v>
      </c>
      <c r="S21" s="60" t="s">
        <v>212</v>
      </c>
    </row>
    <row r="22" spans="1:19" ht="17.25" hidden="1" thickBot="1" x14ac:dyDescent="0.35">
      <c r="A22" s="15">
        <v>708117</v>
      </c>
      <c r="B22" s="15" t="s">
        <v>191</v>
      </c>
      <c r="C22" s="63">
        <v>800</v>
      </c>
      <c r="D22" s="63" t="s">
        <v>169</v>
      </c>
      <c r="E22" s="68" t="str">
        <f>VLOOKUP($D22,'Lookup info'!$D:$H,2,FALSE)</f>
        <v>0023</v>
      </c>
      <c r="F22" s="68" t="str">
        <f>VLOOKUP($D22,'Lookup info'!$D:$H,5,FALSE)</f>
        <v>W</v>
      </c>
      <c r="G22" s="64">
        <v>45</v>
      </c>
      <c r="H22" s="77"/>
      <c r="I22" s="77">
        <f t="shared" si="2"/>
        <v>0</v>
      </c>
      <c r="J22" s="75">
        <f t="shared" si="0"/>
        <v>0</v>
      </c>
      <c r="K22" s="76"/>
      <c r="M22" s="1">
        <f t="shared" ref="M22:M24" si="3">K22*7</f>
        <v>0</v>
      </c>
      <c r="O22" s="79"/>
      <c r="P22" s="55" t="s">
        <v>213</v>
      </c>
      <c r="Q22" s="56" t="s">
        <v>214</v>
      </c>
      <c r="R22" s="56" t="s">
        <v>215</v>
      </c>
      <c r="S22" s="60" t="s">
        <v>216</v>
      </c>
    </row>
    <row r="23" spans="1:19" ht="17.25" hidden="1" thickBot="1" x14ac:dyDescent="0.35">
      <c r="A23" s="15">
        <v>708111</v>
      </c>
      <c r="B23" s="15" t="s">
        <v>192</v>
      </c>
      <c r="C23" s="63">
        <v>800</v>
      </c>
      <c r="D23" s="63" t="s">
        <v>169</v>
      </c>
      <c r="E23" s="68" t="str">
        <f>VLOOKUP($D23,'Lookup info'!$D:$H,2,FALSE)</f>
        <v>0023</v>
      </c>
      <c r="F23" s="68" t="str">
        <f>VLOOKUP($D23,'Lookup info'!$D:$H,5,FALSE)</f>
        <v>W</v>
      </c>
      <c r="G23" s="64">
        <v>45</v>
      </c>
      <c r="H23" s="77"/>
      <c r="I23" s="77">
        <f t="shared" si="2"/>
        <v>0</v>
      </c>
      <c r="J23" s="75">
        <f t="shared" si="0"/>
        <v>0</v>
      </c>
      <c r="K23" s="76"/>
      <c r="M23" s="1">
        <f t="shared" si="3"/>
        <v>0</v>
      </c>
      <c r="O23" s="80"/>
      <c r="P23" s="55" t="s">
        <v>217</v>
      </c>
      <c r="Q23" s="56" t="s">
        <v>218</v>
      </c>
      <c r="R23" s="56" t="s">
        <v>219</v>
      </c>
      <c r="S23" s="60" t="s">
        <v>220</v>
      </c>
    </row>
    <row r="24" spans="1:19" ht="17.25" hidden="1" thickBot="1" x14ac:dyDescent="0.35">
      <c r="A24" s="16">
        <v>708112</v>
      </c>
      <c r="B24" s="16" t="s">
        <v>193</v>
      </c>
      <c r="C24" s="65">
        <v>800</v>
      </c>
      <c r="D24" s="65" t="s">
        <v>169</v>
      </c>
      <c r="E24" s="68" t="str">
        <f>VLOOKUP($D24,'Lookup info'!$D:$H,2,FALSE)</f>
        <v>0023</v>
      </c>
      <c r="F24" s="68" t="str">
        <f>VLOOKUP($D24,'Lookup info'!$D:$H,5,FALSE)</f>
        <v>W</v>
      </c>
      <c r="G24" s="64">
        <v>45</v>
      </c>
      <c r="H24" s="77"/>
      <c r="I24" s="77">
        <f t="shared" si="2"/>
        <v>0</v>
      </c>
      <c r="J24" s="75">
        <f t="shared" si="0"/>
        <v>0</v>
      </c>
      <c r="K24" s="76"/>
      <c r="L24"/>
      <c r="M24" s="1">
        <f t="shared" si="3"/>
        <v>0</v>
      </c>
      <c r="O24" s="78" t="s">
        <v>221</v>
      </c>
      <c r="P24" s="57" t="s">
        <v>222</v>
      </c>
      <c r="Q24" s="56" t="s">
        <v>231</v>
      </c>
      <c r="R24" s="56" t="s">
        <v>232</v>
      </c>
      <c r="S24" s="56" t="s">
        <v>220</v>
      </c>
    </row>
    <row r="25" spans="1:19" ht="17.25" hidden="1" thickBot="1" x14ac:dyDescent="0.35">
      <c r="A25" s="16">
        <v>708113</v>
      </c>
      <c r="B25" s="16" t="s">
        <v>194</v>
      </c>
      <c r="C25" s="65">
        <v>800</v>
      </c>
      <c r="D25" s="65" t="s">
        <v>169</v>
      </c>
      <c r="E25" s="68" t="str">
        <f>VLOOKUP($D25,'Lookup info'!$D:$H,2,FALSE)</f>
        <v>0023</v>
      </c>
      <c r="F25" s="68" t="str">
        <f>VLOOKUP($D25,'Lookup info'!$D:$H,5,FALSE)</f>
        <v>W</v>
      </c>
      <c r="G25" s="64">
        <v>45</v>
      </c>
      <c r="H25" s="77"/>
      <c r="I25" s="77">
        <f t="shared" si="2"/>
        <v>0</v>
      </c>
      <c r="J25" s="75">
        <f t="shared" si="0"/>
        <v>0</v>
      </c>
      <c r="K25" s="76"/>
      <c r="L25"/>
      <c r="O25" s="79"/>
      <c r="P25" s="57" t="s">
        <v>223</v>
      </c>
      <c r="Q25" s="56" t="s">
        <v>231</v>
      </c>
      <c r="R25" s="56" t="s">
        <v>232</v>
      </c>
      <c r="S25" s="56" t="s">
        <v>220</v>
      </c>
    </row>
    <row r="26" spans="1:19" ht="17.25" hidden="1" thickBot="1" x14ac:dyDescent="0.35">
      <c r="A26" s="70">
        <v>713448</v>
      </c>
      <c r="B26" s="70" t="s">
        <v>233</v>
      </c>
      <c r="C26" s="73">
        <v>800</v>
      </c>
      <c r="D26" s="73" t="s">
        <v>168</v>
      </c>
      <c r="E26" s="68" t="str">
        <f>VLOOKUP($D26,'Lookup info'!$D:$H,2,FALSE)</f>
        <v>0002</v>
      </c>
      <c r="F26" s="68" t="str">
        <f>VLOOKUP($D26,'Lookup info'!$D:$H,5,FALSE)</f>
        <v>C</v>
      </c>
      <c r="G26" s="69">
        <v>96</v>
      </c>
      <c r="H26" s="74"/>
      <c r="I26" s="74">
        <f t="shared" ref="I26:I32" si="4">H26*G26</f>
        <v>0</v>
      </c>
      <c r="J26" s="75">
        <f t="shared" ref="J26:J36" si="5">IF(G26="","",K26/G26)</f>
        <v>0</v>
      </c>
      <c r="K26" s="76"/>
      <c r="L26"/>
      <c r="O26" s="79"/>
      <c r="P26" s="57" t="s">
        <v>224</v>
      </c>
      <c r="Q26" s="56" t="s">
        <v>225</v>
      </c>
      <c r="R26" s="56" t="s">
        <v>226</v>
      </c>
      <c r="S26" s="56" t="s">
        <v>227</v>
      </c>
    </row>
    <row r="27" spans="1:19" ht="17.25" hidden="1" thickBot="1" x14ac:dyDescent="0.35">
      <c r="A27" s="66">
        <v>653156</v>
      </c>
      <c r="B27" s="66" t="s">
        <v>234</v>
      </c>
      <c r="C27" s="67">
        <v>400</v>
      </c>
      <c r="D27" s="67" t="s">
        <v>168</v>
      </c>
      <c r="E27" s="68" t="str">
        <f>VLOOKUP($D27,'Lookup info'!$D:$H,2,FALSE)</f>
        <v>0002</v>
      </c>
      <c r="F27" s="68" t="str">
        <f>VLOOKUP($D27,'Lookup info'!$D:$H,5,FALSE)</f>
        <v>C</v>
      </c>
      <c r="G27" s="69">
        <v>42</v>
      </c>
      <c r="H27" s="74"/>
      <c r="I27" s="74">
        <f t="shared" si="4"/>
        <v>0</v>
      </c>
      <c r="J27" s="75">
        <f t="shared" si="5"/>
        <v>0</v>
      </c>
      <c r="K27" s="76"/>
      <c r="L27"/>
      <c r="O27" s="52"/>
      <c r="P27" s="52"/>
      <c r="Q27" s="58" t="s">
        <v>228</v>
      </c>
      <c r="R27" s="56" t="s">
        <v>229</v>
      </c>
      <c r="S27" s="56" t="s">
        <v>230</v>
      </c>
    </row>
    <row r="28" spans="1:19" hidden="1" x14ac:dyDescent="0.3">
      <c r="A28" s="66">
        <v>653299</v>
      </c>
      <c r="B28" s="66" t="s">
        <v>235</v>
      </c>
      <c r="C28" s="67">
        <v>400</v>
      </c>
      <c r="D28" s="67" t="s">
        <v>168</v>
      </c>
      <c r="E28" s="68" t="str">
        <f>VLOOKUP($D28,'Lookup info'!$D:$H,2,FALSE)</f>
        <v>0002</v>
      </c>
      <c r="F28" s="68" t="str">
        <f>VLOOKUP($D28,'Lookup info'!$D:$H,5,FALSE)</f>
        <v>C</v>
      </c>
      <c r="G28" s="69">
        <v>42</v>
      </c>
      <c r="H28" s="74"/>
      <c r="I28" s="74">
        <f t="shared" si="4"/>
        <v>0</v>
      </c>
      <c r="J28" s="75">
        <f t="shared" si="5"/>
        <v>0</v>
      </c>
      <c r="K28" s="76"/>
      <c r="L28"/>
      <c r="O28" s="52"/>
      <c r="P28" s="52"/>
      <c r="Q28" s="52"/>
      <c r="R28" s="52"/>
      <c r="S28" s="52"/>
    </row>
    <row r="29" spans="1:19" hidden="1" x14ac:dyDescent="0.3">
      <c r="A29" s="66">
        <v>703818</v>
      </c>
      <c r="B29" s="66" t="s">
        <v>239</v>
      </c>
      <c r="C29" s="67"/>
      <c r="D29" s="67" t="s">
        <v>171</v>
      </c>
      <c r="E29" s="68" t="str">
        <f>VLOOKUP($D29,'Lookup info'!$D:$H,2,FALSE)</f>
        <v>0074</v>
      </c>
      <c r="F29" s="68" t="str">
        <f>VLOOKUP($D29,'Lookup info'!$D:$H,5,FALSE)</f>
        <v>O</v>
      </c>
      <c r="G29" s="69">
        <v>128</v>
      </c>
      <c r="H29" s="74"/>
      <c r="I29" s="74">
        <f t="shared" si="4"/>
        <v>0</v>
      </c>
      <c r="J29" s="75">
        <f t="shared" si="5"/>
        <v>0</v>
      </c>
      <c r="K29" s="76"/>
      <c r="L29"/>
      <c r="N29" s="62">
        <v>3333</v>
      </c>
      <c r="O29" s="52"/>
      <c r="P29" s="52"/>
      <c r="Q29" s="52"/>
      <c r="R29" s="52"/>
      <c r="S29" s="52"/>
    </row>
    <row r="30" spans="1:19" hidden="1" x14ac:dyDescent="0.3">
      <c r="A30" s="66">
        <v>703819</v>
      </c>
      <c r="B30" s="66" t="s">
        <v>240</v>
      </c>
      <c r="C30" s="67"/>
      <c r="D30" s="67" t="s">
        <v>171</v>
      </c>
      <c r="E30" s="68" t="str">
        <f>VLOOKUP($D30,'Lookup info'!$D:$H,2,FALSE)</f>
        <v>0074</v>
      </c>
      <c r="F30" s="68" t="str">
        <f>VLOOKUP($D30,'Lookup info'!$D:$H,5,FALSE)</f>
        <v>O</v>
      </c>
      <c r="G30" s="69">
        <v>128</v>
      </c>
      <c r="H30" s="74"/>
      <c r="I30" s="74">
        <f t="shared" si="4"/>
        <v>0</v>
      </c>
      <c r="J30" s="75">
        <f t="shared" si="5"/>
        <v>0</v>
      </c>
      <c r="K30" s="76"/>
      <c r="L30"/>
      <c r="N30" s="62">
        <v>3333</v>
      </c>
      <c r="O30" s="52"/>
      <c r="P30" s="52"/>
      <c r="Q30" s="52"/>
      <c r="R30" s="52"/>
      <c r="S30" s="52"/>
    </row>
    <row r="31" spans="1:19" hidden="1" x14ac:dyDescent="0.3">
      <c r="A31" s="66">
        <v>704052</v>
      </c>
      <c r="B31" s="66" t="s">
        <v>241</v>
      </c>
      <c r="C31" s="67"/>
      <c r="D31" s="63" t="s">
        <v>169</v>
      </c>
      <c r="E31" s="68" t="str">
        <f>VLOOKUP($D31,'Lookup info'!$D:$H,2,FALSE)</f>
        <v>0023</v>
      </c>
      <c r="F31" s="68" t="str">
        <f>VLOOKUP($D31,'Lookup info'!$D:$H,5,FALSE)</f>
        <v>W</v>
      </c>
      <c r="G31" s="69">
        <v>90</v>
      </c>
      <c r="H31" s="74"/>
      <c r="I31" s="74">
        <f t="shared" si="4"/>
        <v>0</v>
      </c>
      <c r="J31" s="75">
        <f t="shared" si="5"/>
        <v>0</v>
      </c>
      <c r="K31" s="76"/>
      <c r="L31"/>
      <c r="N31" s="62">
        <v>600</v>
      </c>
      <c r="O31" s="52"/>
      <c r="P31" s="52"/>
      <c r="Q31" s="52"/>
      <c r="R31" s="52"/>
      <c r="S31" s="52"/>
    </row>
    <row r="32" spans="1:19" hidden="1" x14ac:dyDescent="0.3">
      <c r="A32" s="66">
        <v>704054</v>
      </c>
      <c r="B32" s="66" t="s">
        <v>242</v>
      </c>
      <c r="C32" s="67"/>
      <c r="D32" s="63" t="s">
        <v>169</v>
      </c>
      <c r="E32" s="68" t="str">
        <f>VLOOKUP($D32,'Lookup info'!$D:$H,2,FALSE)</f>
        <v>0023</v>
      </c>
      <c r="F32" s="68" t="str">
        <f>VLOOKUP($D32,'Lookup info'!$D:$H,5,FALSE)</f>
        <v>W</v>
      </c>
      <c r="G32" s="69">
        <v>90</v>
      </c>
      <c r="H32" s="74"/>
      <c r="I32" s="74">
        <f t="shared" si="4"/>
        <v>0</v>
      </c>
      <c r="J32" s="75">
        <f t="shared" si="5"/>
        <v>0</v>
      </c>
      <c r="K32" s="76"/>
      <c r="L32"/>
      <c r="N32" s="62">
        <v>600</v>
      </c>
      <c r="O32" s="52"/>
      <c r="P32" s="52"/>
      <c r="Q32" s="52"/>
      <c r="R32" s="52"/>
      <c r="S32" s="52"/>
    </row>
    <row r="33" spans="1:19" x14ac:dyDescent="0.3">
      <c r="A33" s="66">
        <v>663243</v>
      </c>
      <c r="B33" s="66" t="s">
        <v>245</v>
      </c>
      <c r="C33" s="67"/>
      <c r="D33" s="63" t="s">
        <v>167</v>
      </c>
      <c r="E33" s="68" t="str">
        <f>VLOOKUP($D33,'Lookup info'!$D:$H,2,FALSE)</f>
        <v>0001</v>
      </c>
      <c r="F33" s="68" t="str">
        <f>VLOOKUP($D33,'Lookup info'!$D:$H,5,FALSE)</f>
        <v>Z</v>
      </c>
      <c r="G33" s="69">
        <v>143</v>
      </c>
      <c r="H33" s="51"/>
      <c r="I33" s="51">
        <f t="shared" ref="I33:I36" si="6">H33*G33</f>
        <v>0</v>
      </c>
      <c r="J33" s="61">
        <f t="shared" si="5"/>
        <v>0</v>
      </c>
      <c r="K33" s="72"/>
      <c r="L33"/>
      <c r="N33" s="62" t="s">
        <v>244</v>
      </c>
      <c r="O33" s="52"/>
      <c r="P33" s="52"/>
      <c r="Q33" s="52"/>
      <c r="R33" s="52"/>
      <c r="S33" s="52"/>
    </row>
    <row r="34" spans="1:19" x14ac:dyDescent="0.3">
      <c r="A34" s="66">
        <v>672129</v>
      </c>
      <c r="B34" s="66" t="s">
        <v>246</v>
      </c>
      <c r="C34" s="67"/>
      <c r="D34" s="63" t="s">
        <v>167</v>
      </c>
      <c r="E34" s="68" t="str">
        <f>VLOOKUP($D34,'Lookup info'!$D:$H,2,FALSE)</f>
        <v>0001</v>
      </c>
      <c r="F34" s="68" t="str">
        <f>VLOOKUP($D34,'Lookup info'!$D:$H,5,FALSE)</f>
        <v>Z</v>
      </c>
      <c r="G34" s="69">
        <v>143</v>
      </c>
      <c r="H34" s="51"/>
      <c r="I34" s="51">
        <f t="shared" si="6"/>
        <v>0</v>
      </c>
      <c r="J34" s="61">
        <f t="shared" si="5"/>
        <v>0</v>
      </c>
      <c r="K34" s="72"/>
      <c r="L34"/>
      <c r="N34" s="62" t="s">
        <v>244</v>
      </c>
      <c r="O34" s="52"/>
      <c r="P34" s="52"/>
      <c r="Q34" s="52"/>
      <c r="R34" s="52"/>
      <c r="S34" s="52"/>
    </row>
    <row r="35" spans="1:19" x14ac:dyDescent="0.3">
      <c r="A35" s="66">
        <v>672127</v>
      </c>
      <c r="B35" s="66" t="s">
        <v>247</v>
      </c>
      <c r="C35" s="67"/>
      <c r="D35" s="63" t="s">
        <v>167</v>
      </c>
      <c r="E35" s="68" t="str">
        <f>VLOOKUP($D35,'Lookup info'!$D:$H,2,FALSE)</f>
        <v>0001</v>
      </c>
      <c r="F35" s="68" t="str">
        <f>VLOOKUP($D35,'Lookup info'!$D:$H,5,FALSE)</f>
        <v>Z</v>
      </c>
      <c r="G35" s="69">
        <v>143</v>
      </c>
      <c r="H35" s="51"/>
      <c r="I35" s="51">
        <f t="shared" si="6"/>
        <v>0</v>
      </c>
      <c r="J35" s="61">
        <f t="shared" si="5"/>
        <v>0</v>
      </c>
      <c r="K35" s="72"/>
      <c r="L35"/>
      <c r="N35" s="62" t="s">
        <v>244</v>
      </c>
      <c r="O35" s="52"/>
      <c r="P35" s="52"/>
      <c r="Q35" s="52"/>
      <c r="R35" s="52"/>
      <c r="S35" s="52"/>
    </row>
    <row r="36" spans="1:19" x14ac:dyDescent="0.3">
      <c r="A36" s="66">
        <v>671574</v>
      </c>
      <c r="B36" s="66" t="s">
        <v>248</v>
      </c>
      <c r="C36" s="67"/>
      <c r="D36" s="63" t="s">
        <v>167</v>
      </c>
      <c r="E36" s="68" t="str">
        <f>VLOOKUP($D36,'Lookup info'!$D:$H,2,FALSE)</f>
        <v>0001</v>
      </c>
      <c r="F36" s="68" t="str">
        <f>VLOOKUP($D36,'Lookup info'!$D:$H,5,FALSE)</f>
        <v>Z</v>
      </c>
      <c r="G36" s="69">
        <v>143</v>
      </c>
      <c r="H36" s="51"/>
      <c r="I36" s="51">
        <f t="shared" si="6"/>
        <v>0</v>
      </c>
      <c r="J36" s="61">
        <f t="shared" si="5"/>
        <v>0</v>
      </c>
      <c r="K36" s="72"/>
      <c r="L36"/>
      <c r="N36" s="62" t="s">
        <v>244</v>
      </c>
      <c r="O36" s="52"/>
      <c r="P36" s="52"/>
      <c r="Q36" s="52"/>
      <c r="R36" s="52"/>
      <c r="S36" s="52"/>
    </row>
    <row r="37" spans="1:19" x14ac:dyDescent="0.3">
      <c r="A37" s="8"/>
      <c r="B37" s="3"/>
      <c r="C37" s="3"/>
      <c r="D37" s="3"/>
      <c r="E37" s="3"/>
      <c r="F37" s="3"/>
      <c r="G37" s="3"/>
      <c r="J37" s="49"/>
      <c r="K37" s="3"/>
    </row>
    <row r="38" spans="1:19" x14ac:dyDescent="0.3">
      <c r="A38" s="8"/>
      <c r="B38" s="8"/>
      <c r="C38" s="3"/>
      <c r="J38" s="8" t="s">
        <v>19</v>
      </c>
      <c r="K38" s="3"/>
    </row>
    <row r="39" spans="1:19" x14ac:dyDescent="0.3">
      <c r="A39" s="8"/>
      <c r="B39" s="8"/>
      <c r="C39" s="3"/>
      <c r="J39" s="8" t="s">
        <v>20</v>
      </c>
      <c r="K39" s="25"/>
    </row>
    <row r="40" spans="1:19" x14ac:dyDescent="0.3">
      <c r="A40" s="11"/>
      <c r="B40" s="11"/>
    </row>
    <row r="42" spans="1:19" x14ac:dyDescent="0.3">
      <c r="A42"/>
      <c r="B42"/>
      <c r="C42"/>
      <c r="D42"/>
      <c r="E42"/>
      <c r="F42"/>
      <c r="G42"/>
      <c r="H42"/>
      <c r="I42"/>
      <c r="J42" s="21"/>
    </row>
    <row r="43" spans="1:19" x14ac:dyDescent="0.3">
      <c r="A43"/>
      <c r="B43"/>
      <c r="C43"/>
      <c r="D43"/>
      <c r="E43"/>
      <c r="F43"/>
      <c r="G43"/>
      <c r="H43"/>
      <c r="I43"/>
      <c r="J43" s="21"/>
    </row>
    <row r="44" spans="1:19" x14ac:dyDescent="0.3">
      <c r="A44"/>
      <c r="B44"/>
      <c r="C44"/>
      <c r="D44"/>
      <c r="E44"/>
      <c r="F44"/>
      <c r="G44"/>
      <c r="H44"/>
      <c r="I44"/>
      <c r="J44" s="21"/>
    </row>
    <row r="45" spans="1:19" x14ac:dyDescent="0.3">
      <c r="A45"/>
      <c r="B45"/>
      <c r="C45"/>
      <c r="D45"/>
      <c r="E45"/>
      <c r="F45"/>
      <c r="G45"/>
      <c r="H45"/>
      <c r="I45"/>
      <c r="J45" s="21"/>
    </row>
    <row r="46" spans="1:19" x14ac:dyDescent="0.3">
      <c r="A46"/>
      <c r="B46"/>
      <c r="C46"/>
      <c r="D46"/>
      <c r="E46"/>
      <c r="F46"/>
      <c r="G46"/>
      <c r="H46"/>
      <c r="I46"/>
      <c r="J46" s="21"/>
    </row>
    <row r="47" spans="1:19" x14ac:dyDescent="0.3">
      <c r="A47" s="22"/>
      <c r="B47"/>
      <c r="C47"/>
      <c r="D47"/>
      <c r="E47"/>
      <c r="F47"/>
      <c r="G47"/>
      <c r="H47"/>
      <c r="I47"/>
      <c r="J47" s="21"/>
    </row>
    <row r="48" spans="1:19" x14ac:dyDescent="0.3">
      <c r="A48"/>
      <c r="B48"/>
      <c r="C48"/>
      <c r="D48"/>
      <c r="E48"/>
      <c r="F48"/>
      <c r="G48"/>
      <c r="H48"/>
      <c r="I48" s="48"/>
      <c r="J48" s="21"/>
    </row>
    <row r="49" spans="1:10" x14ac:dyDescent="0.3">
      <c r="A49"/>
      <c r="B49"/>
      <c r="C49"/>
      <c r="D49"/>
      <c r="E49"/>
      <c r="F49"/>
      <c r="G49"/>
      <c r="H49"/>
      <c r="I49" s="47"/>
      <c r="J49" s="21"/>
    </row>
    <row r="50" spans="1:10" x14ac:dyDescent="0.3">
      <c r="A50"/>
      <c r="B50"/>
      <c r="C50"/>
      <c r="D50"/>
      <c r="E50"/>
      <c r="F50"/>
      <c r="G50"/>
      <c r="H50"/>
      <c r="I50" s="47"/>
      <c r="J50" s="21"/>
    </row>
    <row r="51" spans="1:10" x14ac:dyDescent="0.3">
      <c r="I51"/>
    </row>
    <row r="52" spans="1:10" x14ac:dyDescent="0.3">
      <c r="I52"/>
    </row>
    <row r="53" spans="1:10" x14ac:dyDescent="0.3">
      <c r="I53"/>
    </row>
    <row r="54" spans="1:10" x14ac:dyDescent="0.3">
      <c r="I54"/>
    </row>
    <row r="55" spans="1:10" x14ac:dyDescent="0.3">
      <c r="I55"/>
    </row>
    <row r="56" spans="1:10" x14ac:dyDescent="0.3">
      <c r="I56"/>
    </row>
  </sheetData>
  <autoFilter ref="A18:M36" xr:uid="{00000000-0001-0000-0000-000000000000}">
    <filterColumn colId="3">
      <filters>
        <filter val="Zoetermeer"/>
      </filters>
    </filterColumn>
  </autoFilter>
  <mergeCells count="2">
    <mergeCell ref="O19:O23"/>
    <mergeCell ref="O24:O26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D27:D30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9" zoomScale="70" zoomScaleNormal="70" workbookViewId="0">
      <selection activeCell="B48" sqref="B48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46" t="s">
        <v>184</v>
      </c>
    </row>
    <row r="2" spans="1:8" ht="17.25" thickBot="1" x14ac:dyDescent="0.35"/>
    <row r="3" spans="1:8" ht="17.25" thickBot="1" x14ac:dyDescent="0.35">
      <c r="A3" s="81" t="s">
        <v>28</v>
      </c>
      <c r="B3" s="82"/>
      <c r="D3" s="83" t="s">
        <v>152</v>
      </c>
      <c r="E3" s="84"/>
      <c r="F3" s="84"/>
      <c r="G3" s="84"/>
      <c r="H3" s="85"/>
    </row>
    <row r="4" spans="1:8" ht="17.25" thickBot="1" x14ac:dyDescent="0.35">
      <c r="A4" s="37" t="s">
        <v>34</v>
      </c>
      <c r="B4" s="38" t="s">
        <v>35</v>
      </c>
      <c r="D4" s="43" t="s">
        <v>183</v>
      </c>
      <c r="E4" s="44" t="s">
        <v>117</v>
      </c>
      <c r="F4" s="44" t="s">
        <v>118</v>
      </c>
      <c r="G4" s="44" t="s">
        <v>180</v>
      </c>
      <c r="H4" s="45" t="s">
        <v>181</v>
      </c>
    </row>
    <row r="5" spans="1:8" x14ac:dyDescent="0.3">
      <c r="A5" s="28" t="s">
        <v>36</v>
      </c>
      <c r="B5" s="29" t="s">
        <v>75</v>
      </c>
      <c r="D5" s="42" t="str">
        <f>IF(G5="","",G5)</f>
        <v>Zoetermeer</v>
      </c>
      <c r="E5" s="40" t="s">
        <v>119</v>
      </c>
      <c r="F5" s="40" t="s">
        <v>133</v>
      </c>
      <c r="G5" s="40" t="s">
        <v>167</v>
      </c>
      <c r="H5" s="41" t="s">
        <v>154</v>
      </c>
    </row>
    <row r="6" spans="1:8" x14ac:dyDescent="0.3">
      <c r="A6" s="28" t="s">
        <v>37</v>
      </c>
      <c r="B6" s="29" t="s">
        <v>76</v>
      </c>
      <c r="D6" s="30" t="str">
        <f t="shared" ref="D6:D40" si="0">IF(G6="","",G6)</f>
        <v>Haps</v>
      </c>
      <c r="E6" s="35" t="s">
        <v>32</v>
      </c>
      <c r="F6" s="35" t="s">
        <v>134</v>
      </c>
      <c r="G6" s="35" t="s">
        <v>168</v>
      </c>
      <c r="H6" s="29" t="s">
        <v>150</v>
      </c>
    </row>
    <row r="7" spans="1:8" x14ac:dyDescent="0.3">
      <c r="A7" s="28" t="s">
        <v>29</v>
      </c>
      <c r="B7" s="29" t="s">
        <v>77</v>
      </c>
      <c r="D7" s="30" t="str">
        <f t="shared" si="0"/>
        <v>Wexford</v>
      </c>
      <c r="E7" s="35" t="s">
        <v>120</v>
      </c>
      <c r="F7" s="35" t="s">
        <v>135</v>
      </c>
      <c r="G7" s="35" t="s">
        <v>169</v>
      </c>
      <c r="H7" s="29" t="s">
        <v>155</v>
      </c>
    </row>
    <row r="8" spans="1:8" x14ac:dyDescent="0.3">
      <c r="A8" s="28" t="s">
        <v>38</v>
      </c>
      <c r="B8" s="29" t="s">
        <v>78</v>
      </c>
      <c r="D8" s="30" t="str">
        <f t="shared" si="0"/>
        <v>PTNIS</v>
      </c>
      <c r="E8" s="35" t="s">
        <v>121</v>
      </c>
      <c r="F8" s="35" t="s">
        <v>136</v>
      </c>
      <c r="G8" s="35" t="s">
        <v>170</v>
      </c>
      <c r="H8" s="29" t="s">
        <v>156</v>
      </c>
    </row>
    <row r="9" spans="1:8" x14ac:dyDescent="0.3">
      <c r="A9" s="28" t="s">
        <v>39</v>
      </c>
      <c r="B9" s="29" t="s">
        <v>79</v>
      </c>
      <c r="D9" s="30" t="str">
        <f t="shared" si="0"/>
        <v>Opole</v>
      </c>
      <c r="E9" s="35" t="s">
        <v>122</v>
      </c>
      <c r="F9" s="35" t="s">
        <v>137</v>
      </c>
      <c r="G9" s="35" t="s">
        <v>171</v>
      </c>
      <c r="H9" s="29" t="s">
        <v>151</v>
      </c>
    </row>
    <row r="10" spans="1:8" x14ac:dyDescent="0.3">
      <c r="A10" s="28" t="s">
        <v>40</v>
      </c>
      <c r="B10" s="29" t="s">
        <v>80</v>
      </c>
      <c r="D10" s="30" t="str">
        <f t="shared" si="0"/>
        <v>Istra</v>
      </c>
      <c r="E10" s="35" t="s">
        <v>123</v>
      </c>
      <c r="F10" s="35" t="s">
        <v>138</v>
      </c>
      <c r="G10" s="35" t="s">
        <v>153</v>
      </c>
      <c r="H10" s="29" t="s">
        <v>157</v>
      </c>
    </row>
    <row r="11" spans="1:8" x14ac:dyDescent="0.3">
      <c r="A11" s="28" t="s">
        <v>115</v>
      </c>
      <c r="B11" s="29" t="s">
        <v>116</v>
      </c>
      <c r="D11" s="30" t="str">
        <f t="shared" si="0"/>
        <v>Liverpool</v>
      </c>
      <c r="E11" s="35" t="s">
        <v>124</v>
      </c>
      <c r="F11" s="35" t="s">
        <v>139</v>
      </c>
      <c r="G11" s="35" t="s">
        <v>172</v>
      </c>
      <c r="H11" s="29" t="s">
        <v>158</v>
      </c>
    </row>
    <row r="12" spans="1:8" x14ac:dyDescent="0.3">
      <c r="A12" s="28" t="s">
        <v>41</v>
      </c>
      <c r="B12" s="29" t="s">
        <v>81</v>
      </c>
      <c r="D12" s="30" t="str">
        <f t="shared" si="0"/>
        <v>Fulda</v>
      </c>
      <c r="E12" s="35" t="s">
        <v>125</v>
      </c>
      <c r="F12" s="35" t="s">
        <v>140</v>
      </c>
      <c r="G12" s="35" t="s">
        <v>173</v>
      </c>
      <c r="H12" s="29" t="s">
        <v>159</v>
      </c>
    </row>
    <row r="13" spans="1:8" x14ac:dyDescent="0.3">
      <c r="A13" s="28" t="s">
        <v>42</v>
      </c>
      <c r="B13" s="29" t="s">
        <v>82</v>
      </c>
      <c r="D13" s="30" t="str">
        <f t="shared" si="0"/>
        <v>Kasdorf</v>
      </c>
      <c r="E13" s="35" t="s">
        <v>126</v>
      </c>
      <c r="F13" s="35" t="s">
        <v>141</v>
      </c>
      <c r="G13" s="35" t="s">
        <v>174</v>
      </c>
      <c r="H13" s="29" t="s">
        <v>160</v>
      </c>
    </row>
    <row r="14" spans="1:8" x14ac:dyDescent="0.3">
      <c r="A14" s="28" t="s">
        <v>43</v>
      </c>
      <c r="B14" s="29" t="s">
        <v>83</v>
      </c>
      <c r="D14" s="30" t="str">
        <f t="shared" si="0"/>
        <v>Wuxi (Nutricia Pharmaceutical)</v>
      </c>
      <c r="E14" s="35" t="s">
        <v>127</v>
      </c>
      <c r="F14" s="35" t="s">
        <v>142</v>
      </c>
      <c r="G14" s="35" t="s">
        <v>182</v>
      </c>
      <c r="H14" s="29" t="s">
        <v>161</v>
      </c>
    </row>
    <row r="15" spans="1:8" x14ac:dyDescent="0.3">
      <c r="A15" s="28" t="s">
        <v>44</v>
      </c>
      <c r="B15" s="29" t="s">
        <v>84</v>
      </c>
      <c r="D15" s="30" t="str">
        <f t="shared" si="0"/>
        <v>Steenvoorde</v>
      </c>
      <c r="E15" s="35" t="s">
        <v>128</v>
      </c>
      <c r="F15" s="35" t="s">
        <v>143</v>
      </c>
      <c r="G15" s="35" t="s">
        <v>176</v>
      </c>
      <c r="H15" s="29" t="s">
        <v>162</v>
      </c>
    </row>
    <row r="16" spans="1:8" x14ac:dyDescent="0.3">
      <c r="A16" s="28" t="s">
        <v>45</v>
      </c>
      <c r="B16" s="29" t="s">
        <v>85</v>
      </c>
      <c r="D16" s="30" t="str">
        <f t="shared" si="0"/>
        <v>Villefranche</v>
      </c>
      <c r="E16" s="35" t="s">
        <v>129</v>
      </c>
      <c r="F16" s="35" t="s">
        <v>144</v>
      </c>
      <c r="G16" s="35" t="s">
        <v>177</v>
      </c>
      <c r="H16" s="29" t="s">
        <v>163</v>
      </c>
    </row>
    <row r="17" spans="1:8" x14ac:dyDescent="0.3">
      <c r="A17" s="28" t="s">
        <v>46</v>
      </c>
      <c r="B17" s="29" t="s">
        <v>86</v>
      </c>
      <c r="D17" s="30" t="str">
        <f t="shared" si="0"/>
        <v>Krueger</v>
      </c>
      <c r="E17" s="35" t="s">
        <v>130</v>
      </c>
      <c r="F17" s="35" t="s">
        <v>145</v>
      </c>
      <c r="G17" s="35" t="s">
        <v>178</v>
      </c>
      <c r="H17" s="29" t="s">
        <v>164</v>
      </c>
    </row>
    <row r="18" spans="1:8" x14ac:dyDescent="0.3">
      <c r="A18" s="28" t="s">
        <v>47</v>
      </c>
      <c r="B18" s="29" t="s">
        <v>87</v>
      </c>
      <c r="D18" s="30" t="str">
        <f t="shared" si="0"/>
        <v>Otmuchow</v>
      </c>
      <c r="E18" s="35" t="s">
        <v>33</v>
      </c>
      <c r="F18" s="35" t="s">
        <v>146</v>
      </c>
      <c r="G18" s="35" t="s">
        <v>26</v>
      </c>
      <c r="H18" s="29" t="s">
        <v>165</v>
      </c>
    </row>
    <row r="19" spans="1:8" x14ac:dyDescent="0.3">
      <c r="A19" s="28" t="s">
        <v>48</v>
      </c>
      <c r="B19" s="29" t="s">
        <v>88</v>
      </c>
      <c r="D19" s="30" t="str">
        <f t="shared" si="0"/>
        <v>Medical Logistics (3PS)</v>
      </c>
      <c r="E19" s="35" t="s">
        <v>131</v>
      </c>
      <c r="F19" s="35" t="s">
        <v>147</v>
      </c>
      <c r="G19" s="35" t="s">
        <v>179</v>
      </c>
      <c r="H19" s="29" t="s">
        <v>166</v>
      </c>
    </row>
    <row r="20" spans="1:8" x14ac:dyDescent="0.3">
      <c r="A20" s="28" t="s">
        <v>49</v>
      </c>
      <c r="B20" s="29" t="s">
        <v>89</v>
      </c>
      <c r="D20" s="30" t="str">
        <f t="shared" si="0"/>
        <v>Wuxi</v>
      </c>
      <c r="E20" s="35" t="s">
        <v>132</v>
      </c>
      <c r="F20" s="35" t="s">
        <v>148</v>
      </c>
      <c r="G20" s="35" t="s">
        <v>175</v>
      </c>
      <c r="H20" s="29" t="s">
        <v>161</v>
      </c>
    </row>
    <row r="21" spans="1:8" x14ac:dyDescent="0.3">
      <c r="A21" s="28" t="s">
        <v>50</v>
      </c>
      <c r="B21" s="29" t="s">
        <v>90</v>
      </c>
      <c r="D21" s="30" t="str">
        <f t="shared" si="0"/>
        <v/>
      </c>
      <c r="H21" s="31"/>
    </row>
    <row r="22" spans="1:8" x14ac:dyDescent="0.3">
      <c r="A22" s="28" t="s">
        <v>51</v>
      </c>
      <c r="B22" s="29" t="s">
        <v>91</v>
      </c>
      <c r="D22" s="30" t="str">
        <f t="shared" si="0"/>
        <v/>
      </c>
      <c r="H22" s="31"/>
    </row>
    <row r="23" spans="1:8" x14ac:dyDescent="0.3">
      <c r="A23" s="28" t="s">
        <v>52</v>
      </c>
      <c r="B23" s="29" t="s">
        <v>92</v>
      </c>
      <c r="D23" s="30" t="str">
        <f t="shared" si="0"/>
        <v/>
      </c>
      <c r="H23" s="31"/>
    </row>
    <row r="24" spans="1:8" x14ac:dyDescent="0.3">
      <c r="A24" s="28" t="s">
        <v>53</v>
      </c>
      <c r="B24" s="29" t="s">
        <v>93</v>
      </c>
      <c r="D24" s="30" t="str">
        <f t="shared" si="0"/>
        <v/>
      </c>
      <c r="H24" s="31"/>
    </row>
    <row r="25" spans="1:8" x14ac:dyDescent="0.3">
      <c r="A25" s="28" t="s">
        <v>54</v>
      </c>
      <c r="B25" s="29" t="s">
        <v>94</v>
      </c>
      <c r="D25" s="30" t="str">
        <f t="shared" si="0"/>
        <v/>
      </c>
      <c r="H25" s="31"/>
    </row>
    <row r="26" spans="1:8" x14ac:dyDescent="0.3">
      <c r="A26" s="28" t="s">
        <v>55</v>
      </c>
      <c r="B26" s="29" t="s">
        <v>95</v>
      </c>
      <c r="D26" s="30" t="str">
        <f t="shared" si="0"/>
        <v/>
      </c>
      <c r="H26" s="31"/>
    </row>
    <row r="27" spans="1:8" x14ac:dyDescent="0.3">
      <c r="A27" s="28" t="s">
        <v>56</v>
      </c>
      <c r="B27" s="29" t="s">
        <v>96</v>
      </c>
      <c r="D27" s="30" t="str">
        <f t="shared" si="0"/>
        <v/>
      </c>
      <c r="H27" s="31"/>
    </row>
    <row r="28" spans="1:8" x14ac:dyDescent="0.3">
      <c r="A28" s="28" t="s">
        <v>57</v>
      </c>
      <c r="B28" s="29" t="s">
        <v>97</v>
      </c>
      <c r="D28" s="30" t="str">
        <f t="shared" si="0"/>
        <v/>
      </c>
      <c r="H28" s="31"/>
    </row>
    <row r="29" spans="1:8" x14ac:dyDescent="0.3">
      <c r="A29" s="28" t="s">
        <v>58</v>
      </c>
      <c r="B29" s="29" t="s">
        <v>98</v>
      </c>
      <c r="D29" s="30" t="str">
        <f t="shared" si="0"/>
        <v/>
      </c>
      <c r="H29" s="31"/>
    </row>
    <row r="30" spans="1:8" x14ac:dyDescent="0.3">
      <c r="A30" s="28" t="s">
        <v>59</v>
      </c>
      <c r="B30" s="29" t="s">
        <v>99</v>
      </c>
      <c r="D30" s="30" t="str">
        <f t="shared" si="0"/>
        <v/>
      </c>
      <c r="H30" s="31"/>
    </row>
    <row r="31" spans="1:8" x14ac:dyDescent="0.3">
      <c r="A31" s="28" t="s">
        <v>60</v>
      </c>
      <c r="B31" s="29" t="s">
        <v>100</v>
      </c>
      <c r="D31" s="30" t="str">
        <f t="shared" si="0"/>
        <v/>
      </c>
      <c r="H31" s="31"/>
    </row>
    <row r="32" spans="1:8" x14ac:dyDescent="0.3">
      <c r="A32" s="28" t="s">
        <v>61</v>
      </c>
      <c r="B32" s="29" t="s">
        <v>101</v>
      </c>
      <c r="D32" s="30" t="str">
        <f t="shared" si="0"/>
        <v/>
      </c>
      <c r="H32" s="31"/>
    </row>
    <row r="33" spans="1:8" x14ac:dyDescent="0.3">
      <c r="A33" s="28" t="s">
        <v>62</v>
      </c>
      <c r="B33" s="29" t="s">
        <v>102</v>
      </c>
      <c r="D33" s="30" t="str">
        <f t="shared" si="0"/>
        <v/>
      </c>
      <c r="H33" s="31"/>
    </row>
    <row r="34" spans="1:8" x14ac:dyDescent="0.3">
      <c r="A34" s="28" t="s">
        <v>63</v>
      </c>
      <c r="B34" s="29" t="s">
        <v>103</v>
      </c>
      <c r="D34" s="30" t="str">
        <f t="shared" si="0"/>
        <v/>
      </c>
      <c r="H34" s="31"/>
    </row>
    <row r="35" spans="1:8" x14ac:dyDescent="0.3">
      <c r="A35" s="28" t="s">
        <v>64</v>
      </c>
      <c r="B35" s="29" t="s">
        <v>104</v>
      </c>
      <c r="D35" s="30" t="str">
        <f t="shared" si="0"/>
        <v/>
      </c>
      <c r="H35" s="31"/>
    </row>
    <row r="36" spans="1:8" x14ac:dyDescent="0.3">
      <c r="A36" s="28" t="s">
        <v>65</v>
      </c>
      <c r="B36" s="29" t="s">
        <v>105</v>
      </c>
      <c r="D36" s="30" t="str">
        <f t="shared" si="0"/>
        <v/>
      </c>
      <c r="H36" s="31"/>
    </row>
    <row r="37" spans="1:8" x14ac:dyDescent="0.3">
      <c r="A37" s="28" t="s">
        <v>66</v>
      </c>
      <c r="B37" s="29" t="s">
        <v>106</v>
      </c>
      <c r="D37" s="30" t="str">
        <f t="shared" si="0"/>
        <v/>
      </c>
      <c r="H37" s="31"/>
    </row>
    <row r="38" spans="1:8" x14ac:dyDescent="0.3">
      <c r="A38" s="28" t="s">
        <v>67</v>
      </c>
      <c r="B38" s="29" t="s">
        <v>107</v>
      </c>
      <c r="D38" s="30" t="str">
        <f t="shared" si="0"/>
        <v/>
      </c>
      <c r="H38" s="31"/>
    </row>
    <row r="39" spans="1:8" x14ac:dyDescent="0.3">
      <c r="A39" s="28" t="s">
        <v>68</v>
      </c>
      <c r="B39" s="29" t="s">
        <v>108</v>
      </c>
      <c r="D39" s="30" t="str">
        <f t="shared" si="0"/>
        <v/>
      </c>
      <c r="H39" s="31"/>
    </row>
    <row r="40" spans="1:8" ht="17.25" thickBot="1" x14ac:dyDescent="0.35">
      <c r="A40" s="28" t="s">
        <v>69</v>
      </c>
      <c r="B40" s="29" t="s">
        <v>109</v>
      </c>
      <c r="D40" s="32" t="str">
        <f t="shared" si="0"/>
        <v/>
      </c>
      <c r="E40" s="36"/>
      <c r="F40" s="36"/>
      <c r="G40" s="36"/>
      <c r="H40" s="33"/>
    </row>
    <row r="41" spans="1:8" x14ac:dyDescent="0.3">
      <c r="A41" s="28" t="s">
        <v>70</v>
      </c>
      <c r="B41" s="29" t="s">
        <v>110</v>
      </c>
    </row>
    <row r="42" spans="1:8" x14ac:dyDescent="0.3">
      <c r="A42" s="28" t="s">
        <v>71</v>
      </c>
      <c r="B42" s="29" t="s">
        <v>111</v>
      </c>
    </row>
    <row r="43" spans="1:8" x14ac:dyDescent="0.3">
      <c r="A43" s="28" t="s">
        <v>72</v>
      </c>
      <c r="B43" s="29" t="s">
        <v>112</v>
      </c>
    </row>
    <row r="44" spans="1:8" x14ac:dyDescent="0.3">
      <c r="A44" s="28" t="s">
        <v>73</v>
      </c>
      <c r="B44" s="29" t="s">
        <v>113</v>
      </c>
    </row>
    <row r="45" spans="1:8" x14ac:dyDescent="0.3">
      <c r="A45" s="28" t="s">
        <v>74</v>
      </c>
      <c r="B45" s="29" t="s">
        <v>114</v>
      </c>
    </row>
    <row r="46" spans="1:8" x14ac:dyDescent="0.3">
      <c r="A46" s="30" t="s">
        <v>186</v>
      </c>
      <c r="B46" s="31" t="s">
        <v>187</v>
      </c>
    </row>
    <row r="47" spans="1:8" x14ac:dyDescent="0.3">
      <c r="A47" s="30" t="s">
        <v>249</v>
      </c>
      <c r="B47" s="31" t="s">
        <v>250</v>
      </c>
    </row>
    <row r="48" spans="1:8" x14ac:dyDescent="0.3">
      <c r="A48" s="30"/>
      <c r="B48" s="31"/>
    </row>
    <row r="49" spans="1:2" x14ac:dyDescent="0.3">
      <c r="A49" s="30"/>
      <c r="B49" s="31"/>
    </row>
    <row r="50" spans="1:2" x14ac:dyDescent="0.3">
      <c r="A50" s="30"/>
      <c r="B50" s="31"/>
    </row>
    <row r="51" spans="1:2" x14ac:dyDescent="0.3">
      <c r="A51" s="30"/>
      <c r="B51" s="31"/>
    </row>
    <row r="52" spans="1:2" x14ac:dyDescent="0.3">
      <c r="A52" s="30"/>
      <c r="B52" s="31"/>
    </row>
    <row r="53" spans="1:2" x14ac:dyDescent="0.3">
      <c r="A53" s="30"/>
      <c r="B53" s="31"/>
    </row>
    <row r="54" spans="1:2" x14ac:dyDescent="0.3">
      <c r="A54" s="30"/>
      <c r="B54" s="31"/>
    </row>
    <row r="55" spans="1:2" x14ac:dyDescent="0.3">
      <c r="A55" s="30"/>
      <c r="B55" s="31"/>
    </row>
    <row r="56" spans="1:2" x14ac:dyDescent="0.3">
      <c r="A56" s="30"/>
      <c r="B56" s="31"/>
    </row>
    <row r="57" spans="1:2" x14ac:dyDescent="0.3">
      <c r="A57" s="30"/>
      <c r="B57" s="31"/>
    </row>
    <row r="58" spans="1:2" x14ac:dyDescent="0.3">
      <c r="A58" s="30"/>
      <c r="B58" s="31"/>
    </row>
    <row r="59" spans="1:2" x14ac:dyDescent="0.3">
      <c r="A59" s="30"/>
      <c r="B59" s="31"/>
    </row>
    <row r="60" spans="1:2" x14ac:dyDescent="0.3">
      <c r="A60" s="30"/>
      <c r="B60" s="31"/>
    </row>
    <row r="61" spans="1:2" x14ac:dyDescent="0.3">
      <c r="A61" s="30"/>
      <c r="B61" s="31"/>
    </row>
    <row r="62" spans="1:2" x14ac:dyDescent="0.3">
      <c r="A62" s="30"/>
      <c r="B62" s="31"/>
    </row>
    <row r="63" spans="1:2" x14ac:dyDescent="0.3">
      <c r="A63" s="30"/>
      <c r="B63" s="31"/>
    </row>
    <row r="64" spans="1:2" x14ac:dyDescent="0.3">
      <c r="A64" s="30"/>
      <c r="B64" s="31"/>
    </row>
    <row r="65" spans="1:2" x14ac:dyDescent="0.3">
      <c r="A65" s="30"/>
      <c r="B65" s="31"/>
    </row>
    <row r="66" spans="1:2" x14ac:dyDescent="0.3">
      <c r="A66" s="30"/>
      <c r="B66" s="31"/>
    </row>
    <row r="67" spans="1:2" x14ac:dyDescent="0.3">
      <c r="A67" s="30"/>
      <c r="B67" s="31"/>
    </row>
    <row r="68" spans="1:2" x14ac:dyDescent="0.3">
      <c r="A68" s="30"/>
      <c r="B68" s="31"/>
    </row>
    <row r="69" spans="1:2" x14ac:dyDescent="0.3">
      <c r="A69" s="30"/>
      <c r="B69" s="31"/>
    </row>
    <row r="70" spans="1:2" x14ac:dyDescent="0.3">
      <c r="A70" s="30"/>
      <c r="B70" s="31"/>
    </row>
    <row r="71" spans="1:2" x14ac:dyDescent="0.3">
      <c r="A71" s="30"/>
      <c r="B71" s="31"/>
    </row>
    <row r="72" spans="1:2" x14ac:dyDescent="0.3">
      <c r="A72" s="30"/>
      <c r="B72" s="31"/>
    </row>
    <row r="73" spans="1:2" x14ac:dyDescent="0.3">
      <c r="A73" s="30"/>
      <c r="B73" s="31"/>
    </row>
    <row r="74" spans="1:2" x14ac:dyDescent="0.3">
      <c r="A74" s="30"/>
      <c r="B74" s="31"/>
    </row>
    <row r="75" spans="1:2" x14ac:dyDescent="0.3">
      <c r="A75" s="30"/>
      <c r="B75" s="31"/>
    </row>
    <row r="76" spans="1:2" x14ac:dyDescent="0.3">
      <c r="A76" s="30"/>
      <c r="B76" s="31"/>
    </row>
    <row r="77" spans="1:2" x14ac:dyDescent="0.3">
      <c r="A77" s="30"/>
      <c r="B77" s="31"/>
    </row>
    <row r="78" spans="1:2" x14ac:dyDescent="0.3">
      <c r="A78" s="30"/>
      <c r="B78" s="31"/>
    </row>
    <row r="79" spans="1:2" x14ac:dyDescent="0.3">
      <c r="A79" s="30"/>
      <c r="B79" s="31"/>
    </row>
    <row r="80" spans="1:2" x14ac:dyDescent="0.3">
      <c r="A80" s="30"/>
      <c r="B80" s="31"/>
    </row>
    <row r="81" spans="1:2" x14ac:dyDescent="0.3">
      <c r="A81" s="30"/>
      <c r="B81" s="31"/>
    </row>
    <row r="82" spans="1:2" x14ac:dyDescent="0.3">
      <c r="A82" s="30"/>
      <c r="B82" s="31"/>
    </row>
    <row r="83" spans="1:2" x14ac:dyDescent="0.3">
      <c r="A83" s="30"/>
      <c r="B83" s="31"/>
    </row>
    <row r="84" spans="1:2" x14ac:dyDescent="0.3">
      <c r="A84" s="30"/>
      <c r="B84" s="31"/>
    </row>
    <row r="85" spans="1:2" x14ac:dyDescent="0.3">
      <c r="A85" s="30"/>
      <c r="B85" s="31"/>
    </row>
    <row r="86" spans="1:2" x14ac:dyDescent="0.3">
      <c r="A86" s="30"/>
      <c r="B86" s="31"/>
    </row>
    <row r="87" spans="1:2" x14ac:dyDescent="0.3">
      <c r="A87" s="30"/>
      <c r="B87" s="31"/>
    </row>
    <row r="88" spans="1:2" x14ac:dyDescent="0.3">
      <c r="A88" s="30"/>
      <c r="B88" s="31"/>
    </row>
    <row r="89" spans="1:2" x14ac:dyDescent="0.3">
      <c r="A89" s="30"/>
      <c r="B89" s="31"/>
    </row>
    <row r="90" spans="1:2" x14ac:dyDescent="0.3">
      <c r="A90" s="30"/>
      <c r="B90" s="31"/>
    </row>
    <row r="91" spans="1:2" x14ac:dyDescent="0.3">
      <c r="A91" s="30"/>
      <c r="B91" s="31"/>
    </row>
    <row r="92" spans="1:2" x14ac:dyDescent="0.3">
      <c r="A92" s="30"/>
      <c r="B92" s="31"/>
    </row>
    <row r="93" spans="1:2" x14ac:dyDescent="0.3">
      <c r="A93" s="30"/>
      <c r="B93" s="31"/>
    </row>
    <row r="94" spans="1:2" x14ac:dyDescent="0.3">
      <c r="A94" s="30"/>
      <c r="B94" s="31"/>
    </row>
    <row r="95" spans="1:2" x14ac:dyDescent="0.3">
      <c r="A95" s="30"/>
      <c r="B95" s="31"/>
    </row>
    <row r="96" spans="1:2" x14ac:dyDescent="0.3">
      <c r="A96" s="30"/>
      <c r="B96" s="31"/>
    </row>
    <row r="97" spans="1:2" x14ac:dyDescent="0.3">
      <c r="A97" s="30"/>
      <c r="B97" s="31"/>
    </row>
    <row r="98" spans="1:2" x14ac:dyDescent="0.3">
      <c r="A98" s="30"/>
      <c r="B98" s="31"/>
    </row>
    <row r="99" spans="1:2" x14ac:dyDescent="0.3">
      <c r="A99" s="30"/>
      <c r="B99" s="31"/>
    </row>
    <row r="100" spans="1:2" x14ac:dyDescent="0.3">
      <c r="A100" s="30"/>
      <c r="B100" s="31"/>
    </row>
    <row r="101" spans="1:2" x14ac:dyDescent="0.3">
      <c r="A101" s="30"/>
      <c r="B101" s="31"/>
    </row>
    <row r="102" spans="1:2" x14ac:dyDescent="0.3">
      <c r="A102" s="30"/>
      <c r="B102" s="31"/>
    </row>
    <row r="103" spans="1:2" x14ac:dyDescent="0.3">
      <c r="A103" s="30"/>
      <c r="B103" s="31"/>
    </row>
    <row r="104" spans="1:2" ht="17.25" thickBot="1" x14ac:dyDescent="0.35">
      <c r="A104" s="32"/>
      <c r="B104" s="33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2026-07-24T05:31:26Z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
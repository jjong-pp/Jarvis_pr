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00\Nutricia\99. Sales\공유 폴더\ETC\박효진\발주\2026\8월\아이베\"/>
    </mc:Choice>
  </mc:AlternateContent>
  <xr:revisionPtr revIDLastSave="0" documentId="13_ncr:1_{2FAA9931-3AEF-421E-A12D-6A04658577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" sheetId="1" r:id="rId1"/>
    <sheet name="Sheet1" sheetId="4" r:id="rId2"/>
    <sheet name="Lookup info" sheetId="3" r:id="rId3"/>
  </sheets>
  <definedNames>
    <definedName name="_xlnm._FilterDatabase" localSheetId="0" hidden="1">Order!$A$18:$O$42</definedName>
    <definedName name="ExactAddinConnection" hidden="1">"001"</definedName>
    <definedName name="ExactAddinConnection.001" hidden="1">"WFRPARNLB062.nead.danet\\EXACTPROD;001;kanaievi;1"</definedName>
    <definedName name="ExactAddinReport1.Area" localSheetId="2" hidden="1">'Lookup info'!$A$4</definedName>
    <definedName name="ExactAddinReport1.Data" localSheetId="2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2" hidden="1">'Lookup info'!$E$4</definedName>
    <definedName name="ExactAddinReport2.Data" localSheetId="2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2" hidden="1">"ressLine3;Column4.Sort=0;Column4.Filter=0;Column4.Value=;System.Company=001;System.New=0;System.Wizard=Table;System.Update=-1"</definedName>
    <definedName name="ExactAddinReport3.Area" localSheetId="2" hidden="1">'Lookup info'!#REF!</definedName>
    <definedName name="ExactAddinReport3.Data" localSheetId="2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2" hidden="1">"m.Wizard=Table;System.Update=-1"</definedName>
    <definedName name="ExactAddinReport4.Area" localSheetId="2" hidden="1">'Lookup info'!#REF!</definedName>
    <definedName name="ExactAddinReport4.Data" localSheetId="2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2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Order!$A$1:$K$45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2" i="1" l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3" i="1" l="1"/>
  <c r="J24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J20" i="1"/>
  <c r="I40" i="1" l="1"/>
  <c r="M42" i="1" l="1"/>
  <c r="I42" i="1"/>
  <c r="M41" i="1"/>
  <c r="I41" i="1"/>
  <c r="M39" i="1"/>
  <c r="I39" i="1"/>
  <c r="M38" i="1"/>
  <c r="I38" i="1"/>
  <c r="M37" i="1"/>
  <c r="I37" i="1"/>
  <c r="M36" i="1"/>
  <c r="I36" i="1"/>
  <c r="M35" i="1"/>
  <c r="I35" i="1"/>
  <c r="M34" i="1"/>
  <c r="I34" i="1"/>
  <c r="M33" i="1"/>
  <c r="I33" i="1"/>
  <c r="M32" i="1"/>
  <c r="I32" i="1"/>
  <c r="M31" i="1"/>
  <c r="I31" i="1"/>
  <c r="M30" i="1"/>
  <c r="I30" i="1"/>
  <c r="M29" i="1"/>
  <c r="I29" i="1"/>
  <c r="M28" i="1"/>
  <c r="I28" i="1"/>
  <c r="M27" i="1"/>
  <c r="I27" i="1"/>
  <c r="M26" i="1"/>
  <c r="I26" i="1"/>
  <c r="I25" i="1"/>
  <c r="J25" i="1"/>
  <c r="J34" i="4"/>
  <c r="I34" i="4"/>
  <c r="H34" i="4"/>
  <c r="G34" i="4"/>
  <c r="F34" i="4"/>
  <c r="E34" i="4"/>
  <c r="D34" i="4"/>
  <c r="C34" i="4"/>
  <c r="B34" i="4"/>
  <c r="J33" i="4"/>
  <c r="I33" i="4"/>
  <c r="H33" i="4"/>
  <c r="G33" i="4"/>
  <c r="F33" i="4"/>
  <c r="E33" i="4"/>
  <c r="D33" i="4"/>
  <c r="C33" i="4"/>
  <c r="B33" i="4"/>
  <c r="J32" i="4"/>
  <c r="I32" i="4"/>
  <c r="H32" i="4"/>
  <c r="G32" i="4"/>
  <c r="F32" i="4"/>
  <c r="E32" i="4"/>
  <c r="D32" i="4"/>
  <c r="C32" i="4"/>
  <c r="B32" i="4"/>
  <c r="J31" i="4"/>
  <c r="I31" i="4"/>
  <c r="H31" i="4"/>
  <c r="G31" i="4"/>
  <c r="F31" i="4"/>
  <c r="E31" i="4"/>
  <c r="D31" i="4"/>
  <c r="C31" i="4"/>
  <c r="B31" i="4"/>
  <c r="J30" i="4"/>
  <c r="I30" i="4"/>
  <c r="H30" i="4"/>
  <c r="G30" i="4"/>
  <c r="F30" i="4"/>
  <c r="E30" i="4"/>
  <c r="D30" i="4"/>
  <c r="C30" i="4"/>
  <c r="B30" i="4"/>
  <c r="J29" i="4"/>
  <c r="I29" i="4"/>
  <c r="H29" i="4"/>
  <c r="G29" i="4"/>
  <c r="F29" i="4"/>
  <c r="E29" i="4"/>
  <c r="D29" i="4"/>
  <c r="C29" i="4"/>
  <c r="B29" i="4"/>
  <c r="J28" i="4"/>
  <c r="I28" i="4"/>
  <c r="H28" i="4"/>
  <c r="G28" i="4"/>
  <c r="F28" i="4"/>
  <c r="E28" i="4"/>
  <c r="D28" i="4"/>
  <c r="C28" i="4"/>
  <c r="B28" i="4"/>
  <c r="J27" i="4"/>
  <c r="I27" i="4"/>
  <c r="H27" i="4"/>
  <c r="G27" i="4"/>
  <c r="F27" i="4"/>
  <c r="E27" i="4"/>
  <c r="D27" i="4"/>
  <c r="C27" i="4"/>
  <c r="B27" i="4"/>
  <c r="J26" i="4"/>
  <c r="I26" i="4"/>
  <c r="H26" i="4"/>
  <c r="G26" i="4"/>
  <c r="F26" i="4"/>
  <c r="E26" i="4"/>
  <c r="D26" i="4"/>
  <c r="C26" i="4"/>
  <c r="B26" i="4"/>
  <c r="J25" i="4"/>
  <c r="I25" i="4"/>
  <c r="H25" i="4"/>
  <c r="G25" i="4"/>
  <c r="F25" i="4"/>
  <c r="E25" i="4"/>
  <c r="D25" i="4"/>
  <c r="C25" i="4"/>
  <c r="B25" i="4"/>
  <c r="J24" i="4"/>
  <c r="I24" i="4"/>
  <c r="H24" i="4"/>
  <c r="G24" i="4"/>
  <c r="F24" i="4"/>
  <c r="E24" i="4"/>
  <c r="D24" i="4"/>
  <c r="C24" i="4"/>
  <c r="B24" i="4"/>
  <c r="J23" i="4"/>
  <c r="I23" i="4"/>
  <c r="H23" i="4"/>
  <c r="G23" i="4"/>
  <c r="F23" i="4"/>
  <c r="E23" i="4"/>
  <c r="D23" i="4"/>
  <c r="C23" i="4"/>
  <c r="B23" i="4"/>
  <c r="J22" i="4"/>
  <c r="I22" i="4"/>
  <c r="H22" i="4"/>
  <c r="G22" i="4"/>
  <c r="F22" i="4"/>
  <c r="E22" i="4"/>
  <c r="D22" i="4"/>
  <c r="C22" i="4"/>
  <c r="B22" i="4"/>
  <c r="J21" i="4"/>
  <c r="I21" i="4"/>
  <c r="H21" i="4"/>
  <c r="G21" i="4"/>
  <c r="F21" i="4"/>
  <c r="E21" i="4"/>
  <c r="D21" i="4"/>
  <c r="C21" i="4"/>
  <c r="B21" i="4"/>
  <c r="C20" i="4"/>
  <c r="D20" i="4"/>
  <c r="E20" i="4"/>
  <c r="F20" i="4"/>
  <c r="G20" i="4"/>
  <c r="H20" i="4"/>
  <c r="I20" i="4"/>
  <c r="J20" i="4"/>
  <c r="B20" i="4"/>
  <c r="J19" i="1" l="1"/>
  <c r="J22" i="1" l="1"/>
  <c r="J21" i="1"/>
  <c r="I24" i="1" l="1"/>
  <c r="I23" i="1"/>
  <c r="I22" i="1"/>
  <c r="I21" i="1"/>
  <c r="I20" i="1"/>
  <c r="I19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M24" i="1"/>
  <c r="M21" i="1"/>
  <c r="E19" i="1" l="1"/>
  <c r="E21" i="1"/>
  <c r="E20" i="1"/>
  <c r="F19" i="1"/>
  <c r="M23" i="1"/>
  <c r="M20" i="1"/>
  <c r="M22" i="1"/>
  <c r="F21" i="1"/>
  <c r="F20" i="1"/>
  <c r="F22" i="1"/>
  <c r="E22" i="1"/>
  <c r="M19" i="1" l="1"/>
</calcChain>
</file>

<file path=xl/sharedStrings.xml><?xml version="1.0" encoding="utf-8"?>
<sst xmlns="http://schemas.openxmlformats.org/spreadsheetml/2006/main" count="295" uniqueCount="242">
  <si>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</si>
  <si>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</si>
  <si>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</si>
  <si>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</si>
  <si>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</si>
  <si>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</si>
  <si>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</si>
  <si>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</si>
  <si>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</si>
  <si>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</si>
  <si>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</si>
  <si>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</si>
  <si>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</si>
  <si>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</si>
  <si>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</si>
  <si>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</si>
  <si>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</si>
  <si>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</si>
  <si>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</si>
  <si>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</si>
  <si>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</si>
  <si>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</si>
  <si>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</si>
  <si>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</si>
  <si>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</si>
  <si>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</si>
  <si>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</si>
  <si>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</si>
  <si>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</si>
  <si>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</si>
  <si>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</si>
  <si>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</si>
  <si>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</si>
  <si>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</si>
  <si>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</si>
  <si>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</si>
  <si>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</si>
  <si>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</si>
  <si>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</si>
  <si>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</si>
  <si>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</si>
  <si>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</si>
  <si>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</si>
  <si>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</si>
  <si>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</si>
  <si>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</si>
  <si>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</si>
  <si>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</si>
  <si>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</si>
  <si>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</si>
  <si>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</si>
  <si>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</si>
  <si>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</si>
  <si>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</si>
  <si>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</si>
  <si>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</si>
  <si>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</si>
  <si>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</si>
  <si>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</si>
  <si>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</si>
  <si>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</si>
  <si>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</si>
  <si>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</si>
  <si>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</si>
  <si>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</si>
  <si>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</si>
  <si>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</si>
  <si>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</si>
  <si>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</si>
  <si>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</si>
  <si>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</si>
  <si>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</si>
  <si>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</si>
  <si>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</si>
  <si>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</si>
  <si>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</si>
  <si>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</si>
  <si>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</si>
  <si>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</si>
  <si>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</si>
  <si>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</si>
  <si>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</si>
  <si>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</si>
  <si>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</si>
  <si>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</si>
  <si>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</si>
  <si>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</si>
  <si>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</si>
  <si>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</si>
  <si>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</si>
  <si>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</si>
  <si>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</si>
  <si>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</si>
  <si>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</si>
  <si>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</si>
  <si>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</si>
  <si>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</si>
  <si>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</si>
  <si>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</si>
  <si>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</si>
  <si>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</si>
  <si>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</si>
  <si>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</si>
  <si>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</si>
  <si>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</si>
  <si>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</si>
  <si>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</si>
  <si>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</si>
  <si>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</si>
  <si>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</si>
  <si>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</si>
  <si>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</si>
  <si>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</si>
  <si>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</si>
  <si>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</si>
  <si>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</si>
  <si>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</si>
  <si>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</si>
  <si>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</si>
  <si>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</si>
  <si>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</si>
  <si>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</si>
  <si>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</si>
  <si>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</si>
  <si>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</si>
  <si>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</si>
  <si>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</si>
  <si>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</si>
  <si>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</si>
  <si>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</si>
  <si>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</si>
  <si>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</si>
  <si>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</si>
  <si>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</si>
  <si>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</si>
  <si>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</si>
  <si>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</si>
  <si>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</si>
  <si>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</si>
  <si>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</si>
  <si>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</si>
  <si>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</si>
  <si>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</si>
  <si>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</si>
  <si>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</si>
  <si>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</si>
  <si>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</si>
  <si>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</si>
  <si>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</si>
  <si>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</si>
  <si>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</si>
  <si>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</si>
  <si>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</si>
  <si>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</si>
  <si>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</si>
  <si>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</si>
  <si>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</si>
  <si>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</si>
  <si>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</si>
  <si>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</si>
  <si>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</si>
  <si>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</si>
  <si>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</si>
  <si>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</si>
  <si>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</si>
  <si>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</si>
  <si>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</si>
  <si>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</si>
  <si>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</si>
  <si>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</si>
  <si>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</si>
  <si>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</si>
  <si>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</si>
  <si>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</si>
  <si>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</si>
  <si>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</si>
  <si>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</si>
  <si>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</si>
  <si>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</si>
  <si>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</si>
  <si>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</si>
  <si>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</si>
  <si>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</si>
  <si>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</si>
  <si>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</si>
  <si>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</si>
  <si>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</si>
  <si>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</si>
  <si>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</si>
  <si>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</si>
  <si>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</si>
  <si>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</si>
  <si>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</si>
  <si>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</si>
  <si>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 xml:space="preserve">EIBE - South Korea </t>
  </si>
  <si>
    <t>PO/SO fulfillment Month</t>
  </si>
  <si>
    <t>PO/SO fulfillment Year</t>
  </si>
  <si>
    <t>MOQ</t>
  </si>
  <si>
    <t>If ordered below MOQ - leftover has to be ordered next cycle</t>
  </si>
  <si>
    <t>Jun.</t>
  </si>
  <si>
    <t>July.</t>
  </si>
  <si>
    <t>Aug.</t>
  </si>
  <si>
    <t>Sep.</t>
  </si>
  <si>
    <t>Oct.</t>
  </si>
  <si>
    <t>Nov.</t>
  </si>
  <si>
    <t>Dec.</t>
  </si>
  <si>
    <t>Jan.</t>
  </si>
  <si>
    <t>Feb.</t>
  </si>
  <si>
    <t>FORTIFIT VANILLA 12X280G A</t>
  </si>
  <si>
    <t>12000 CU</t>
  </si>
  <si>
    <t>1500 TU</t>
  </si>
  <si>
    <t>ELEMENTAL 028 EXTRA ORANGE 10X100G</t>
  </si>
  <si>
    <t>NEOCATE LCP UPGRADE3 6X400G UK IE</t>
  </si>
  <si>
    <t>NUTRICIA LORENZO'S OIL 12X500ML GB/DE</t>
  </si>
  <si>
    <t>PK AID 4 3X500G UK</t>
  </si>
  <si>
    <t>INFATRINI 12X400G KOR</t>
  </si>
  <si>
    <t>SS DUOCAL 6X400G MULTI</t>
  </si>
  <si>
    <t>TYR ANAMIX INF+MET 3X400G MLL1</t>
  </si>
  <si>
    <t>NKH ANAMIX INFANT 3X400G MLL1</t>
  </si>
  <si>
    <t>MSUD Maxamum 3x500g</t>
  </si>
  <si>
    <t>ELEMENTAL 028 EXTRA/100GX10 Unflavored</t>
  </si>
  <si>
    <t>ELEMENTAL 028 EXTRA BANANA 10X100G UK</t>
  </si>
  <si>
    <t>GA 1 Anamix Junior 6x400g</t>
  </si>
  <si>
    <t>MSUD Anamix Junior 6x400g</t>
  </si>
  <si>
    <t>GA 1 Anamix Infant 3x400g</t>
  </si>
  <si>
    <t>Basic-F 6x300g</t>
  </si>
  <si>
    <t>Locasol 6x400g</t>
  </si>
  <si>
    <t>APTAMIL PEPTI SYNEO 1, DE 12X400G</t>
  </si>
  <si>
    <t>Already confirmed</t>
  </si>
  <si>
    <t>1008 TU</t>
  </si>
  <si>
    <t>331 TU</t>
  </si>
  <si>
    <t>OD</t>
  </si>
  <si>
    <t>OLENA DIDKIVSKA</t>
  </si>
  <si>
    <t>72851</t>
  </si>
  <si>
    <t>2120 TU</t>
  </si>
  <si>
    <t>2280 TU</t>
  </si>
  <si>
    <t>1880 TU</t>
  </si>
  <si>
    <t>2026</t>
  </si>
  <si>
    <t>25</t>
  </si>
  <si>
    <t>09</t>
  </si>
  <si>
    <t>September</t>
  </si>
  <si>
    <t>W/H/09/2026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</si>
</sst>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_-* #,##0.0_-;\-* #,##0.0_-;_-* &quot;-&quot;_-;_-@_-"/>
    <numFmt numFmtId="186" formatCode="0.000"/>
    <numFmt numFmtId="187" formatCode="_-* #,##0.00_-;\-* #,##0.00_-;_-* &quot;-&quot;_-;_-@_-"/>
  </numFmts>
  <fonts count="28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i/>
      <sz val="11"/>
      <color theme="1"/>
      <name val="맑은 고딕"/>
      <family val="2"/>
      <scheme val="minor"/>
    </font>
    <font>
      <b/>
      <sz val="10"/>
      <color theme="1"/>
      <name val="Arial"/>
      <family val="2"/>
    </font>
    <font>
      <b/>
      <i/>
      <sz val="11"/>
      <color theme="1"/>
      <name val="맑은 고딕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</borders>
  <cellStyleXfs count="61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</cellStyleXfs>
  <cellXfs count="100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3" fontId="0" fillId="2" borderId="0" xfId="0" applyNumberFormat="1" applyFill="1"/>
    <xf numFmtId="41" fontId="0" fillId="2" borderId="0" xfId="1" applyFont="1" applyFill="1" applyAlignment="1"/>
    <xf numFmtId="185" fontId="7" fillId="5" borderId="2" xfId="1" applyNumberFormat="1" applyFont="1" applyFill="1" applyBorder="1" applyAlignment="1"/>
    <xf numFmtId="0" fontId="14" fillId="12" borderId="5" xfId="0" applyFont="1" applyFill="1" applyBorder="1" applyAlignment="1">
      <alignment horizontal="center" vertical="center" wrapText="1"/>
    </xf>
    <xf numFmtId="0" fontId="25" fillId="2" borderId="0" xfId="0" applyFont="1" applyFill="1"/>
    <xf numFmtId="0" fontId="23" fillId="13" borderId="18" xfId="0" applyFont="1" applyFill="1" applyBorder="1" applyAlignment="1">
      <alignment horizontal="right" wrapText="1"/>
    </xf>
    <xf numFmtId="0" fontId="23" fillId="13" borderId="20" xfId="0" applyFont="1" applyFill="1" applyBorder="1" applyAlignment="1">
      <alignment horizontal="right" wrapText="1"/>
    </xf>
    <xf numFmtId="0" fontId="23" fillId="0" borderId="20" xfId="0" applyFont="1" applyBorder="1" applyAlignment="1">
      <alignment horizontal="right" wrapText="1"/>
    </xf>
    <xf numFmtId="0" fontId="23" fillId="0" borderId="21" xfId="0" applyFont="1" applyBorder="1" applyAlignment="1">
      <alignment horizontal="right" wrapText="1"/>
    </xf>
    <xf numFmtId="3" fontId="23" fillId="13" borderId="19" xfId="0" applyNumberFormat="1" applyFont="1" applyFill="1" applyBorder="1" applyAlignment="1">
      <alignment horizontal="right" wrapText="1"/>
    </xf>
    <xf numFmtId="3" fontId="23" fillId="13" borderId="22" xfId="0" applyNumberFormat="1" applyFont="1" applyFill="1" applyBorder="1" applyAlignment="1">
      <alignment horizontal="right" wrapText="1"/>
    </xf>
    <xf numFmtId="3" fontId="23" fillId="0" borderId="22" xfId="0" applyNumberFormat="1" applyFont="1" applyBorder="1" applyAlignment="1">
      <alignment horizontal="right" wrapText="1"/>
    </xf>
    <xf numFmtId="3" fontId="23" fillId="0" borderId="23" xfId="0" applyNumberFormat="1" applyFont="1" applyBorder="1" applyAlignment="1">
      <alignment horizontal="right" wrapText="1"/>
    </xf>
    <xf numFmtId="0" fontId="23" fillId="13" borderId="19" xfId="0" applyFont="1" applyFill="1" applyBorder="1" applyAlignment="1">
      <alignment horizontal="right" wrapText="1"/>
    </xf>
    <xf numFmtId="0" fontId="23" fillId="13" borderId="22" xfId="0" applyFont="1" applyFill="1" applyBorder="1" applyAlignment="1">
      <alignment horizontal="right" wrapText="1"/>
    </xf>
    <xf numFmtId="0" fontId="23" fillId="0" borderId="22" xfId="0" applyFont="1" applyBorder="1" applyAlignment="1">
      <alignment horizontal="right" wrapText="1"/>
    </xf>
    <xf numFmtId="0" fontId="23" fillId="0" borderId="23" xfId="0" applyFont="1" applyBorder="1" applyAlignment="1">
      <alignment horizontal="right" wrapText="1"/>
    </xf>
    <xf numFmtId="0" fontId="23" fillId="13" borderId="24" xfId="0" applyFont="1" applyFill="1" applyBorder="1" applyAlignment="1">
      <alignment horizontal="right" wrapText="1"/>
    </xf>
    <xf numFmtId="0" fontId="23" fillId="13" borderId="25" xfId="0" applyFont="1" applyFill="1" applyBorder="1" applyAlignment="1">
      <alignment horizontal="right" wrapText="1"/>
    </xf>
    <xf numFmtId="0" fontId="23" fillId="0" borderId="25" xfId="0" applyFont="1" applyBorder="1" applyAlignment="1">
      <alignment horizontal="right" wrapText="1"/>
    </xf>
    <xf numFmtId="0" fontId="23" fillId="0" borderId="26" xfId="0" applyFont="1" applyBorder="1" applyAlignment="1">
      <alignment horizontal="right" wrapText="1"/>
    </xf>
    <xf numFmtId="0" fontId="23" fillId="0" borderId="19" xfId="0" applyFont="1" applyBorder="1" applyAlignment="1">
      <alignment horizontal="right" wrapText="1"/>
    </xf>
    <xf numFmtId="0" fontId="26" fillId="14" borderId="27" xfId="0" applyFont="1" applyFill="1" applyBorder="1" applyAlignment="1">
      <alignment horizontal="center" wrapText="1"/>
    </xf>
    <xf numFmtId="0" fontId="26" fillId="14" borderId="20" xfId="0" applyFont="1" applyFill="1" applyBorder="1" applyAlignment="1">
      <alignment horizontal="center" wrapText="1"/>
    </xf>
    <xf numFmtId="0" fontId="26" fillId="15" borderId="20" xfId="0" applyFont="1" applyFill="1" applyBorder="1" applyAlignment="1">
      <alignment horizontal="center" wrapText="1"/>
    </xf>
    <xf numFmtId="0" fontId="26" fillId="15" borderId="21" xfId="0" applyFont="1" applyFill="1" applyBorder="1" applyAlignment="1">
      <alignment horizontal="center" wrapText="1"/>
    </xf>
    <xf numFmtId="0" fontId="26" fillId="15" borderId="28" xfId="0" applyFont="1" applyFill="1" applyBorder="1" applyAlignment="1">
      <alignment horizontal="center" wrapText="1"/>
    </xf>
    <xf numFmtId="1" fontId="0" fillId="0" borderId="0" xfId="0" applyNumberFormat="1"/>
    <xf numFmtId="0" fontId="1" fillId="16" borderId="1" xfId="0" applyFont="1" applyFill="1" applyBorder="1" applyAlignment="1">
      <alignment horizontal="left"/>
    </xf>
    <xf numFmtId="0" fontId="5" fillId="12" borderId="0" xfId="0" applyFont="1" applyFill="1"/>
    <xf numFmtId="0" fontId="0" fillId="2" borderId="0" xfId="0" applyFill="1" applyAlignment="1">
      <alignment wrapText="1"/>
    </xf>
    <xf numFmtId="186" fontId="0" fillId="2" borderId="0" xfId="0" applyNumberFormat="1" applyFill="1"/>
    <xf numFmtId="41" fontId="27" fillId="2" borderId="0" xfId="1" applyFont="1" applyFill="1" applyAlignment="1"/>
    <xf numFmtId="185" fontId="13" fillId="0" borderId="2" xfId="1" applyNumberFormat="1" applyFont="1" applyFill="1" applyBorder="1" applyAlignment="1"/>
    <xf numFmtId="185" fontId="7" fillId="17" borderId="2" xfId="1" applyNumberFormat="1" applyFont="1" applyFill="1" applyBorder="1" applyAlignment="1"/>
    <xf numFmtId="49" fontId="10" fillId="2" borderId="1" xfId="0" quotePrefix="1" applyNumberFormat="1" applyFont="1" applyFill="1" applyBorder="1" applyAlignment="1">
      <alignment horizontal="center"/>
    </xf>
    <xf numFmtId="41" fontId="7" fillId="17" borderId="2" xfId="1" applyFont="1" applyFill="1" applyBorder="1" applyAlignment="1"/>
    <xf numFmtId="49" fontId="1" fillId="2" borderId="1" xfId="0" applyNumberFormat="1" applyFont="1" applyFill="1" applyBorder="1" applyAlignment="1">
      <alignment horizontal="left"/>
    </xf>
    <xf numFmtId="49" fontId="1" fillId="2" borderId="1" xfId="0" quotePrefix="1" applyNumberFormat="1" applyFont="1" applyFill="1" applyBorder="1" applyAlignment="1">
      <alignment horizontal="left"/>
    </xf>
    <xf numFmtId="187" fontId="7" fillId="17" borderId="2" xfId="1" applyNumberFormat="1" applyFont="1" applyFill="1" applyBorder="1" applyAlignment="1"/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61">
    <cellStyle name="Comma [0] 2" xfId="50" xr:uid="{0F06714B-857B-4D20-9FB4-35FC1437C6F1}"/>
    <cellStyle name="Comma [0] 2 2" xfId="60" xr:uid="{1DD7111B-2913-4622-B2AB-D3F65A02A2B6}"/>
    <cellStyle name="Comma [0] 3" xfId="58" xr:uid="{009C3AD0-E8EB-46F6-82D8-E4033CE8D278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6 2" xfId="59" xr:uid="{28F098FA-9E08-41DC-930E-5952A506BA32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2"/>
  <sheetViews>
    <sheetView tabSelected="1" topLeftCell="A13" zoomScale="85" zoomScaleNormal="85" workbookViewId="0">
      <selection activeCell="K19" sqref="K19"/>
    </sheetView>
  </sheetViews>
  <sheetFormatPr defaultColWidth="9.125" defaultRowHeight="16.5" outlineLevelCol="1"/>
  <cols>
    <col min="1" max="1" width="24.5" style="1" bestFit="1" customWidth="1"/>
    <col min="2" max="2" width="40.875" style="1" customWidth="1"/>
    <col min="3" max="3" width="15.625" style="1" customWidth="1" outlineLevel="1"/>
    <col min="4" max="4" width="20.5" style="1" customWidth="1" outlineLevel="1"/>
    <col min="5" max="6" width="9.875" style="1" customWidth="1" outlineLevel="1"/>
    <col min="7" max="9" width="16.125" style="1" customWidth="1" outlineLevel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9.125" style="1"/>
    <col min="15" max="15" width="12" style="1" customWidth="1"/>
    <col min="16" max="16" width="13.375" style="56" bestFit="1" customWidth="1"/>
    <col min="17" max="17" width="9.125" style="1"/>
    <col min="18" max="18" width="19.375" style="1" bestFit="1" customWidth="1"/>
    <col min="19" max="16384" width="9.125" style="1"/>
  </cols>
  <sheetData>
    <row r="1" spans="1:3" ht="17.25">
      <c r="A1" s="29" t="s">
        <v>194</v>
      </c>
      <c r="B1" s="18"/>
    </row>
    <row r="2" spans="1:3">
      <c r="A2" s="38" t="s">
        <v>28</v>
      </c>
      <c r="B2" s="38" t="s">
        <v>192</v>
      </c>
    </row>
    <row r="3" spans="1:3">
      <c r="A3" s="2" t="s">
        <v>0</v>
      </c>
      <c r="B3" s="90" t="s">
        <v>233</v>
      </c>
    </row>
    <row r="4" spans="1:3">
      <c r="A4" s="2" t="s">
        <v>16</v>
      </c>
      <c r="B4" s="19" t="s">
        <v>17</v>
      </c>
    </row>
    <row r="5" spans="1:3">
      <c r="A5" s="2" t="s">
        <v>30</v>
      </c>
      <c r="B5" s="93" t="s">
        <v>238</v>
      </c>
    </row>
    <row r="6" spans="1:3">
      <c r="A6" s="2" t="s">
        <v>195</v>
      </c>
      <c r="B6" s="93" t="s">
        <v>239</v>
      </c>
    </row>
    <row r="7" spans="1:3">
      <c r="A7" s="2" t="s">
        <v>196</v>
      </c>
      <c r="B7" s="92" t="s">
        <v>237</v>
      </c>
    </row>
    <row r="8" spans="1:3">
      <c r="A8" s="2" t="s">
        <v>1</v>
      </c>
      <c r="B8" s="17" t="s">
        <v>240</v>
      </c>
      <c r="C8" s="9"/>
    </row>
    <row r="9" spans="1:3">
      <c r="A9" s="2" t="s">
        <v>2</v>
      </c>
      <c r="B9" s="19" t="s">
        <v>241</v>
      </c>
      <c r="C9"/>
    </row>
    <row r="10" spans="1:3">
      <c r="A10" s="2" t="s">
        <v>3</v>
      </c>
      <c r="B10" s="20" t="s">
        <v>12</v>
      </c>
    </row>
    <row r="11" spans="1:3">
      <c r="A11" s="2" t="s">
        <v>4</v>
      </c>
      <c r="B11" s="21" t="s">
        <v>24</v>
      </c>
    </row>
    <row r="12" spans="1:3">
      <c r="A12" s="2" t="s">
        <v>5</v>
      </c>
      <c r="B12" s="20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5">
        <v>1</v>
      </c>
    </row>
    <row r="15" spans="1:3">
      <c r="A15" s="10" t="s">
        <v>21</v>
      </c>
      <c r="B15" s="24">
        <v>1</v>
      </c>
      <c r="C15"/>
    </row>
    <row r="16" spans="1:3">
      <c r="A16" s="11"/>
    </row>
    <row r="17" spans="1:18" ht="17.25" thickBot="1"/>
    <row r="18" spans="1:18" ht="63" customHeight="1" thickBot="1">
      <c r="A18" s="4" t="s">
        <v>7</v>
      </c>
      <c r="B18" s="5" t="s">
        <v>6</v>
      </c>
      <c r="C18" s="5" t="s">
        <v>22</v>
      </c>
      <c r="D18" s="31" t="s">
        <v>23</v>
      </c>
      <c r="E18" s="43" t="s">
        <v>31</v>
      </c>
      <c r="F18" s="43" t="s">
        <v>149</v>
      </c>
      <c r="G18" s="6" t="s">
        <v>191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58" t="s">
        <v>197</v>
      </c>
    </row>
    <row r="19" spans="1:18">
      <c r="A19" s="15">
        <v>676366</v>
      </c>
      <c r="B19" s="15" t="s">
        <v>188</v>
      </c>
      <c r="C19" s="16">
        <v>800</v>
      </c>
      <c r="D19" s="16" t="s">
        <v>169</v>
      </c>
      <c r="E19" s="30" t="str">
        <f>VLOOKUP($D19,'Lookup info'!$D:$H,2,FALSE)</f>
        <v>0023</v>
      </c>
      <c r="F19" s="30" t="str">
        <f>VLOOKUP($D19,'Lookup info'!$D:$H,5,FALSE)</f>
        <v>W</v>
      </c>
      <c r="G19" s="26">
        <v>144</v>
      </c>
      <c r="H19" s="88">
        <v>22</v>
      </c>
      <c r="I19" s="27">
        <f>H19*G19</f>
        <v>3168</v>
      </c>
      <c r="J19" s="57">
        <f t="shared" ref="J19" si="0">IF(G19="","",K19/G19)</f>
        <v>33</v>
      </c>
      <c r="K19" s="51">
        <v>4752</v>
      </c>
      <c r="L19" s="11"/>
      <c r="M19" s="1">
        <f t="shared" ref="M19:M21" si="1">K19*24</f>
        <v>114048</v>
      </c>
      <c r="N19" s="84" t="s">
        <v>210</v>
      </c>
      <c r="O19" s="59" t="s">
        <v>198</v>
      </c>
    </row>
    <row r="20" spans="1:18">
      <c r="A20" s="15">
        <v>676367</v>
      </c>
      <c r="B20" s="15" t="s">
        <v>189</v>
      </c>
      <c r="C20" s="16">
        <v>800</v>
      </c>
      <c r="D20" s="16" t="s">
        <v>169</v>
      </c>
      <c r="E20" s="30" t="str">
        <f>VLOOKUP($D20,'Lookup info'!$D:$H,2,FALSE)</f>
        <v>0023</v>
      </c>
      <c r="F20" s="30" t="str">
        <f>VLOOKUP($D20,'Lookup info'!$D:$H,5,FALSE)</f>
        <v>W</v>
      </c>
      <c r="G20" s="26">
        <v>144</v>
      </c>
      <c r="H20" s="88"/>
      <c r="I20" s="27">
        <f>H20*G20</f>
        <v>0</v>
      </c>
      <c r="J20" s="57">
        <f t="shared" ref="J20" si="2">IF(G20="","",K20/G20)</f>
        <v>11</v>
      </c>
      <c r="K20" s="51">
        <v>1584</v>
      </c>
      <c r="L20" s="13"/>
      <c r="M20" s="1">
        <f t="shared" si="1"/>
        <v>38016</v>
      </c>
      <c r="N20" s="84" t="s">
        <v>210</v>
      </c>
      <c r="O20" s="59" t="s">
        <v>198</v>
      </c>
    </row>
    <row r="21" spans="1:18">
      <c r="A21" s="15">
        <v>676369</v>
      </c>
      <c r="B21" s="15" t="s">
        <v>190</v>
      </c>
      <c r="C21" s="16">
        <v>800</v>
      </c>
      <c r="D21" s="16" t="s">
        <v>169</v>
      </c>
      <c r="E21" s="30" t="str">
        <f>VLOOKUP($D21,'Lookup info'!$D:$H,2,FALSE)</f>
        <v>0023</v>
      </c>
      <c r="F21" s="30" t="str">
        <f>VLOOKUP($D21,'Lookup info'!$D:$H,5,FALSE)</f>
        <v>W</v>
      </c>
      <c r="G21" s="26">
        <v>144</v>
      </c>
      <c r="H21" s="88"/>
      <c r="I21" s="27">
        <f>H21*G21</f>
        <v>0</v>
      </c>
      <c r="J21" s="57">
        <f t="shared" ref="J21:J24" si="3">IF(G21="","",K21/G21)</f>
        <v>0</v>
      </c>
      <c r="K21" s="51">
        <v>0</v>
      </c>
      <c r="M21" s="1">
        <f t="shared" si="1"/>
        <v>0</v>
      </c>
      <c r="N21" s="84" t="s">
        <v>210</v>
      </c>
      <c r="O21" s="59" t="s">
        <v>198</v>
      </c>
    </row>
    <row r="22" spans="1:18">
      <c r="A22" s="15">
        <v>677211</v>
      </c>
      <c r="B22" s="15" t="s">
        <v>185</v>
      </c>
      <c r="C22" s="16">
        <v>800</v>
      </c>
      <c r="D22" s="16" t="s">
        <v>168</v>
      </c>
      <c r="E22" s="30" t="str">
        <f>VLOOKUP($D22,'Lookup info'!$D:$H,2,FALSE)</f>
        <v>0002</v>
      </c>
      <c r="F22" s="30" t="str">
        <f>VLOOKUP($D22,'Lookup info'!$D:$H,5,FALSE)</f>
        <v>C</v>
      </c>
      <c r="G22" s="26">
        <v>96</v>
      </c>
      <c r="H22" s="27">
        <v>153</v>
      </c>
      <c r="I22" s="27">
        <f t="shared" ref="I22:I23" si="4">H22*G22</f>
        <v>14688</v>
      </c>
      <c r="J22" s="57">
        <f t="shared" si="3"/>
        <v>150</v>
      </c>
      <c r="K22" s="51">
        <v>14400</v>
      </c>
      <c r="M22" s="1">
        <f t="shared" ref="M22:M24" si="5">K22*7</f>
        <v>100800</v>
      </c>
      <c r="N22" s="84" t="s">
        <v>234</v>
      </c>
      <c r="O22" s="59" t="s">
        <v>198</v>
      </c>
    </row>
    <row r="23" spans="1:18">
      <c r="A23" s="15">
        <v>677200</v>
      </c>
      <c r="B23" s="15" t="s">
        <v>186</v>
      </c>
      <c r="C23" s="16">
        <v>800</v>
      </c>
      <c r="D23" s="16" t="s">
        <v>168</v>
      </c>
      <c r="E23" s="30" t="str">
        <f>VLOOKUP($D23,'Lookup info'!$D:$H,2,FALSE)</f>
        <v>0002</v>
      </c>
      <c r="F23" s="30" t="str">
        <f>VLOOKUP($D23,'Lookup info'!$D:$H,5,FALSE)</f>
        <v>C</v>
      </c>
      <c r="G23" s="26">
        <v>96</v>
      </c>
      <c r="H23" s="27">
        <v>80</v>
      </c>
      <c r="I23" s="27">
        <f t="shared" si="4"/>
        <v>7680</v>
      </c>
      <c r="J23" s="57">
        <f t="shared" si="3"/>
        <v>90</v>
      </c>
      <c r="K23" s="51">
        <v>8640</v>
      </c>
      <c r="M23" s="1">
        <f t="shared" si="5"/>
        <v>60480</v>
      </c>
      <c r="N23" s="84" t="s">
        <v>235</v>
      </c>
      <c r="O23" s="59" t="s">
        <v>198</v>
      </c>
    </row>
    <row r="24" spans="1:18">
      <c r="A24" s="15">
        <v>677281</v>
      </c>
      <c r="B24" s="15" t="s">
        <v>187</v>
      </c>
      <c r="C24" s="16">
        <v>800</v>
      </c>
      <c r="D24" s="16" t="s">
        <v>168</v>
      </c>
      <c r="E24" s="30" t="str">
        <f>VLOOKUP($D24,'Lookup info'!$D:$H,2,FALSE)</f>
        <v>0002</v>
      </c>
      <c r="F24" s="30" t="str">
        <f>VLOOKUP($D24,'Lookup info'!$D:$H,5,FALSE)</f>
        <v>C</v>
      </c>
      <c r="G24" s="26">
        <v>96</v>
      </c>
      <c r="H24" s="27">
        <v>25</v>
      </c>
      <c r="I24" s="27">
        <f>H24*G24</f>
        <v>2400</v>
      </c>
      <c r="J24" s="57">
        <f t="shared" si="3"/>
        <v>0</v>
      </c>
      <c r="K24" s="51">
        <v>0</v>
      </c>
      <c r="L24"/>
      <c r="M24" s="1">
        <f t="shared" si="5"/>
        <v>0</v>
      </c>
      <c r="N24" s="84" t="s">
        <v>236</v>
      </c>
      <c r="O24" s="59" t="s">
        <v>198</v>
      </c>
    </row>
    <row r="25" spans="1:18">
      <c r="A25" s="83">
        <v>702466</v>
      </c>
      <c r="B25" s="83" t="s">
        <v>208</v>
      </c>
      <c r="C25" s="16">
        <v>280</v>
      </c>
      <c r="D25" s="16" t="s">
        <v>173</v>
      </c>
      <c r="E25" s="30" t="str">
        <f>VLOOKUP($D25,'Lookup info'!$D:$H,2,FALSE)</f>
        <v>0120</v>
      </c>
      <c r="F25" s="30" t="str">
        <f>VLOOKUP($D25,'Lookup info'!$D:$H,5,FALSE)</f>
        <v>F</v>
      </c>
      <c r="G25" s="26">
        <v>72</v>
      </c>
      <c r="H25" s="88"/>
      <c r="I25" s="88">
        <f>H25*G25</f>
        <v>0</v>
      </c>
      <c r="J25" s="89">
        <f t="shared" ref="J25:J42" si="6">IF(G25="","",K25/G25)</f>
        <v>0</v>
      </c>
      <c r="K25" s="91"/>
      <c r="N25" s="84" t="s">
        <v>209</v>
      </c>
      <c r="O25" s="87" t="s">
        <v>228</v>
      </c>
    </row>
    <row r="26" spans="1:18">
      <c r="A26" s="15">
        <v>552897</v>
      </c>
      <c r="B26" s="15" t="s">
        <v>211</v>
      </c>
      <c r="C26" s="16">
        <v>100</v>
      </c>
      <c r="D26" s="16" t="s">
        <v>172</v>
      </c>
      <c r="E26" s="30" t="str">
        <f>VLOOKUP($D26,'Lookup info'!$D:$H,2,FALSE)</f>
        <v>0091</v>
      </c>
      <c r="F26" s="30" t="str">
        <f>VLOOKUP($D26,'Lookup info'!$D:$H,5,FALSE)</f>
        <v>L</v>
      </c>
      <c r="G26" s="26">
        <v>245</v>
      </c>
      <c r="H26" s="27"/>
      <c r="I26" s="27">
        <f>H26*G26</f>
        <v>0</v>
      </c>
      <c r="J26" s="89">
        <f t="shared" si="6"/>
        <v>0</v>
      </c>
      <c r="K26" s="91"/>
      <c r="L26" s="11"/>
      <c r="M26" s="1">
        <f t="shared" ref="M26:M28" si="7">K26*24</f>
        <v>0</v>
      </c>
      <c r="N26" s="84" t="s">
        <v>210</v>
      </c>
      <c r="O26" s="59" t="s">
        <v>198</v>
      </c>
    </row>
    <row r="27" spans="1:18">
      <c r="A27" s="15">
        <v>701775</v>
      </c>
      <c r="B27" s="15" t="s">
        <v>212</v>
      </c>
      <c r="C27" s="16">
        <v>400</v>
      </c>
      <c r="D27" s="16" t="s">
        <v>172</v>
      </c>
      <c r="E27" s="30" t="str">
        <f>VLOOKUP($D27,'Lookup info'!$D:$H,2,FALSE)</f>
        <v>0091</v>
      </c>
      <c r="F27" s="30" t="str">
        <f>VLOOKUP($D27,'Lookup info'!$D:$H,5,FALSE)</f>
        <v>L</v>
      </c>
      <c r="G27" s="26">
        <v>108</v>
      </c>
      <c r="H27" s="27"/>
      <c r="I27" s="27">
        <f t="shared" ref="I27:I30" si="8">H27*G27</f>
        <v>0</v>
      </c>
      <c r="J27" s="89">
        <f t="shared" si="6"/>
        <v>0</v>
      </c>
      <c r="K27" s="91"/>
      <c r="L27" s="13"/>
      <c r="M27" s="1">
        <f t="shared" si="7"/>
        <v>0</v>
      </c>
      <c r="N27" s="87"/>
      <c r="O27" s="87" t="s">
        <v>228</v>
      </c>
    </row>
    <row r="28" spans="1:18">
      <c r="A28" s="15">
        <v>691217</v>
      </c>
      <c r="B28" s="15" t="s">
        <v>213</v>
      </c>
      <c r="C28" s="16">
        <v>500</v>
      </c>
      <c r="D28" s="16" t="s">
        <v>179</v>
      </c>
      <c r="E28" s="30" t="str">
        <f>VLOOKUP($D28,'Lookup info'!$D:$H,2,FALSE)</f>
        <v>0991</v>
      </c>
      <c r="F28" s="30" t="str">
        <f>VLOOKUP($D28,'Lookup info'!$D:$H,5,FALSE)</f>
        <v>3P</v>
      </c>
      <c r="G28" s="26">
        <v>78</v>
      </c>
      <c r="H28" s="27"/>
      <c r="I28" s="27">
        <f t="shared" si="8"/>
        <v>0</v>
      </c>
      <c r="J28" s="94">
        <f t="shared" si="6"/>
        <v>0</v>
      </c>
      <c r="K28" s="91"/>
      <c r="M28" s="1">
        <f t="shared" si="7"/>
        <v>0</v>
      </c>
      <c r="N28" s="56"/>
      <c r="O28" s="87" t="s">
        <v>228</v>
      </c>
    </row>
    <row r="29" spans="1:18">
      <c r="A29" s="15">
        <v>117771</v>
      </c>
      <c r="B29" s="15" t="s">
        <v>214</v>
      </c>
      <c r="C29" s="16">
        <v>500</v>
      </c>
      <c r="D29" s="16" t="s">
        <v>172</v>
      </c>
      <c r="E29" s="30" t="str">
        <f>VLOOKUP($D29,'Lookup info'!$D:$H,2,FALSE)</f>
        <v>0091</v>
      </c>
      <c r="F29" s="30" t="str">
        <f>VLOOKUP($D29,'Lookup info'!$D:$H,5,FALSE)</f>
        <v>L</v>
      </c>
      <c r="G29" s="26">
        <v>200</v>
      </c>
      <c r="H29" s="27"/>
      <c r="I29" s="27">
        <f t="shared" si="8"/>
        <v>0</v>
      </c>
      <c r="J29" s="94">
        <f t="shared" si="6"/>
        <v>0</v>
      </c>
      <c r="K29" s="91"/>
      <c r="M29" s="1">
        <f t="shared" ref="M29:M31" si="9">K29*7</f>
        <v>0</v>
      </c>
      <c r="N29" s="56"/>
      <c r="O29" s="87" t="s">
        <v>228</v>
      </c>
    </row>
    <row r="30" spans="1:18">
      <c r="A30" s="15">
        <v>611174</v>
      </c>
      <c r="B30" s="15" t="s">
        <v>215</v>
      </c>
      <c r="C30" s="16">
        <v>400</v>
      </c>
      <c r="D30" s="16" t="s">
        <v>173</v>
      </c>
      <c r="E30" s="30" t="str">
        <f>VLOOKUP($D30,'Lookup info'!$D:$H,2,FALSE)</f>
        <v>0120</v>
      </c>
      <c r="F30" s="30" t="str">
        <f>VLOOKUP($D30,'Lookup info'!$D:$H,5,FALSE)</f>
        <v>F</v>
      </c>
      <c r="G30" s="26">
        <v>72</v>
      </c>
      <c r="H30" s="27"/>
      <c r="I30" s="27">
        <f t="shared" si="8"/>
        <v>0</v>
      </c>
      <c r="J30" s="94">
        <f t="shared" si="6"/>
        <v>0</v>
      </c>
      <c r="K30" s="91"/>
      <c r="M30" s="1">
        <f t="shared" si="9"/>
        <v>0</v>
      </c>
      <c r="N30" s="84" t="s">
        <v>229</v>
      </c>
      <c r="O30" s="87" t="s">
        <v>228</v>
      </c>
    </row>
    <row r="31" spans="1:18">
      <c r="A31" s="15">
        <v>117547</v>
      </c>
      <c r="B31" s="15" t="s">
        <v>216</v>
      </c>
      <c r="C31" s="16">
        <v>400</v>
      </c>
      <c r="D31" s="16" t="s">
        <v>172</v>
      </c>
      <c r="E31" s="30" t="str">
        <f>VLOOKUP($D31,'Lookup info'!$D:$H,2,FALSE)</f>
        <v>0091</v>
      </c>
      <c r="F31" s="30" t="str">
        <f>VLOOKUP($D31,'Lookup info'!$D:$H,5,FALSE)</f>
        <v>L</v>
      </c>
      <c r="G31" s="26">
        <v>108</v>
      </c>
      <c r="H31" s="27"/>
      <c r="I31" s="27">
        <f>H31*G31</f>
        <v>0</v>
      </c>
      <c r="J31" s="94">
        <f t="shared" si="6"/>
        <v>0</v>
      </c>
      <c r="K31" s="91"/>
      <c r="L31"/>
      <c r="M31" s="1">
        <f t="shared" si="9"/>
        <v>0</v>
      </c>
      <c r="N31" s="56"/>
      <c r="O31" s="87" t="s">
        <v>228</v>
      </c>
    </row>
    <row r="32" spans="1:18">
      <c r="A32" s="15">
        <v>646546</v>
      </c>
      <c r="B32" s="15" t="s">
        <v>217</v>
      </c>
      <c r="C32" s="16">
        <v>400</v>
      </c>
      <c r="D32" s="16" t="s">
        <v>172</v>
      </c>
      <c r="E32" s="30" t="str">
        <f>VLOOKUP($D32,'Lookup info'!$D:$H,2,FALSE)</f>
        <v>0091</v>
      </c>
      <c r="F32" s="30" t="str">
        <f>VLOOKUP($D32,'Lookup info'!$D:$H,5,FALSE)</f>
        <v>L</v>
      </c>
      <c r="G32" s="26">
        <v>225</v>
      </c>
      <c r="H32" s="27"/>
      <c r="I32" s="27">
        <f t="shared" ref="I32:I40" si="10">H32*G32</f>
        <v>0</v>
      </c>
      <c r="J32" s="94">
        <f t="shared" si="6"/>
        <v>0</v>
      </c>
      <c r="K32" s="91"/>
      <c r="M32" s="1">
        <f t="shared" ref="M32" si="11">K32*4</f>
        <v>0</v>
      </c>
      <c r="O32" s="87" t="s">
        <v>228</v>
      </c>
      <c r="R32" s="55"/>
    </row>
    <row r="33" spans="1:15">
      <c r="A33" s="15">
        <v>646567</v>
      </c>
      <c r="B33" s="15" t="s">
        <v>218</v>
      </c>
      <c r="C33" s="16">
        <v>400</v>
      </c>
      <c r="D33" s="16" t="s">
        <v>172</v>
      </c>
      <c r="E33" s="30" t="str">
        <f>VLOOKUP($D33,'Lookup info'!$D:$H,2,FALSE)</f>
        <v>0091</v>
      </c>
      <c r="F33" s="30" t="str">
        <f>VLOOKUP($D33,'Lookup info'!$D:$H,5,FALSE)</f>
        <v>L</v>
      </c>
      <c r="G33" s="26">
        <v>225</v>
      </c>
      <c r="H33" s="27"/>
      <c r="I33" s="27">
        <f t="shared" si="10"/>
        <v>0</v>
      </c>
      <c r="J33" s="94">
        <f t="shared" si="6"/>
        <v>0</v>
      </c>
      <c r="K33" s="91"/>
      <c r="L33" s="14"/>
      <c r="M33" s="14">
        <f t="shared" ref="M33" si="12">K33*7</f>
        <v>0</v>
      </c>
      <c r="O33" s="87" t="s">
        <v>228</v>
      </c>
    </row>
    <row r="34" spans="1:15">
      <c r="A34" s="15">
        <v>116180</v>
      </c>
      <c r="B34" s="15" t="s">
        <v>219</v>
      </c>
      <c r="C34" s="16">
        <v>500</v>
      </c>
      <c r="D34" s="16" t="s">
        <v>172</v>
      </c>
      <c r="E34" s="30" t="str">
        <f>VLOOKUP($D34,'Lookup info'!$D:$H,2,FALSE)</f>
        <v>0091</v>
      </c>
      <c r="F34" s="30" t="str">
        <f>VLOOKUP($D34,'Lookup info'!$D:$H,5,FALSE)</f>
        <v>L</v>
      </c>
      <c r="G34" s="26">
        <v>200</v>
      </c>
      <c r="H34" s="27"/>
      <c r="I34" s="27">
        <f t="shared" si="10"/>
        <v>0</v>
      </c>
      <c r="J34" s="94">
        <f t="shared" si="6"/>
        <v>0</v>
      </c>
      <c r="K34" s="91"/>
      <c r="M34" s="1">
        <f>K34*5</f>
        <v>0</v>
      </c>
      <c r="O34" s="87" t="s">
        <v>228</v>
      </c>
    </row>
    <row r="35" spans="1:15">
      <c r="A35" s="15">
        <v>552896</v>
      </c>
      <c r="B35" s="15" t="s">
        <v>220</v>
      </c>
      <c r="C35" s="16">
        <v>100</v>
      </c>
      <c r="D35" s="16" t="s">
        <v>172</v>
      </c>
      <c r="E35" s="30" t="str">
        <f>VLOOKUP($D35,'Lookup info'!$D:$H,2,FALSE)</f>
        <v>0091</v>
      </c>
      <c r="F35" s="30" t="str">
        <f>VLOOKUP($D35,'Lookup info'!$D:$H,5,FALSE)</f>
        <v>L</v>
      </c>
      <c r="G35" s="26">
        <v>245</v>
      </c>
      <c r="H35" s="27"/>
      <c r="I35" s="27">
        <f t="shared" si="10"/>
        <v>0</v>
      </c>
      <c r="J35" s="94">
        <f t="shared" si="6"/>
        <v>0</v>
      </c>
      <c r="K35" s="91"/>
      <c r="M35" s="1">
        <f t="shared" ref="M35:M39" si="13">K35*4</f>
        <v>0</v>
      </c>
      <c r="N35" s="84" t="s">
        <v>210</v>
      </c>
      <c r="O35" s="87" t="s">
        <v>228</v>
      </c>
    </row>
    <row r="36" spans="1:15">
      <c r="A36" s="15">
        <v>578785</v>
      </c>
      <c r="B36" s="15" t="s">
        <v>221</v>
      </c>
      <c r="C36" s="16">
        <v>100</v>
      </c>
      <c r="D36" s="16" t="s">
        <v>172</v>
      </c>
      <c r="E36" s="30" t="str">
        <f>VLOOKUP($D36,'Lookup info'!$D:$H,2,FALSE)</f>
        <v>0091</v>
      </c>
      <c r="F36" s="30" t="str">
        <f>VLOOKUP($D36,'Lookup info'!$D:$H,5,FALSE)</f>
        <v>L</v>
      </c>
      <c r="G36" s="26">
        <v>245</v>
      </c>
      <c r="H36" s="27"/>
      <c r="I36" s="27">
        <f t="shared" si="10"/>
        <v>0</v>
      </c>
      <c r="J36" s="94">
        <f t="shared" si="6"/>
        <v>0</v>
      </c>
      <c r="K36" s="91"/>
      <c r="M36" s="1">
        <f t="shared" si="13"/>
        <v>0</v>
      </c>
      <c r="N36" s="84" t="s">
        <v>230</v>
      </c>
      <c r="O36" s="87" t="s">
        <v>228</v>
      </c>
    </row>
    <row r="37" spans="1:15">
      <c r="A37" s="15">
        <v>589462</v>
      </c>
      <c r="B37" s="15" t="s">
        <v>222</v>
      </c>
      <c r="C37" s="16">
        <v>400</v>
      </c>
      <c r="D37" s="16" t="s">
        <v>172</v>
      </c>
      <c r="E37" s="30" t="str">
        <f>VLOOKUP($D37,'Lookup info'!$D:$H,2,FALSE)</f>
        <v>0091</v>
      </c>
      <c r="F37" s="30" t="str">
        <f>VLOOKUP($D37,'Lookup info'!$D:$H,5,FALSE)</f>
        <v>L</v>
      </c>
      <c r="G37" s="26">
        <v>108</v>
      </c>
      <c r="H37" s="27"/>
      <c r="I37" s="27">
        <f t="shared" si="10"/>
        <v>0</v>
      </c>
      <c r="J37" s="94">
        <f t="shared" si="6"/>
        <v>0</v>
      </c>
      <c r="K37" s="91"/>
      <c r="M37" s="1">
        <f t="shared" si="13"/>
        <v>0</v>
      </c>
      <c r="O37" s="87" t="s">
        <v>228</v>
      </c>
    </row>
    <row r="38" spans="1:15">
      <c r="A38" s="15">
        <v>589466</v>
      </c>
      <c r="B38" s="15" t="s">
        <v>223</v>
      </c>
      <c r="C38" s="16">
        <v>400</v>
      </c>
      <c r="D38" s="16" t="s">
        <v>172</v>
      </c>
      <c r="E38" s="30" t="str">
        <f>VLOOKUP($D38,'Lookup info'!$D:$H,2,FALSE)</f>
        <v>0091</v>
      </c>
      <c r="F38" s="30" t="str">
        <f>VLOOKUP($D38,'Lookup info'!$D:$H,5,FALSE)</f>
        <v>L</v>
      </c>
      <c r="G38" s="26">
        <v>108</v>
      </c>
      <c r="H38" s="27"/>
      <c r="I38" s="27">
        <f t="shared" si="10"/>
        <v>0</v>
      </c>
      <c r="J38" s="94">
        <f t="shared" si="6"/>
        <v>0</v>
      </c>
      <c r="K38" s="91"/>
      <c r="M38" s="1">
        <f t="shared" si="13"/>
        <v>0</v>
      </c>
      <c r="O38" s="87" t="s">
        <v>228</v>
      </c>
    </row>
    <row r="39" spans="1:15">
      <c r="A39" s="15">
        <v>646548</v>
      </c>
      <c r="B39" s="15" t="s">
        <v>224</v>
      </c>
      <c r="C39" s="16">
        <v>400</v>
      </c>
      <c r="D39" s="16" t="s">
        <v>172</v>
      </c>
      <c r="E39" s="30" t="str">
        <f>VLOOKUP($D39,'Lookup info'!$D:$H,2,FALSE)</f>
        <v>0091</v>
      </c>
      <c r="F39" s="30" t="str">
        <f>VLOOKUP($D39,'Lookup info'!$D:$H,5,FALSE)</f>
        <v>L</v>
      </c>
      <c r="G39" s="26">
        <v>225</v>
      </c>
      <c r="H39" s="27"/>
      <c r="I39" s="27">
        <f t="shared" si="10"/>
        <v>0</v>
      </c>
      <c r="J39" s="94">
        <f t="shared" si="6"/>
        <v>0</v>
      </c>
      <c r="K39" s="91"/>
      <c r="M39" s="1">
        <f t="shared" si="13"/>
        <v>0</v>
      </c>
      <c r="O39" s="87" t="s">
        <v>228</v>
      </c>
    </row>
    <row r="40" spans="1:15">
      <c r="A40" s="15">
        <v>699883</v>
      </c>
      <c r="B40" s="15" t="s">
        <v>225</v>
      </c>
      <c r="C40" s="16">
        <v>300</v>
      </c>
      <c r="D40" s="16" t="s">
        <v>173</v>
      </c>
      <c r="E40" s="30" t="str">
        <f>VLOOKUP($D40,'Lookup info'!$D:$H,2,FALSE)</f>
        <v>0120</v>
      </c>
      <c r="F40" s="30" t="str">
        <f>VLOOKUP($D40,'Lookup info'!$D:$H,5,FALSE)</f>
        <v>F</v>
      </c>
      <c r="G40" s="26">
        <v>144</v>
      </c>
      <c r="H40" s="27"/>
      <c r="I40" s="27">
        <f t="shared" si="10"/>
        <v>0</v>
      </c>
      <c r="J40" s="94">
        <f t="shared" si="6"/>
        <v>0</v>
      </c>
      <c r="K40" s="91"/>
      <c r="O40" s="87" t="s">
        <v>228</v>
      </c>
    </row>
    <row r="41" spans="1:15">
      <c r="A41" s="15">
        <v>695413</v>
      </c>
      <c r="B41" s="15" t="s">
        <v>226</v>
      </c>
      <c r="C41" s="16">
        <v>400</v>
      </c>
      <c r="D41" s="16" t="s">
        <v>173</v>
      </c>
      <c r="E41" s="30" t="str">
        <f>VLOOKUP($D41,'Lookup info'!$D:$H,2,FALSE)</f>
        <v>0120</v>
      </c>
      <c r="F41" s="30" t="str">
        <f>VLOOKUP($D41,'Lookup info'!$D:$H,5,FALSE)</f>
        <v>F</v>
      </c>
      <c r="G41" s="26">
        <v>132</v>
      </c>
      <c r="H41" s="27"/>
      <c r="I41" s="27">
        <f t="shared" ref="I41:I42" si="14">H41*G41</f>
        <v>0</v>
      </c>
      <c r="J41" s="94">
        <f t="shared" si="6"/>
        <v>0</v>
      </c>
      <c r="K41" s="91"/>
      <c r="M41" s="1">
        <f t="shared" ref="M41" si="15">K41*7</f>
        <v>0</v>
      </c>
      <c r="O41" s="87" t="s">
        <v>228</v>
      </c>
    </row>
    <row r="42" spans="1:15">
      <c r="A42" s="15">
        <v>645380</v>
      </c>
      <c r="B42" s="15" t="s">
        <v>227</v>
      </c>
      <c r="C42" s="16">
        <v>400</v>
      </c>
      <c r="D42" s="16" t="s">
        <v>168</v>
      </c>
      <c r="E42" s="30" t="str">
        <f>VLOOKUP($D42,'Lookup info'!$D:$H,2,FALSE)</f>
        <v>0002</v>
      </c>
      <c r="F42" s="30" t="str">
        <f>VLOOKUP($D42,'Lookup info'!$D:$H,5,FALSE)</f>
        <v>C</v>
      </c>
      <c r="G42" s="26">
        <v>72</v>
      </c>
      <c r="H42" s="27"/>
      <c r="I42" s="27">
        <f t="shared" si="14"/>
        <v>0</v>
      </c>
      <c r="J42" s="89">
        <f t="shared" si="6"/>
        <v>0</v>
      </c>
      <c r="K42" s="91"/>
      <c r="M42" s="1">
        <f>K42*5</f>
        <v>0</v>
      </c>
      <c r="O42" s="87" t="s">
        <v>228</v>
      </c>
    </row>
    <row r="43" spans="1:15">
      <c r="A43" s="8"/>
      <c r="B43" s="3"/>
      <c r="C43" s="3"/>
      <c r="D43" s="3"/>
      <c r="E43" s="3"/>
      <c r="F43" s="3"/>
      <c r="G43" s="3"/>
      <c r="J43" s="54"/>
      <c r="K43" s="3"/>
      <c r="O43" s="87"/>
    </row>
    <row r="44" spans="1:15">
      <c r="A44" s="8"/>
      <c r="B44" s="8"/>
      <c r="C44" s="3"/>
      <c r="J44" s="8" t="s">
        <v>19</v>
      </c>
      <c r="K44" s="3"/>
    </row>
    <row r="45" spans="1:15">
      <c r="A45" s="8"/>
      <c r="B45" s="8"/>
      <c r="C45" s="3"/>
      <c r="H45" s="86"/>
      <c r="J45" s="8" t="s">
        <v>20</v>
      </c>
      <c r="K45" s="28"/>
    </row>
    <row r="46" spans="1:15">
      <c r="A46" s="11"/>
      <c r="B46" s="11"/>
    </row>
    <row r="48" spans="1:15">
      <c r="A48"/>
      <c r="B48"/>
      <c r="C48"/>
      <c r="D48"/>
      <c r="E48"/>
      <c r="F48"/>
      <c r="G48"/>
      <c r="H48"/>
      <c r="I48"/>
      <c r="J48" s="22"/>
    </row>
    <row r="49" spans="1:11">
      <c r="A49"/>
      <c r="B49"/>
      <c r="C49"/>
      <c r="D49"/>
      <c r="E49"/>
      <c r="F49"/>
      <c r="G49"/>
      <c r="H49"/>
      <c r="I49"/>
      <c r="J49" s="22"/>
    </row>
    <row r="50" spans="1:11">
      <c r="A50"/>
      <c r="B50"/>
      <c r="C50"/>
      <c r="D50"/>
      <c r="E50"/>
      <c r="F50"/>
      <c r="G50"/>
      <c r="H50"/>
      <c r="I50"/>
      <c r="J50" s="22"/>
    </row>
    <row r="51" spans="1:11">
      <c r="A51"/>
      <c r="B51"/>
      <c r="C51"/>
      <c r="D51"/>
      <c r="E51"/>
      <c r="F51"/>
      <c r="G51"/>
      <c r="H51"/>
      <c r="I51"/>
      <c r="J51" s="22"/>
    </row>
    <row r="52" spans="1:11">
      <c r="A52"/>
      <c r="B52"/>
      <c r="C52"/>
      <c r="D52"/>
      <c r="E52"/>
      <c r="F52"/>
      <c r="G52"/>
      <c r="H52"/>
      <c r="I52"/>
      <c r="J52" s="22"/>
    </row>
    <row r="53" spans="1:11">
      <c r="A53" s="23"/>
      <c r="B53"/>
      <c r="C53"/>
      <c r="D53"/>
      <c r="E53"/>
      <c r="F53"/>
      <c r="G53"/>
      <c r="H53"/>
      <c r="I53"/>
      <c r="J53" s="22"/>
    </row>
    <row r="54" spans="1:11">
      <c r="A54"/>
      <c r="B54"/>
      <c r="C54"/>
      <c r="D54"/>
      <c r="E54"/>
      <c r="F54"/>
      <c r="G54"/>
      <c r="H54"/>
      <c r="I54" s="53"/>
      <c r="J54" s="22"/>
    </row>
    <row r="55" spans="1:11">
      <c r="A55"/>
      <c r="B55"/>
      <c r="C55"/>
      <c r="D55"/>
      <c r="E55"/>
      <c r="F55"/>
      <c r="G55"/>
      <c r="H55"/>
      <c r="I55" s="52"/>
      <c r="J55" s="22"/>
    </row>
    <row r="56" spans="1:11">
      <c r="A56"/>
      <c r="B56"/>
      <c r="C56"/>
      <c r="D56"/>
      <c r="E56"/>
      <c r="F56"/>
      <c r="G56"/>
      <c r="H56"/>
      <c r="I56" s="52"/>
      <c r="J56" s="22"/>
    </row>
    <row r="57" spans="1:11">
      <c r="I57"/>
    </row>
    <row r="58" spans="1:11">
      <c r="I58"/>
    </row>
    <row r="59" spans="1:11">
      <c r="I59"/>
    </row>
    <row r="60" spans="1:11">
      <c r="I60"/>
    </row>
    <row r="61" spans="1:11">
      <c r="I61"/>
      <c r="K61" s="85"/>
    </row>
    <row r="62" spans="1:11">
      <c r="I62"/>
    </row>
  </sheetData>
  <autoFilter ref="A18:O42" xr:uid="{00000000-0001-0000-0000-000000000000}"/>
  <phoneticPr fontId="12" type="noConversion"/>
  <dataValidations disablePrompts="1"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D19:D24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27FF7-CC26-4D00-9D12-7DB0685A645B}">
  <dimension ref="B2:J35"/>
  <sheetViews>
    <sheetView workbookViewId="0">
      <selection activeCell="B4" sqref="B4"/>
    </sheetView>
  </sheetViews>
  <sheetFormatPr defaultColWidth="8.75" defaultRowHeight="16.5"/>
  <sheetData>
    <row r="2" spans="2:10" ht="17.25" thickBot="1"/>
    <row r="3" spans="2:10" ht="18" thickTop="1" thickBot="1">
      <c r="B3" s="77" t="s">
        <v>199</v>
      </c>
      <c r="C3" s="78" t="s">
        <v>200</v>
      </c>
      <c r="D3" s="78" t="s">
        <v>201</v>
      </c>
      <c r="E3" s="79" t="s">
        <v>202</v>
      </c>
      <c r="F3" s="79" t="s">
        <v>203</v>
      </c>
      <c r="G3" s="80" t="s">
        <v>204</v>
      </c>
      <c r="H3" s="81" t="s">
        <v>205</v>
      </c>
      <c r="I3" s="79" t="s">
        <v>206</v>
      </c>
      <c r="J3" s="79" t="s">
        <v>207</v>
      </c>
    </row>
    <row r="4" spans="2:10" ht="17.25" thickBot="1">
      <c r="B4" s="60">
        <v>309</v>
      </c>
      <c r="C4" s="61">
        <v>315</v>
      </c>
      <c r="D4" s="61">
        <v>318</v>
      </c>
      <c r="E4" s="62">
        <v>324</v>
      </c>
      <c r="F4" s="62">
        <v>334</v>
      </c>
      <c r="G4" s="63">
        <v>347</v>
      </c>
      <c r="H4" s="63">
        <v>365</v>
      </c>
      <c r="I4" s="62">
        <v>390</v>
      </c>
      <c r="J4" s="62">
        <v>406</v>
      </c>
    </row>
    <row r="5" spans="2:10" ht="17.25" thickBot="1">
      <c r="B5" s="64">
        <v>1369</v>
      </c>
      <c r="C5" s="65">
        <v>1355</v>
      </c>
      <c r="D5" s="65">
        <v>1328</v>
      </c>
      <c r="E5" s="66">
        <v>1368</v>
      </c>
      <c r="F5" s="66">
        <v>1436</v>
      </c>
      <c r="G5" s="67">
        <v>1537</v>
      </c>
      <c r="H5" s="67">
        <v>1675</v>
      </c>
      <c r="I5" s="66">
        <v>1842</v>
      </c>
      <c r="J5" s="66">
        <v>1953</v>
      </c>
    </row>
    <row r="6" spans="2:10" ht="17.25" thickBot="1">
      <c r="B6" s="68">
        <v>423</v>
      </c>
      <c r="C6" s="69">
        <v>435</v>
      </c>
      <c r="D6" s="69">
        <v>422</v>
      </c>
      <c r="E6" s="70">
        <v>405</v>
      </c>
      <c r="F6" s="70">
        <v>426</v>
      </c>
      <c r="G6" s="71">
        <v>456</v>
      </c>
      <c r="H6" s="71">
        <v>501</v>
      </c>
      <c r="I6" s="70">
        <v>576</v>
      </c>
      <c r="J6" s="70">
        <v>628</v>
      </c>
    </row>
    <row r="7" spans="2:10" ht="17.25" thickBot="1">
      <c r="B7" s="64">
        <v>1247</v>
      </c>
      <c r="C7" s="69">
        <v>298</v>
      </c>
      <c r="D7" s="69">
        <v>192</v>
      </c>
      <c r="E7" s="70">
        <v>209</v>
      </c>
      <c r="F7" s="70">
        <v>276</v>
      </c>
      <c r="G7" s="71">
        <v>169</v>
      </c>
      <c r="H7" s="71">
        <v>125</v>
      </c>
      <c r="I7" s="70">
        <v>173</v>
      </c>
      <c r="J7" s="70">
        <v>333</v>
      </c>
    </row>
    <row r="8" spans="2:10" ht="17.25" thickBot="1">
      <c r="B8" s="68">
        <v>779</v>
      </c>
      <c r="C8" s="69">
        <v>794</v>
      </c>
      <c r="D8" s="69">
        <v>723</v>
      </c>
      <c r="E8" s="70">
        <v>687</v>
      </c>
      <c r="F8" s="70">
        <v>639</v>
      </c>
      <c r="G8" s="71">
        <v>658</v>
      </c>
      <c r="H8" s="71">
        <v>691</v>
      </c>
      <c r="I8" s="70">
        <v>725</v>
      </c>
      <c r="J8" s="70">
        <v>754</v>
      </c>
    </row>
    <row r="9" spans="2:10" ht="17.25" thickBot="1">
      <c r="B9" s="68">
        <v>401</v>
      </c>
      <c r="C9" s="69">
        <v>413</v>
      </c>
      <c r="D9" s="69">
        <v>417</v>
      </c>
      <c r="E9" s="70">
        <v>355</v>
      </c>
      <c r="F9" s="70">
        <v>319</v>
      </c>
      <c r="G9" s="71">
        <v>351</v>
      </c>
      <c r="H9" s="71">
        <v>393</v>
      </c>
      <c r="I9" s="70">
        <v>452</v>
      </c>
      <c r="J9" s="70">
        <v>475</v>
      </c>
    </row>
    <row r="10" spans="2:10" ht="17.25" thickBot="1">
      <c r="B10" s="64">
        <v>1150</v>
      </c>
      <c r="C10" s="69">
        <v>396</v>
      </c>
      <c r="D10" s="69">
        <v>330</v>
      </c>
      <c r="E10" s="70">
        <v>488</v>
      </c>
      <c r="F10" s="70">
        <v>564</v>
      </c>
      <c r="G10" s="71">
        <v>296</v>
      </c>
      <c r="H10" s="71">
        <v>137</v>
      </c>
      <c r="I10" s="70">
        <v>105</v>
      </c>
      <c r="J10" s="70">
        <v>123</v>
      </c>
    </row>
    <row r="11" spans="2:10" ht="17.25" thickBot="1">
      <c r="B11" s="72">
        <v>377</v>
      </c>
      <c r="C11" s="73">
        <v>339</v>
      </c>
      <c r="D11" s="73">
        <v>322</v>
      </c>
      <c r="E11" s="74">
        <v>319</v>
      </c>
      <c r="F11" s="74">
        <v>329</v>
      </c>
      <c r="G11" s="75">
        <v>342</v>
      </c>
      <c r="H11" s="75">
        <v>362</v>
      </c>
      <c r="I11" s="74">
        <v>388</v>
      </c>
      <c r="J11" s="74">
        <v>407</v>
      </c>
    </row>
    <row r="12" spans="2:10" ht="18" thickTop="1" thickBot="1">
      <c r="B12" s="64">
        <v>6544</v>
      </c>
      <c r="C12" s="65">
        <v>5889</v>
      </c>
      <c r="D12" s="65">
        <v>6007</v>
      </c>
      <c r="E12" s="66">
        <v>6187</v>
      </c>
      <c r="F12" s="66">
        <v>6435</v>
      </c>
      <c r="G12" s="67">
        <v>6756</v>
      </c>
      <c r="H12" s="67">
        <v>7094</v>
      </c>
      <c r="I12" s="66">
        <v>7520</v>
      </c>
      <c r="J12" s="66">
        <v>7821</v>
      </c>
    </row>
    <row r="13" spans="2:10" ht="17.25" thickBot="1">
      <c r="B13" s="64">
        <v>13691</v>
      </c>
      <c r="C13" s="65">
        <v>13144</v>
      </c>
      <c r="D13" s="65">
        <v>12749</v>
      </c>
      <c r="E13" s="66">
        <v>13004</v>
      </c>
      <c r="F13" s="66">
        <v>13395</v>
      </c>
      <c r="G13" s="67">
        <v>13930</v>
      </c>
      <c r="H13" s="67">
        <v>14906</v>
      </c>
      <c r="I13" s="66">
        <v>16098</v>
      </c>
      <c r="J13" s="66">
        <v>16742</v>
      </c>
    </row>
    <row r="14" spans="2:10" ht="17.25" thickBot="1">
      <c r="B14" s="64">
        <v>11583</v>
      </c>
      <c r="C14" s="65">
        <v>10425</v>
      </c>
      <c r="D14" s="65">
        <v>10320</v>
      </c>
      <c r="E14" s="66">
        <v>10527</v>
      </c>
      <c r="F14" s="66">
        <v>10843</v>
      </c>
      <c r="G14" s="67">
        <v>11493</v>
      </c>
      <c r="H14" s="67">
        <v>11953</v>
      </c>
      <c r="I14" s="66">
        <v>12670</v>
      </c>
      <c r="J14" s="66">
        <v>13304</v>
      </c>
    </row>
    <row r="15" spans="2:10" ht="17.25" thickBot="1">
      <c r="B15" s="64">
        <v>1565</v>
      </c>
      <c r="C15" s="65">
        <v>1486</v>
      </c>
      <c r="D15" s="65">
        <v>1442</v>
      </c>
      <c r="E15" s="66">
        <v>1485</v>
      </c>
      <c r="F15" s="66">
        <v>1515</v>
      </c>
      <c r="G15" s="67">
        <v>1560</v>
      </c>
      <c r="H15" s="67">
        <v>1669</v>
      </c>
      <c r="I15" s="66">
        <v>1803</v>
      </c>
      <c r="J15" s="66">
        <v>1839</v>
      </c>
    </row>
    <row r="16" spans="2:10" ht="17.25" thickBot="1">
      <c r="B16" s="68">
        <v>158</v>
      </c>
      <c r="C16" s="69">
        <v>142</v>
      </c>
      <c r="D16" s="69">
        <v>135</v>
      </c>
      <c r="E16" s="70">
        <v>124</v>
      </c>
      <c r="F16" s="70">
        <v>124</v>
      </c>
      <c r="G16" s="71">
        <v>125</v>
      </c>
      <c r="H16" s="71">
        <v>129</v>
      </c>
      <c r="I16" s="70">
        <v>134</v>
      </c>
      <c r="J16" s="70">
        <v>137</v>
      </c>
    </row>
    <row r="17" spans="2:10" ht="17.25" thickBot="1">
      <c r="B17" s="68">
        <v>266</v>
      </c>
      <c r="C17" s="69">
        <v>306</v>
      </c>
      <c r="D17" s="69">
        <v>315</v>
      </c>
      <c r="E17" s="70">
        <v>322</v>
      </c>
      <c r="F17" s="70">
        <v>325</v>
      </c>
      <c r="G17" s="71">
        <v>332</v>
      </c>
      <c r="H17" s="71">
        <v>338</v>
      </c>
      <c r="I17" s="70">
        <v>345</v>
      </c>
      <c r="J17" s="70">
        <v>352</v>
      </c>
    </row>
    <row r="18" spans="2:10" ht="17.25" thickBot="1">
      <c r="B18" s="76">
        <v>203</v>
      </c>
      <c r="C18" s="70">
        <v>195</v>
      </c>
      <c r="D18" s="70">
        <v>201</v>
      </c>
      <c r="E18" s="70">
        <v>203</v>
      </c>
      <c r="F18" s="70">
        <v>207</v>
      </c>
      <c r="G18" s="71">
        <v>211</v>
      </c>
      <c r="H18" s="71">
        <v>218</v>
      </c>
      <c r="I18" s="70">
        <v>222</v>
      </c>
      <c r="J18" s="70">
        <v>229</v>
      </c>
    </row>
    <row r="20" spans="2:10">
      <c r="B20" s="82">
        <f>B4</f>
        <v>309</v>
      </c>
      <c r="C20" s="82">
        <f>C4*1.05</f>
        <v>330.75</v>
      </c>
      <c r="D20" s="82">
        <f t="shared" ref="D20:J20" si="0">D4*1.05</f>
        <v>333.90000000000003</v>
      </c>
      <c r="E20" s="82">
        <f t="shared" si="0"/>
        <v>340.2</v>
      </c>
      <c r="F20" s="82">
        <f t="shared" si="0"/>
        <v>350.7</v>
      </c>
      <c r="G20" s="82">
        <f t="shared" si="0"/>
        <v>364.35</v>
      </c>
      <c r="H20" s="82">
        <f t="shared" si="0"/>
        <v>383.25</v>
      </c>
      <c r="I20" s="82">
        <f t="shared" si="0"/>
        <v>409.5</v>
      </c>
      <c r="J20" s="82">
        <f t="shared" si="0"/>
        <v>426.3</v>
      </c>
    </row>
    <row r="21" spans="2:10">
      <c r="B21" s="82">
        <f t="shared" ref="B21:B34" si="1">B5</f>
        <v>1369</v>
      </c>
      <c r="C21" s="82">
        <f t="shared" ref="C21:J21" si="2">C5*1.05</f>
        <v>1422.75</v>
      </c>
      <c r="D21" s="82">
        <f t="shared" si="2"/>
        <v>1394.4</v>
      </c>
      <c r="E21" s="82">
        <f t="shared" si="2"/>
        <v>1436.4</v>
      </c>
      <c r="F21" s="82">
        <f t="shared" si="2"/>
        <v>1507.8</v>
      </c>
      <c r="G21" s="82">
        <f t="shared" si="2"/>
        <v>1613.8500000000001</v>
      </c>
      <c r="H21" s="82">
        <f t="shared" si="2"/>
        <v>1758.75</v>
      </c>
      <c r="I21" s="82">
        <f t="shared" si="2"/>
        <v>1934.1000000000001</v>
      </c>
      <c r="J21" s="82">
        <f t="shared" si="2"/>
        <v>2050.65</v>
      </c>
    </row>
    <row r="22" spans="2:10">
      <c r="B22" s="82">
        <f t="shared" si="1"/>
        <v>423</v>
      </c>
      <c r="C22" s="82">
        <f t="shared" ref="C22:J22" si="3">C6*1.05</f>
        <v>456.75</v>
      </c>
      <c r="D22" s="82">
        <f t="shared" si="3"/>
        <v>443.1</v>
      </c>
      <c r="E22" s="82">
        <f t="shared" si="3"/>
        <v>425.25</v>
      </c>
      <c r="F22" s="82">
        <f t="shared" si="3"/>
        <v>447.3</v>
      </c>
      <c r="G22" s="82">
        <f t="shared" si="3"/>
        <v>478.8</v>
      </c>
      <c r="H22" s="82">
        <f t="shared" si="3"/>
        <v>526.05000000000007</v>
      </c>
      <c r="I22" s="82">
        <f t="shared" si="3"/>
        <v>604.80000000000007</v>
      </c>
      <c r="J22" s="82">
        <f t="shared" si="3"/>
        <v>659.4</v>
      </c>
    </row>
    <row r="23" spans="2:10">
      <c r="B23" s="82">
        <f t="shared" si="1"/>
        <v>1247</v>
      </c>
      <c r="C23" s="82">
        <f t="shared" ref="C23:J23" si="4">C7*1.05</f>
        <v>312.90000000000003</v>
      </c>
      <c r="D23" s="82">
        <f t="shared" si="4"/>
        <v>201.60000000000002</v>
      </c>
      <c r="E23" s="82">
        <f t="shared" si="4"/>
        <v>219.45000000000002</v>
      </c>
      <c r="F23" s="82">
        <f t="shared" si="4"/>
        <v>289.8</v>
      </c>
      <c r="G23" s="82">
        <f t="shared" si="4"/>
        <v>177.45000000000002</v>
      </c>
      <c r="H23" s="82">
        <f t="shared" si="4"/>
        <v>131.25</v>
      </c>
      <c r="I23" s="82">
        <f t="shared" si="4"/>
        <v>181.65</v>
      </c>
      <c r="J23" s="82">
        <f t="shared" si="4"/>
        <v>349.65000000000003</v>
      </c>
    </row>
    <row r="24" spans="2:10">
      <c r="B24" s="82">
        <f t="shared" si="1"/>
        <v>779</v>
      </c>
      <c r="C24" s="82">
        <f t="shared" ref="C24:J24" si="5">C8*1.05</f>
        <v>833.7</v>
      </c>
      <c r="D24" s="82">
        <f t="shared" si="5"/>
        <v>759.15</v>
      </c>
      <c r="E24" s="82">
        <f t="shared" si="5"/>
        <v>721.35</v>
      </c>
      <c r="F24" s="82">
        <f t="shared" si="5"/>
        <v>670.95</v>
      </c>
      <c r="G24" s="82">
        <f t="shared" si="5"/>
        <v>690.9</v>
      </c>
      <c r="H24" s="82">
        <f t="shared" si="5"/>
        <v>725.55000000000007</v>
      </c>
      <c r="I24" s="82">
        <f t="shared" si="5"/>
        <v>761.25</v>
      </c>
      <c r="J24" s="82">
        <f t="shared" si="5"/>
        <v>791.7</v>
      </c>
    </row>
    <row r="25" spans="2:10">
      <c r="B25" s="82">
        <f t="shared" si="1"/>
        <v>401</v>
      </c>
      <c r="C25" s="82">
        <f t="shared" ref="C25:J25" si="6">C9*1.05</f>
        <v>433.65000000000003</v>
      </c>
      <c r="D25" s="82">
        <f t="shared" si="6"/>
        <v>437.85</v>
      </c>
      <c r="E25" s="82">
        <f t="shared" si="6"/>
        <v>372.75</v>
      </c>
      <c r="F25" s="82">
        <f t="shared" si="6"/>
        <v>334.95</v>
      </c>
      <c r="G25" s="82">
        <f t="shared" si="6"/>
        <v>368.55</v>
      </c>
      <c r="H25" s="82">
        <f t="shared" si="6"/>
        <v>412.65000000000003</v>
      </c>
      <c r="I25" s="82">
        <f t="shared" si="6"/>
        <v>474.6</v>
      </c>
      <c r="J25" s="82">
        <f t="shared" si="6"/>
        <v>498.75</v>
      </c>
    </row>
    <row r="26" spans="2:10">
      <c r="B26" s="82">
        <f t="shared" si="1"/>
        <v>1150</v>
      </c>
      <c r="C26" s="82">
        <f t="shared" ref="C26:J26" si="7">C10*1.05</f>
        <v>415.8</v>
      </c>
      <c r="D26" s="82">
        <f t="shared" si="7"/>
        <v>346.5</v>
      </c>
      <c r="E26" s="82">
        <f t="shared" si="7"/>
        <v>512.4</v>
      </c>
      <c r="F26" s="82">
        <f t="shared" si="7"/>
        <v>592.20000000000005</v>
      </c>
      <c r="G26" s="82">
        <f t="shared" si="7"/>
        <v>310.8</v>
      </c>
      <c r="H26" s="82">
        <f t="shared" si="7"/>
        <v>143.85</v>
      </c>
      <c r="I26" s="82">
        <f t="shared" si="7"/>
        <v>110.25</v>
      </c>
      <c r="J26" s="82">
        <f t="shared" si="7"/>
        <v>129.15</v>
      </c>
    </row>
    <row r="27" spans="2:10">
      <c r="B27" s="82">
        <f t="shared" si="1"/>
        <v>377</v>
      </c>
      <c r="C27" s="82">
        <f t="shared" ref="C27:J27" si="8">C11*1.05</f>
        <v>355.95</v>
      </c>
      <c r="D27" s="82">
        <f t="shared" si="8"/>
        <v>338.1</v>
      </c>
      <c r="E27" s="82">
        <f t="shared" si="8"/>
        <v>334.95</v>
      </c>
      <c r="F27" s="82">
        <f t="shared" si="8"/>
        <v>345.45</v>
      </c>
      <c r="G27" s="82">
        <f t="shared" si="8"/>
        <v>359.1</v>
      </c>
      <c r="H27" s="82">
        <f t="shared" si="8"/>
        <v>380.1</v>
      </c>
      <c r="I27" s="82">
        <f t="shared" si="8"/>
        <v>407.40000000000003</v>
      </c>
      <c r="J27" s="82">
        <f t="shared" si="8"/>
        <v>427.35</v>
      </c>
    </row>
    <row r="28" spans="2:10">
      <c r="B28" s="82">
        <f t="shared" si="1"/>
        <v>6544</v>
      </c>
      <c r="C28" s="82">
        <f t="shared" ref="C28:J28" si="9">C12*1.05</f>
        <v>6183.45</v>
      </c>
      <c r="D28" s="82">
        <f t="shared" si="9"/>
        <v>6307.35</v>
      </c>
      <c r="E28" s="82">
        <f t="shared" si="9"/>
        <v>6496.35</v>
      </c>
      <c r="F28" s="82">
        <f t="shared" si="9"/>
        <v>6756.75</v>
      </c>
      <c r="G28" s="82">
        <f t="shared" si="9"/>
        <v>7093.8</v>
      </c>
      <c r="H28" s="82">
        <f t="shared" si="9"/>
        <v>7448.7000000000007</v>
      </c>
      <c r="I28" s="82">
        <f t="shared" si="9"/>
        <v>7896</v>
      </c>
      <c r="J28" s="82">
        <f t="shared" si="9"/>
        <v>8212.0500000000011</v>
      </c>
    </row>
    <row r="29" spans="2:10">
      <c r="B29" s="82">
        <f t="shared" si="1"/>
        <v>13691</v>
      </c>
      <c r="C29" s="82">
        <f t="shared" ref="C29:J29" si="10">C13*1.05</f>
        <v>13801.2</v>
      </c>
      <c r="D29" s="82">
        <f t="shared" si="10"/>
        <v>13386.45</v>
      </c>
      <c r="E29" s="82">
        <f t="shared" si="10"/>
        <v>13654.2</v>
      </c>
      <c r="F29" s="82">
        <f t="shared" si="10"/>
        <v>14064.75</v>
      </c>
      <c r="G29" s="82">
        <f t="shared" si="10"/>
        <v>14626.5</v>
      </c>
      <c r="H29" s="82">
        <f t="shared" si="10"/>
        <v>15651.300000000001</v>
      </c>
      <c r="I29" s="82">
        <f t="shared" si="10"/>
        <v>16902.900000000001</v>
      </c>
      <c r="J29" s="82">
        <f t="shared" si="10"/>
        <v>17579.100000000002</v>
      </c>
    </row>
    <row r="30" spans="2:10">
      <c r="B30" s="82">
        <f t="shared" si="1"/>
        <v>11583</v>
      </c>
      <c r="C30" s="82">
        <f t="shared" ref="C30:J30" si="11">C14*1.05</f>
        <v>10946.25</v>
      </c>
      <c r="D30" s="82">
        <f t="shared" si="11"/>
        <v>10836</v>
      </c>
      <c r="E30" s="82">
        <f t="shared" si="11"/>
        <v>11053.35</v>
      </c>
      <c r="F30" s="82">
        <f t="shared" si="11"/>
        <v>11385.15</v>
      </c>
      <c r="G30" s="82">
        <f t="shared" si="11"/>
        <v>12067.65</v>
      </c>
      <c r="H30" s="82">
        <f t="shared" si="11"/>
        <v>12550.65</v>
      </c>
      <c r="I30" s="82">
        <f t="shared" si="11"/>
        <v>13303.5</v>
      </c>
      <c r="J30" s="82">
        <f t="shared" si="11"/>
        <v>13969.2</v>
      </c>
    </row>
    <row r="31" spans="2:10">
      <c r="B31" s="82">
        <f t="shared" si="1"/>
        <v>1565</v>
      </c>
      <c r="C31" s="82">
        <f t="shared" ref="C31:J31" si="12">C15*1.05</f>
        <v>1560.3</v>
      </c>
      <c r="D31" s="82">
        <f t="shared" si="12"/>
        <v>1514.1000000000001</v>
      </c>
      <c r="E31" s="82">
        <f t="shared" si="12"/>
        <v>1559.25</v>
      </c>
      <c r="F31" s="82">
        <f t="shared" si="12"/>
        <v>1590.75</v>
      </c>
      <c r="G31" s="82">
        <f t="shared" si="12"/>
        <v>1638</v>
      </c>
      <c r="H31" s="82">
        <f t="shared" si="12"/>
        <v>1752.45</v>
      </c>
      <c r="I31" s="82">
        <f t="shared" si="12"/>
        <v>1893.15</v>
      </c>
      <c r="J31" s="82">
        <f t="shared" si="12"/>
        <v>1930.95</v>
      </c>
    </row>
    <row r="32" spans="2:10">
      <c r="B32" s="82">
        <f t="shared" si="1"/>
        <v>158</v>
      </c>
      <c r="C32" s="82">
        <f t="shared" ref="C32:J32" si="13">C16*1.05</f>
        <v>149.1</v>
      </c>
      <c r="D32" s="82">
        <f t="shared" si="13"/>
        <v>141.75</v>
      </c>
      <c r="E32" s="82">
        <f t="shared" si="13"/>
        <v>130.20000000000002</v>
      </c>
      <c r="F32" s="82">
        <f t="shared" si="13"/>
        <v>130.20000000000002</v>
      </c>
      <c r="G32" s="82">
        <f t="shared" si="13"/>
        <v>131.25</v>
      </c>
      <c r="H32" s="82">
        <f t="shared" si="13"/>
        <v>135.45000000000002</v>
      </c>
      <c r="I32" s="82">
        <f t="shared" si="13"/>
        <v>140.70000000000002</v>
      </c>
      <c r="J32" s="82">
        <f t="shared" si="13"/>
        <v>143.85</v>
      </c>
    </row>
    <row r="33" spans="2:10">
      <c r="B33" s="82">
        <f t="shared" si="1"/>
        <v>266</v>
      </c>
      <c r="C33" s="82">
        <f t="shared" ref="C33:J33" si="14">C17*1.05</f>
        <v>321.3</v>
      </c>
      <c r="D33" s="82">
        <f t="shared" si="14"/>
        <v>330.75</v>
      </c>
      <c r="E33" s="82">
        <f t="shared" si="14"/>
        <v>338.1</v>
      </c>
      <c r="F33" s="82">
        <f t="shared" si="14"/>
        <v>341.25</v>
      </c>
      <c r="G33" s="82">
        <f t="shared" si="14"/>
        <v>348.6</v>
      </c>
      <c r="H33" s="82">
        <f t="shared" si="14"/>
        <v>354.90000000000003</v>
      </c>
      <c r="I33" s="82">
        <f t="shared" si="14"/>
        <v>362.25</v>
      </c>
      <c r="J33" s="82">
        <f t="shared" si="14"/>
        <v>369.6</v>
      </c>
    </row>
    <row r="34" spans="2:10">
      <c r="B34" s="82">
        <f t="shared" si="1"/>
        <v>203</v>
      </c>
      <c r="C34" s="82">
        <f t="shared" ref="C34:J34" si="15">C18*1.05</f>
        <v>204.75</v>
      </c>
      <c r="D34" s="82">
        <f t="shared" si="15"/>
        <v>211.05</v>
      </c>
      <c r="E34" s="82">
        <f t="shared" si="15"/>
        <v>213.15</v>
      </c>
      <c r="F34" s="82">
        <f t="shared" si="15"/>
        <v>217.35000000000002</v>
      </c>
      <c r="G34" s="82">
        <f t="shared" si="15"/>
        <v>221.55</v>
      </c>
      <c r="H34" s="82">
        <f t="shared" si="15"/>
        <v>228.9</v>
      </c>
      <c r="I34" s="82">
        <f t="shared" si="15"/>
        <v>233.10000000000002</v>
      </c>
      <c r="J34" s="82">
        <f t="shared" si="15"/>
        <v>240.45000000000002</v>
      </c>
    </row>
    <row r="35" spans="2:10">
      <c r="B35" s="82"/>
      <c r="C35" s="82"/>
      <c r="D35" s="82"/>
      <c r="E35" s="82"/>
      <c r="F35" s="82"/>
      <c r="G35" s="82"/>
      <c r="H35" s="82"/>
      <c r="I35" s="82"/>
      <c r="J35" s="82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8" sqref="B48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50" t="s">
        <v>184</v>
      </c>
    </row>
    <row r="2" spans="1:8" ht="17.25" thickBot="1"/>
    <row r="3" spans="1:8" ht="17.25" thickBot="1">
      <c r="A3" s="95" t="s">
        <v>28</v>
      </c>
      <c r="B3" s="96"/>
      <c r="D3" s="97" t="s">
        <v>152</v>
      </c>
      <c r="E3" s="98"/>
      <c r="F3" s="98"/>
      <c r="G3" s="98"/>
      <c r="H3" s="99"/>
    </row>
    <row r="4" spans="1:8" ht="17.25" thickBot="1">
      <c r="A4" s="41" t="s">
        <v>34</v>
      </c>
      <c r="B4" s="42" t="s">
        <v>35</v>
      </c>
      <c r="D4" s="47" t="s">
        <v>183</v>
      </c>
      <c r="E4" s="48" t="s">
        <v>117</v>
      </c>
      <c r="F4" s="48" t="s">
        <v>118</v>
      </c>
      <c r="G4" s="48" t="s">
        <v>180</v>
      </c>
      <c r="H4" s="49" t="s">
        <v>181</v>
      </c>
    </row>
    <row r="5" spans="1:8">
      <c r="A5" s="32" t="s">
        <v>36</v>
      </c>
      <c r="B5" s="33" t="s">
        <v>75</v>
      </c>
      <c r="D5" s="46" t="str">
        <f>IF(G5="","",G5)</f>
        <v>Zoetermeer</v>
      </c>
      <c r="E5" s="44" t="s">
        <v>119</v>
      </c>
      <c r="F5" s="44" t="s">
        <v>133</v>
      </c>
      <c r="G5" s="44" t="s">
        <v>167</v>
      </c>
      <c r="H5" s="45" t="s">
        <v>154</v>
      </c>
    </row>
    <row r="6" spans="1:8">
      <c r="A6" s="32" t="s">
        <v>37</v>
      </c>
      <c r="B6" s="33" t="s">
        <v>76</v>
      </c>
      <c r="D6" s="34" t="str">
        <f t="shared" ref="D6:D40" si="0">IF(G6="","",G6)</f>
        <v>Haps</v>
      </c>
      <c r="E6" s="39" t="s">
        <v>32</v>
      </c>
      <c r="F6" s="39" t="s">
        <v>134</v>
      </c>
      <c r="G6" s="39" t="s">
        <v>168</v>
      </c>
      <c r="H6" s="33" t="s">
        <v>150</v>
      </c>
    </row>
    <row r="7" spans="1:8">
      <c r="A7" s="32" t="s">
        <v>29</v>
      </c>
      <c r="B7" s="33" t="s">
        <v>77</v>
      </c>
      <c r="D7" s="34" t="str">
        <f t="shared" si="0"/>
        <v>Wexford</v>
      </c>
      <c r="E7" s="39" t="s">
        <v>120</v>
      </c>
      <c r="F7" s="39" t="s">
        <v>135</v>
      </c>
      <c r="G7" s="39" t="s">
        <v>169</v>
      </c>
      <c r="H7" s="33" t="s">
        <v>155</v>
      </c>
    </row>
    <row r="8" spans="1:8">
      <c r="A8" s="32" t="s">
        <v>38</v>
      </c>
      <c r="B8" s="33" t="s">
        <v>78</v>
      </c>
      <c r="D8" s="34" t="str">
        <f t="shared" si="0"/>
        <v>PTNIS</v>
      </c>
      <c r="E8" s="39" t="s">
        <v>121</v>
      </c>
      <c r="F8" s="39" t="s">
        <v>136</v>
      </c>
      <c r="G8" s="39" t="s">
        <v>170</v>
      </c>
      <c r="H8" s="33" t="s">
        <v>156</v>
      </c>
    </row>
    <row r="9" spans="1:8">
      <c r="A9" s="32" t="s">
        <v>39</v>
      </c>
      <c r="B9" s="33" t="s">
        <v>79</v>
      </c>
      <c r="D9" s="34" t="str">
        <f t="shared" si="0"/>
        <v>Opole</v>
      </c>
      <c r="E9" s="39" t="s">
        <v>122</v>
      </c>
      <c r="F9" s="39" t="s">
        <v>137</v>
      </c>
      <c r="G9" s="39" t="s">
        <v>171</v>
      </c>
      <c r="H9" s="33" t="s">
        <v>151</v>
      </c>
    </row>
    <row r="10" spans="1:8">
      <c r="A10" s="32" t="s">
        <v>40</v>
      </c>
      <c r="B10" s="33" t="s">
        <v>80</v>
      </c>
      <c r="D10" s="34" t="str">
        <f t="shared" si="0"/>
        <v>Istra</v>
      </c>
      <c r="E10" s="39" t="s">
        <v>123</v>
      </c>
      <c r="F10" s="39" t="s">
        <v>138</v>
      </c>
      <c r="G10" s="39" t="s">
        <v>153</v>
      </c>
      <c r="H10" s="33" t="s">
        <v>157</v>
      </c>
    </row>
    <row r="11" spans="1:8">
      <c r="A11" s="32" t="s">
        <v>115</v>
      </c>
      <c r="B11" s="33" t="s">
        <v>116</v>
      </c>
      <c r="D11" s="34" t="str">
        <f t="shared" si="0"/>
        <v>Liverpool</v>
      </c>
      <c r="E11" s="39" t="s">
        <v>124</v>
      </c>
      <c r="F11" s="39" t="s">
        <v>139</v>
      </c>
      <c r="G11" s="39" t="s">
        <v>172</v>
      </c>
      <c r="H11" s="33" t="s">
        <v>158</v>
      </c>
    </row>
    <row r="12" spans="1:8">
      <c r="A12" s="32" t="s">
        <v>41</v>
      </c>
      <c r="B12" s="33" t="s">
        <v>81</v>
      </c>
      <c r="D12" s="34" t="str">
        <f t="shared" si="0"/>
        <v>Fulda</v>
      </c>
      <c r="E12" s="39" t="s">
        <v>125</v>
      </c>
      <c r="F12" s="39" t="s">
        <v>140</v>
      </c>
      <c r="G12" s="39" t="s">
        <v>173</v>
      </c>
      <c r="H12" s="33" t="s">
        <v>159</v>
      </c>
    </row>
    <row r="13" spans="1:8">
      <c r="A13" s="32" t="s">
        <v>42</v>
      </c>
      <c r="B13" s="33" t="s">
        <v>82</v>
      </c>
      <c r="D13" s="34" t="str">
        <f t="shared" si="0"/>
        <v>Kasdorf</v>
      </c>
      <c r="E13" s="39" t="s">
        <v>126</v>
      </c>
      <c r="F13" s="39" t="s">
        <v>141</v>
      </c>
      <c r="G13" s="39" t="s">
        <v>174</v>
      </c>
      <c r="H13" s="33" t="s">
        <v>160</v>
      </c>
    </row>
    <row r="14" spans="1:8">
      <c r="A14" s="32" t="s">
        <v>43</v>
      </c>
      <c r="B14" s="33" t="s">
        <v>83</v>
      </c>
      <c r="D14" s="34" t="str">
        <f t="shared" si="0"/>
        <v>Wuxi (Nutricia Pharmaceutical)</v>
      </c>
      <c r="E14" s="39" t="s">
        <v>127</v>
      </c>
      <c r="F14" s="39" t="s">
        <v>142</v>
      </c>
      <c r="G14" s="39" t="s">
        <v>182</v>
      </c>
      <c r="H14" s="33" t="s">
        <v>161</v>
      </c>
    </row>
    <row r="15" spans="1:8">
      <c r="A15" s="32" t="s">
        <v>44</v>
      </c>
      <c r="B15" s="33" t="s">
        <v>84</v>
      </c>
      <c r="D15" s="34" t="str">
        <f t="shared" si="0"/>
        <v>Steenvoorde</v>
      </c>
      <c r="E15" s="39" t="s">
        <v>128</v>
      </c>
      <c r="F15" s="39" t="s">
        <v>143</v>
      </c>
      <c r="G15" s="39" t="s">
        <v>176</v>
      </c>
      <c r="H15" s="33" t="s">
        <v>162</v>
      </c>
    </row>
    <row r="16" spans="1:8">
      <c r="A16" s="32" t="s">
        <v>45</v>
      </c>
      <c r="B16" s="33" t="s">
        <v>85</v>
      </c>
      <c r="D16" s="34" t="str">
        <f t="shared" si="0"/>
        <v>Villefranche</v>
      </c>
      <c r="E16" s="39" t="s">
        <v>129</v>
      </c>
      <c r="F16" s="39" t="s">
        <v>144</v>
      </c>
      <c r="G16" s="39" t="s">
        <v>177</v>
      </c>
      <c r="H16" s="33" t="s">
        <v>163</v>
      </c>
    </row>
    <row r="17" spans="1:8">
      <c r="A17" s="32" t="s">
        <v>46</v>
      </c>
      <c r="B17" s="33" t="s">
        <v>86</v>
      </c>
      <c r="D17" s="34" t="str">
        <f t="shared" si="0"/>
        <v>Krueger</v>
      </c>
      <c r="E17" s="39" t="s">
        <v>130</v>
      </c>
      <c r="F17" s="39" t="s">
        <v>145</v>
      </c>
      <c r="G17" s="39" t="s">
        <v>178</v>
      </c>
      <c r="H17" s="33" t="s">
        <v>164</v>
      </c>
    </row>
    <row r="18" spans="1:8">
      <c r="A18" s="32" t="s">
        <v>47</v>
      </c>
      <c r="B18" s="33" t="s">
        <v>87</v>
      </c>
      <c r="D18" s="34" t="str">
        <f t="shared" si="0"/>
        <v>Otmuchow</v>
      </c>
      <c r="E18" s="39" t="s">
        <v>33</v>
      </c>
      <c r="F18" s="39" t="s">
        <v>146</v>
      </c>
      <c r="G18" s="39" t="s">
        <v>26</v>
      </c>
      <c r="H18" s="33" t="s">
        <v>165</v>
      </c>
    </row>
    <row r="19" spans="1:8">
      <c r="A19" s="32" t="s">
        <v>48</v>
      </c>
      <c r="B19" s="33" t="s">
        <v>88</v>
      </c>
      <c r="D19" s="34" t="str">
        <f t="shared" si="0"/>
        <v>Medical Logistics (3PS)</v>
      </c>
      <c r="E19" s="39" t="s">
        <v>131</v>
      </c>
      <c r="F19" s="39" t="s">
        <v>147</v>
      </c>
      <c r="G19" s="39" t="s">
        <v>179</v>
      </c>
      <c r="H19" s="33" t="s">
        <v>166</v>
      </c>
    </row>
    <row r="20" spans="1:8">
      <c r="A20" s="32" t="s">
        <v>49</v>
      </c>
      <c r="B20" s="33" t="s">
        <v>89</v>
      </c>
      <c r="D20" s="34" t="str">
        <f t="shared" si="0"/>
        <v>Wuxi</v>
      </c>
      <c r="E20" s="39" t="s">
        <v>132</v>
      </c>
      <c r="F20" s="39" t="s">
        <v>148</v>
      </c>
      <c r="G20" s="39" t="s">
        <v>175</v>
      </c>
      <c r="H20" s="33" t="s">
        <v>161</v>
      </c>
    </row>
    <row r="21" spans="1:8">
      <c r="A21" s="32" t="s">
        <v>50</v>
      </c>
      <c r="B21" s="33" t="s">
        <v>90</v>
      </c>
      <c r="D21" s="34" t="str">
        <f t="shared" si="0"/>
        <v/>
      </c>
      <c r="H21" s="35"/>
    </row>
    <row r="22" spans="1:8">
      <c r="A22" s="32" t="s">
        <v>51</v>
      </c>
      <c r="B22" s="33" t="s">
        <v>91</v>
      </c>
      <c r="D22" s="34" t="str">
        <f t="shared" si="0"/>
        <v/>
      </c>
      <c r="H22" s="35"/>
    </row>
    <row r="23" spans="1:8">
      <c r="A23" s="32" t="s">
        <v>52</v>
      </c>
      <c r="B23" s="33" t="s">
        <v>92</v>
      </c>
      <c r="D23" s="34" t="str">
        <f t="shared" si="0"/>
        <v/>
      </c>
      <c r="H23" s="35"/>
    </row>
    <row r="24" spans="1:8">
      <c r="A24" s="32" t="s">
        <v>53</v>
      </c>
      <c r="B24" s="33" t="s">
        <v>93</v>
      </c>
      <c r="D24" s="34" t="str">
        <f t="shared" si="0"/>
        <v/>
      </c>
      <c r="H24" s="35"/>
    </row>
    <row r="25" spans="1:8">
      <c r="A25" s="32" t="s">
        <v>54</v>
      </c>
      <c r="B25" s="33" t="s">
        <v>94</v>
      </c>
      <c r="D25" s="34" t="str">
        <f t="shared" si="0"/>
        <v/>
      </c>
      <c r="H25" s="35"/>
    </row>
    <row r="26" spans="1:8">
      <c r="A26" s="32" t="s">
        <v>55</v>
      </c>
      <c r="B26" s="33" t="s">
        <v>95</v>
      </c>
      <c r="D26" s="34" t="str">
        <f t="shared" si="0"/>
        <v/>
      </c>
      <c r="H26" s="35"/>
    </row>
    <row r="27" spans="1:8">
      <c r="A27" s="32" t="s">
        <v>56</v>
      </c>
      <c r="B27" s="33" t="s">
        <v>96</v>
      </c>
      <c r="D27" s="34" t="str">
        <f t="shared" si="0"/>
        <v/>
      </c>
      <c r="H27" s="35"/>
    </row>
    <row r="28" spans="1:8">
      <c r="A28" s="32" t="s">
        <v>57</v>
      </c>
      <c r="B28" s="33" t="s">
        <v>97</v>
      </c>
      <c r="D28" s="34" t="str">
        <f t="shared" si="0"/>
        <v/>
      </c>
      <c r="H28" s="35"/>
    </row>
    <row r="29" spans="1:8">
      <c r="A29" s="32" t="s">
        <v>58</v>
      </c>
      <c r="B29" s="33" t="s">
        <v>98</v>
      </c>
      <c r="D29" s="34" t="str">
        <f t="shared" si="0"/>
        <v/>
      </c>
      <c r="H29" s="35"/>
    </row>
    <row r="30" spans="1:8">
      <c r="A30" s="32" t="s">
        <v>59</v>
      </c>
      <c r="B30" s="33" t="s">
        <v>99</v>
      </c>
      <c r="D30" s="34" t="str">
        <f t="shared" si="0"/>
        <v/>
      </c>
      <c r="H30" s="35"/>
    </row>
    <row r="31" spans="1:8">
      <c r="A31" s="32" t="s">
        <v>60</v>
      </c>
      <c r="B31" s="33" t="s">
        <v>100</v>
      </c>
      <c r="D31" s="34" t="str">
        <f t="shared" si="0"/>
        <v/>
      </c>
      <c r="H31" s="35"/>
    </row>
    <row r="32" spans="1:8">
      <c r="A32" s="32" t="s">
        <v>61</v>
      </c>
      <c r="B32" s="33" t="s">
        <v>101</v>
      </c>
      <c r="D32" s="34" t="str">
        <f t="shared" si="0"/>
        <v/>
      </c>
      <c r="H32" s="35"/>
    </row>
    <row r="33" spans="1:8">
      <c r="A33" s="32" t="s">
        <v>62</v>
      </c>
      <c r="B33" s="33" t="s">
        <v>102</v>
      </c>
      <c r="D33" s="34" t="str">
        <f t="shared" si="0"/>
        <v/>
      </c>
      <c r="H33" s="35"/>
    </row>
    <row r="34" spans="1:8">
      <c r="A34" s="32" t="s">
        <v>63</v>
      </c>
      <c r="B34" s="33" t="s">
        <v>103</v>
      </c>
      <c r="D34" s="34" t="str">
        <f t="shared" si="0"/>
        <v/>
      </c>
      <c r="H34" s="35"/>
    </row>
    <row r="35" spans="1:8">
      <c r="A35" s="32" t="s">
        <v>64</v>
      </c>
      <c r="B35" s="33" t="s">
        <v>104</v>
      </c>
      <c r="D35" s="34" t="str">
        <f t="shared" si="0"/>
        <v/>
      </c>
      <c r="H35" s="35"/>
    </row>
    <row r="36" spans="1:8">
      <c r="A36" s="32" t="s">
        <v>65</v>
      </c>
      <c r="B36" s="33" t="s">
        <v>105</v>
      </c>
      <c r="D36" s="34" t="str">
        <f t="shared" si="0"/>
        <v/>
      </c>
      <c r="H36" s="35"/>
    </row>
    <row r="37" spans="1:8">
      <c r="A37" s="32" t="s">
        <v>66</v>
      </c>
      <c r="B37" s="33" t="s">
        <v>106</v>
      </c>
      <c r="D37" s="34" t="str">
        <f t="shared" si="0"/>
        <v/>
      </c>
      <c r="H37" s="35"/>
    </row>
    <row r="38" spans="1:8">
      <c r="A38" s="32" t="s">
        <v>67</v>
      </c>
      <c r="B38" s="33" t="s">
        <v>107</v>
      </c>
      <c r="D38" s="34" t="str">
        <f t="shared" si="0"/>
        <v/>
      </c>
      <c r="H38" s="35"/>
    </row>
    <row r="39" spans="1:8">
      <c r="A39" s="32" t="s">
        <v>68</v>
      </c>
      <c r="B39" s="33" t="s">
        <v>108</v>
      </c>
      <c r="D39" s="34" t="str">
        <f t="shared" si="0"/>
        <v/>
      </c>
      <c r="H39" s="35"/>
    </row>
    <row r="40" spans="1:8" ht="17.25" thickBot="1">
      <c r="A40" s="32" t="s">
        <v>69</v>
      </c>
      <c r="B40" s="33" t="s">
        <v>109</v>
      </c>
      <c r="D40" s="36" t="str">
        <f t="shared" si="0"/>
        <v/>
      </c>
      <c r="E40" s="40"/>
      <c r="F40" s="40"/>
      <c r="G40" s="40"/>
      <c r="H40" s="37"/>
    </row>
    <row r="41" spans="1:8">
      <c r="A41" s="32" t="s">
        <v>70</v>
      </c>
      <c r="B41" s="33" t="s">
        <v>110</v>
      </c>
    </row>
    <row r="42" spans="1:8">
      <c r="A42" s="32" t="s">
        <v>71</v>
      </c>
      <c r="B42" s="33" t="s">
        <v>111</v>
      </c>
    </row>
    <row r="43" spans="1:8">
      <c r="A43" s="32" t="s">
        <v>72</v>
      </c>
      <c r="B43" s="33" t="s">
        <v>112</v>
      </c>
    </row>
    <row r="44" spans="1:8">
      <c r="A44" s="32" t="s">
        <v>73</v>
      </c>
      <c r="B44" s="33" t="s">
        <v>113</v>
      </c>
    </row>
    <row r="45" spans="1:8">
      <c r="A45" s="32" t="s">
        <v>74</v>
      </c>
      <c r="B45" s="33" t="s">
        <v>114</v>
      </c>
    </row>
    <row r="46" spans="1:8">
      <c r="A46" s="34" t="s">
        <v>192</v>
      </c>
      <c r="B46" s="35" t="s">
        <v>193</v>
      </c>
    </row>
    <row r="47" spans="1:8">
      <c r="A47" s="34" t="s">
        <v>231</v>
      </c>
      <c r="B47" s="35" t="s">
        <v>232</v>
      </c>
    </row>
    <row r="48" spans="1:8">
      <c r="A48" s="34"/>
      <c r="B48" s="35"/>
    </row>
    <row r="49" spans="1:2">
      <c r="A49" s="34"/>
      <c r="B49" s="35"/>
    </row>
    <row r="50" spans="1:2">
      <c r="A50" s="34"/>
      <c r="B50" s="35"/>
    </row>
    <row r="51" spans="1:2">
      <c r="A51" s="34"/>
      <c r="B51" s="35"/>
    </row>
    <row r="52" spans="1:2">
      <c r="A52" s="34"/>
      <c r="B52" s="35"/>
    </row>
    <row r="53" spans="1:2">
      <c r="A53" s="34"/>
      <c r="B53" s="35"/>
    </row>
    <row r="54" spans="1:2">
      <c r="A54" s="34"/>
      <c r="B54" s="35"/>
    </row>
    <row r="55" spans="1:2">
      <c r="A55" s="34"/>
      <c r="B55" s="35"/>
    </row>
    <row r="56" spans="1:2">
      <c r="A56" s="34"/>
      <c r="B56" s="35"/>
    </row>
    <row r="57" spans="1:2">
      <c r="A57" s="34"/>
      <c r="B57" s="35"/>
    </row>
    <row r="58" spans="1:2">
      <c r="A58" s="34"/>
      <c r="B58" s="35"/>
    </row>
    <row r="59" spans="1:2">
      <c r="A59" s="34"/>
      <c r="B59" s="35"/>
    </row>
    <row r="60" spans="1:2">
      <c r="A60" s="34"/>
      <c r="B60" s="35"/>
    </row>
    <row r="61" spans="1:2">
      <c r="A61" s="34"/>
      <c r="B61" s="35"/>
    </row>
    <row r="62" spans="1:2">
      <c r="A62" s="34"/>
      <c r="B62" s="35"/>
    </row>
    <row r="63" spans="1:2">
      <c r="A63" s="34"/>
      <c r="B63" s="35"/>
    </row>
    <row r="64" spans="1:2">
      <c r="A64" s="34"/>
      <c r="B64" s="35"/>
    </row>
    <row r="65" spans="1:2">
      <c r="A65" s="34"/>
      <c r="B65" s="35"/>
    </row>
    <row r="66" spans="1:2">
      <c r="A66" s="34"/>
      <c r="B66" s="35"/>
    </row>
    <row r="67" spans="1:2">
      <c r="A67" s="34"/>
      <c r="B67" s="35"/>
    </row>
    <row r="68" spans="1:2">
      <c r="A68" s="34"/>
      <c r="B68" s="35"/>
    </row>
    <row r="69" spans="1:2">
      <c r="A69" s="34"/>
      <c r="B69" s="35"/>
    </row>
    <row r="70" spans="1:2">
      <c r="A70" s="34"/>
      <c r="B70" s="35"/>
    </row>
    <row r="71" spans="1:2">
      <c r="A71" s="34"/>
      <c r="B71" s="35"/>
    </row>
    <row r="72" spans="1:2">
      <c r="A72" s="34"/>
      <c r="B72" s="35"/>
    </row>
    <row r="73" spans="1:2">
      <c r="A73" s="34"/>
      <c r="B73" s="35"/>
    </row>
    <row r="74" spans="1:2">
      <c r="A74" s="34"/>
      <c r="B74" s="35"/>
    </row>
    <row r="75" spans="1:2">
      <c r="A75" s="34"/>
      <c r="B75" s="35"/>
    </row>
    <row r="76" spans="1:2">
      <c r="A76" s="34"/>
      <c r="B76" s="35"/>
    </row>
    <row r="77" spans="1:2">
      <c r="A77" s="34"/>
      <c r="B77" s="35"/>
    </row>
    <row r="78" spans="1:2">
      <c r="A78" s="34"/>
      <c r="B78" s="35"/>
    </row>
    <row r="79" spans="1:2">
      <c r="A79" s="34"/>
      <c r="B79" s="35"/>
    </row>
    <row r="80" spans="1:2">
      <c r="A80" s="34"/>
      <c r="B80" s="35"/>
    </row>
    <row r="81" spans="1:2">
      <c r="A81" s="34"/>
      <c r="B81" s="35"/>
    </row>
    <row r="82" spans="1:2">
      <c r="A82" s="34"/>
      <c r="B82" s="35"/>
    </row>
    <row r="83" spans="1:2">
      <c r="A83" s="34"/>
      <c r="B83" s="35"/>
    </row>
    <row r="84" spans="1:2">
      <c r="A84" s="34"/>
      <c r="B84" s="35"/>
    </row>
    <row r="85" spans="1:2">
      <c r="A85" s="34"/>
      <c r="B85" s="35"/>
    </row>
    <row r="86" spans="1:2">
      <c r="A86" s="34"/>
      <c r="B86" s="35"/>
    </row>
    <row r="87" spans="1:2">
      <c r="A87" s="34"/>
      <c r="B87" s="35"/>
    </row>
    <row r="88" spans="1:2">
      <c r="A88" s="34"/>
      <c r="B88" s="35"/>
    </row>
    <row r="89" spans="1:2">
      <c r="A89" s="34"/>
      <c r="B89" s="35"/>
    </row>
    <row r="90" spans="1:2">
      <c r="A90" s="34"/>
      <c r="B90" s="35"/>
    </row>
    <row r="91" spans="1:2">
      <c r="A91" s="34"/>
      <c r="B91" s="35"/>
    </row>
    <row r="92" spans="1:2">
      <c r="A92" s="34"/>
      <c r="B92" s="35"/>
    </row>
    <row r="93" spans="1:2">
      <c r="A93" s="34"/>
      <c r="B93" s="35"/>
    </row>
    <row r="94" spans="1:2">
      <c r="A94" s="34"/>
      <c r="B94" s="35"/>
    </row>
    <row r="95" spans="1:2">
      <c r="A95" s="34"/>
      <c r="B95" s="35"/>
    </row>
    <row r="96" spans="1:2">
      <c r="A96" s="34"/>
      <c r="B96" s="35"/>
    </row>
    <row r="97" spans="1:2">
      <c r="A97" s="34"/>
      <c r="B97" s="35"/>
    </row>
    <row r="98" spans="1:2">
      <c r="A98" s="34"/>
      <c r="B98" s="35"/>
    </row>
    <row r="99" spans="1:2">
      <c r="A99" s="34"/>
      <c r="B99" s="35"/>
    </row>
    <row r="100" spans="1:2">
      <c r="A100" s="34"/>
      <c r="B100" s="35"/>
    </row>
    <row r="101" spans="1:2">
      <c r="A101" s="34"/>
      <c r="B101" s="35"/>
    </row>
    <row r="102" spans="1:2">
      <c r="A102" s="34"/>
      <c r="B102" s="35"/>
    </row>
    <row r="103" spans="1:2">
      <c r="A103" s="34"/>
      <c r="B103" s="35"/>
    </row>
    <row r="104" spans="1:2" ht="17.25" thickBot="1">
      <c r="A104" s="36"/>
      <c r="B104" s="37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  <clbl:label id="{a3cceda3-bb16-4686-a971-9fe5d13243fd}" enabled="1" method="Standard" siteId="{4720ed5e-c545-46eb-99a5-958dd333e9f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5</vt:i4>
      </vt:variant>
    </vt:vector>
  </HeadingPairs>
  <TitlesOfParts>
    <vt:vector size="8" baseType="lpstr">
      <vt:lpstr>Order</vt:lpstr>
      <vt:lpstr>Sheet1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지혜 이</cp:lastModifiedBy>
  <cp:lastPrinted>2014-05-01T13:42:50Z</cp:lastPrinted>
  <dcterms:created xsi:type="dcterms:W3CDTF">2014-04-29T09:00:29Z</dcterms:created>
  <dcterms:modified xsi:type="dcterms:W3CDTF">2026-08-21T06:52:03Z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
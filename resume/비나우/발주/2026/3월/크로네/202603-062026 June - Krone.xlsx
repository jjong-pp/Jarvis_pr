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3월\크로네\"/>
    </mc:Choice>
  </mc:AlternateContent>
  <xr:revisionPtr revIDLastSave="0" documentId="13_ncr:1_{C00D578B-3F68-4C61-9125-6F9DB10971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34" i="1" l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I25" i="1"/>
  <c r="F25" i="1"/>
  <c r="E25" i="1"/>
  <c r="I24" i="1"/>
  <c r="F24" i="1"/>
  <c r="E24" i="1"/>
  <c r="I23" i="1"/>
  <c r="F23" i="1"/>
  <c r="E23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<sst xmlns="http://schemas.openxmlformats.org/spreadsheetml/2006/main" count="295" uniqueCount="259">
  <si>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</si>
  <si>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</si>
  <si>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</si>
  <si>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</si>
  <si>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</si>
  <si>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</si>
  <si>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</si>
  <si>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</si>
  <si>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</si>
  <si>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</si>
  <si>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</si>
  <si>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</si>
  <si>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</si>
  <si>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</si>
  <si>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</si>
  <si>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</si>
  <si>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</si>
  <si>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</si>
  <si>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</si>
  <si>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</si>
  <si>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</si>
  <si>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</si>
  <si>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</si>
  <si>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</si>
  <si>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</si>
  <si>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</si>
  <si>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</si>
  <si>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</si>
  <si>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</si>
  <si>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</si>
  <si>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</si>
  <si>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</si>
  <si>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</si>
  <si>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</si>
  <si>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</si>
  <si>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</si>
  <si>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</si>
  <si>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</si>
  <si>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</si>
  <si>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</si>
  <si>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</si>
  <si>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</si>
  <si>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</si>
  <si>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</si>
  <si>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</si>
  <si>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</si>
  <si>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</si>
  <si>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</si>
  <si>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</si>
  <si>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</si>
  <si>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</si>
  <si>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</si>
  <si>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</si>
  <si>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</si>
  <si>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</si>
  <si>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</si>
  <si>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</si>
  <si>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</si>
  <si>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</si>
  <si>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</si>
  <si>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</si>
  <si>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</si>
  <si>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</si>
  <si>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</si>
  <si>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</si>
  <si>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</si>
  <si>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</si>
  <si>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</si>
  <si>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</si>
  <si>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</si>
  <si>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</si>
  <si>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</si>
  <si>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</si>
  <si>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</si>
  <si>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</si>
  <si>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</si>
  <si>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</si>
  <si>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</si>
  <si>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</si>
  <si>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</si>
  <si>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</si>
  <si>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</si>
  <si>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</si>
  <si>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</si>
  <si>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</si>
  <si>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</si>
  <si>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</si>
  <si>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</si>
  <si>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</si>
  <si>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</si>
  <si>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</si>
  <si>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</si>
  <si>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</si>
  <si>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</si>
  <si>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</si>
  <si>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</si>
  <si>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</si>
  <si>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</si>
  <si>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</si>
  <si>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</si>
  <si>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</si>
  <si>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</si>
  <si>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</si>
  <si>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</si>
  <si>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</si>
  <si>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</si>
  <si>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</si>
  <si>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</si>
  <si>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</si>
  <si>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</si>
  <si>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</si>
  <si>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</si>
  <si>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</si>
  <si>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</si>
  <si>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</si>
  <si>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</si>
  <si>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</si>
  <si>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</si>
  <si>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</si>
  <si>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</si>
  <si>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</si>
  <si>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</si>
  <si>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</si>
  <si>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</si>
  <si>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</si>
  <si>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</si>
  <si>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</si>
  <si>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</si>
  <si>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</si>
  <si>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</si>
  <si>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</si>
  <si>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</si>
  <si>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</si>
  <si>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</si>
  <si>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</si>
  <si>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</si>
  <si>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</si>
  <si>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</si>
  <si>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</si>
  <si>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</si>
  <si>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</si>
  <si>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</si>
  <si>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</si>
  <si>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</si>
  <si>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</si>
  <si>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</si>
  <si>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</si>
  <si>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</si>
  <si>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</si>
  <si>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</si>
  <si>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</si>
  <si>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</si>
  <si>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</si>
  <si>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</si>
  <si>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</si>
  <si>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</si>
  <si>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</si>
  <si>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</si>
  <si>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</si>
  <si>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</si>
  <si>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</si>
  <si>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</si>
  <si>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</si>
  <si>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</si>
  <si>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</si>
  <si>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</si>
  <si>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</si>
  <si>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</si>
  <si>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</si>
  <si>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</si>
  <si>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</si>
  <si>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</si>
  <si>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</si>
  <si>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</si>
  <si>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</si>
  <si>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</si>
  <si>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</si>
  <si>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</si>
  <si>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</si>
  <si>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</si>
  <si>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</si>
  <si>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</si>
  <si>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</si>
  <si>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</si>
  <si>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</si>
  <si>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</si>
  <si>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</si>
  <si>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</si>
  <si>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</si>
  <si>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</si>
  <si>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</si>
  <si>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</si>
  <si>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</si>
  <si>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</si>
  <si>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</si>
  <si>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</si>
  <si>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</si>
  <si>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</si>
  <si>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</si>
  <si>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</si>
  <si>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</si>
  <si>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</si>
  <si>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</si>
  <si>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</si>
  <si>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</si>
  <si>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</si>
  <si>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</si>
  <si>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</si>
  <si>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</si>
  <si>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</si>
  <si>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</si>
  <si>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</si>
  <si>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</si>
  <si>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</si>
  <si>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</si>
  <si>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</si>
  <si>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</si>
  <si>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</si>
  <si>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</si>
  <si>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</si>
  <si>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</si>
  <si>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</si>
  <si>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</si>
  <si>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</si>
  <si>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</si>
  <si>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</si>
  <si>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</si>
  <si>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</si>
  <si>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</si>
  <si>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</si>
  <si>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</si>
  <si>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</si>
  <si>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</si>
  <si>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</si>
  <si>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</si>
  <si>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</si>
  <si>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</si>
  <si>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</si>
  <si>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</si>
  <si>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</si>
  <si>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</si>
  <si>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</si>
  <si>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</si>
  <si>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</si>
  <si>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</si>
  <si>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</si>
  <si>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</si>
  <si>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</si>
  <si>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</si>
  <si>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</si>
  <si>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</si>
  <si>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</si>
  <si>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</si>
  <si>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</si>
  <si>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</si>
  <si>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Already confirmed</t>
  </si>
  <si>
    <t>double stack pallets</t>
  </si>
  <si>
    <t>June</t>
  </si>
  <si>
    <t>W/F/06/2026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</si>
</sst>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i/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86" fontId="13" fillId="0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zoomScale="70" zoomScaleNormal="70" workbookViewId="0">
      <selection activeCell="K19" sqref="K19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5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26</v>
      </c>
    </row>
    <row r="6" spans="1:3">
      <c r="A6" s="2" t="s">
        <v>241</v>
      </c>
      <c r="B6" s="53">
        <v>6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257</v>
      </c>
      <c r="C8" s="9"/>
    </row>
    <row r="9" spans="1:3">
      <c r="A9" s="2" t="s">
        <v>2</v>
      </c>
      <c r="B9" s="18" t="s">
        <v>258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7.2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>
        <v>20</v>
      </c>
      <c r="I19" s="25">
        <f>H19*G19</f>
        <v>1920</v>
      </c>
      <c r="J19" s="64">
        <f t="shared" ref="J19:J21" si="0">IF(G19="","",K19/G19)</f>
        <v>0</v>
      </c>
      <c r="K19" s="48"/>
      <c r="L19" s="11"/>
      <c r="M19" s="1">
        <f t="shared" ref="M19:M21" si="1">K19*24</f>
        <v>0</v>
      </c>
      <c r="P19" s="82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7.2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40</v>
      </c>
      <c r="I20" s="25">
        <f t="shared" ref="I20:I25" si="2">H20*G20</f>
        <v>3840</v>
      </c>
      <c r="J20" s="64">
        <f t="shared" si="0"/>
        <v>0</v>
      </c>
      <c r="K20" s="48"/>
      <c r="L20" s="13"/>
      <c r="M20" s="1">
        <f t="shared" si="1"/>
        <v>0</v>
      </c>
      <c r="P20" s="83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7.2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40</v>
      </c>
      <c r="I21" s="25">
        <f t="shared" si="2"/>
        <v>3840</v>
      </c>
      <c r="J21" s="64">
        <f t="shared" si="0"/>
        <v>0</v>
      </c>
      <c r="K21" s="48"/>
      <c r="M21" s="1">
        <f t="shared" si="1"/>
        <v>0</v>
      </c>
      <c r="P21" s="83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7.2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/>
      <c r="I22" s="25">
        <f t="shared" si="2"/>
        <v>0</v>
      </c>
      <c r="J22" s="64">
        <f>IF(G22="","",K22/G22)/2</f>
        <v>0</v>
      </c>
      <c r="K22" s="48"/>
      <c r="M22" s="1">
        <f t="shared" ref="M22:M24" si="3">K22*7</f>
        <v>0</v>
      </c>
      <c r="N22" s="1" t="s">
        <v>256</v>
      </c>
      <c r="P22" s="83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7.2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>
        <v>8</v>
      </c>
      <c r="I23" s="25">
        <f t="shared" si="2"/>
        <v>360</v>
      </c>
      <c r="J23" s="64">
        <f>IF(G23="","",K23/G23)/2</f>
        <v>0</v>
      </c>
      <c r="K23" s="48"/>
      <c r="M23" s="1">
        <f t="shared" si="3"/>
        <v>0</v>
      </c>
      <c r="N23" s="1" t="s">
        <v>256</v>
      </c>
      <c r="P23" s="84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7.2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>
        <v>12</v>
      </c>
      <c r="I24" s="25">
        <f t="shared" si="2"/>
        <v>540</v>
      </c>
      <c r="J24" s="64">
        <f>IF(G24="","",K24/G24)/2</f>
        <v>0</v>
      </c>
      <c r="K24" s="48"/>
      <c r="L24"/>
      <c r="M24" s="1">
        <f t="shared" si="3"/>
        <v>0</v>
      </c>
      <c r="N24" s="1" t="s">
        <v>256</v>
      </c>
      <c r="P24" s="82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7.2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>
        <v>2</v>
      </c>
      <c r="I25" s="25">
        <f t="shared" si="2"/>
        <v>90</v>
      </c>
      <c r="J25" s="64">
        <f>IF(G25="","",K25/G25)/2</f>
        <v>0</v>
      </c>
      <c r="K25" s="48"/>
      <c r="L25"/>
      <c r="N25" s="1" t="s">
        <v>256</v>
      </c>
      <c r="P25" s="83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7.2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25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P26" s="83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7.2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25"/>
      <c r="I27" s="54">
        <f t="shared" si="4"/>
        <v>0</v>
      </c>
      <c r="J27" s="64">
        <f t="shared" si="5"/>
        <v>0</v>
      </c>
      <c r="K27" s="48"/>
      <c r="L27"/>
      <c r="P27" s="84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7.2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81"/>
      <c r="I28" s="54">
        <f t="shared" si="4"/>
        <v>0</v>
      </c>
      <c r="J28" s="64">
        <f t="shared" si="5"/>
        <v>0</v>
      </c>
      <c r="K28" s="48"/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25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78"/>
      <c r="I34" s="78">
        <f t="shared" ref="I34:I37" si="6">H34*G34</f>
        <v>0</v>
      </c>
      <c r="J34" s="79">
        <f t="shared" si="5"/>
        <v>0</v>
      </c>
      <c r="K34" s="80"/>
      <c r="L34"/>
      <c r="N34" s="75" t="s">
        <v>248</v>
      </c>
      <c r="O34" s="77" t="s">
        <v>255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78"/>
      <c r="I35" s="78">
        <f t="shared" si="6"/>
        <v>0</v>
      </c>
      <c r="J35" s="79">
        <f t="shared" si="5"/>
        <v>0</v>
      </c>
      <c r="K35" s="80"/>
      <c r="L35"/>
      <c r="N35" s="75" t="s">
        <v>248</v>
      </c>
      <c r="O35" s="77" t="s">
        <v>255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78"/>
      <c r="I36" s="78">
        <f t="shared" si="6"/>
        <v>0</v>
      </c>
      <c r="J36" s="79">
        <f t="shared" si="5"/>
        <v>0</v>
      </c>
      <c r="K36" s="80"/>
      <c r="L36"/>
      <c r="N36" s="75" t="s">
        <v>248</v>
      </c>
      <c r="O36" s="77" t="s">
        <v>255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78"/>
      <c r="I37" s="78">
        <f t="shared" si="6"/>
        <v>0</v>
      </c>
      <c r="J37" s="79">
        <f t="shared" si="5"/>
        <v>0</v>
      </c>
      <c r="K37" s="80"/>
      <c r="L37"/>
      <c r="N37" s="75" t="s">
        <v>248</v>
      </c>
      <c r="O37" s="77" t="s">
        <v>255</v>
      </c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5" t="s">
        <v>28</v>
      </c>
      <c r="B3" s="86"/>
      <c r="D3" s="87" t="s">
        <v>152</v>
      </c>
      <c r="E3" s="88"/>
      <c r="F3" s="88"/>
      <c r="G3" s="88"/>
      <c r="H3" s="89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253</v>
      </c>
      <c r="B47" s="32" t="s">
        <v>254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2026-04-01T10:18:12Z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
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7월\아이베\"/>
    </mc:Choice>
  </mc:AlternateContent>
  <xr:revisionPtr revIDLastSave="0" documentId="13_ncr:1_{2F17C8D5-B664-403B-B578-071D5B09D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 l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<sst xmlns="http://schemas.openxmlformats.org/spreadsheetml/2006/main" count="295" uniqueCount="242">
  <si>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</si>
  <si>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</si>
  <si>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</si>
  <si>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</si>
  <si>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</si>
  <si>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</si>
  <si>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</si>
  <si>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</si>
  <si>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</si>
  <si>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</si>
  <si>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</si>
  <si>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</si>
  <si>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</si>
  <si>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</si>
  <si>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</si>
  <si>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</si>
  <si>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</si>
  <si>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</si>
  <si>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</si>
  <si>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</si>
  <si>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</si>
  <si>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</si>
  <si>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</si>
  <si>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</si>
  <si>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</si>
  <si>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</si>
  <si>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</si>
  <si>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</si>
  <si>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</si>
  <si>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</si>
  <si>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</si>
  <si>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</si>
  <si>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</si>
  <si>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</si>
  <si>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</si>
  <si>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</si>
  <si>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</si>
  <si>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</si>
  <si>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</si>
  <si>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</si>
  <si>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</si>
  <si>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</si>
  <si>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</si>
  <si>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</si>
  <si>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</si>
  <si>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</si>
  <si>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</si>
  <si>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</si>
  <si>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</si>
  <si>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</si>
  <si>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</si>
  <si>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</si>
  <si>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</si>
  <si>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</si>
  <si>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</si>
  <si>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</si>
  <si>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</si>
  <si>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</si>
  <si>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</si>
  <si>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</si>
  <si>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</si>
  <si>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</si>
  <si>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</si>
  <si>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</si>
  <si>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</si>
  <si>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</si>
  <si>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</si>
  <si>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</si>
  <si>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</si>
  <si>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</si>
  <si>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</si>
  <si>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</si>
  <si>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</si>
  <si>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</si>
  <si>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</si>
  <si>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</si>
  <si>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</si>
  <si>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</si>
  <si>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</si>
  <si>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</si>
  <si>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</si>
  <si>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</si>
  <si>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</si>
  <si>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</si>
  <si>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</si>
  <si>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</si>
  <si>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</si>
  <si>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</si>
  <si>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</si>
  <si>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</si>
  <si>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</si>
  <si>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</si>
  <si>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</si>
  <si>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</si>
  <si>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</si>
  <si>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</si>
  <si>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</si>
  <si>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</si>
  <si>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</si>
  <si>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</si>
  <si>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</si>
  <si>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</si>
  <si>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</si>
  <si>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</si>
  <si>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</si>
  <si>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</si>
  <si>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</si>
  <si>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</si>
  <si>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</si>
  <si>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</si>
  <si>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</si>
  <si>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</si>
  <si>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</si>
  <si>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</si>
  <si>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</si>
  <si>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</si>
  <si>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</si>
  <si>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</si>
  <si>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</si>
  <si>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</si>
  <si>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</si>
  <si>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</si>
  <si>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</si>
  <si>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</si>
  <si>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</si>
  <si>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</si>
  <si>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</si>
  <si>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</si>
  <si>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</si>
  <si>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</si>
  <si>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</si>
  <si>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</si>
  <si>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</si>
  <si>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</si>
  <si>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</si>
  <si>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</si>
  <si>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</si>
  <si>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</si>
  <si>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</si>
  <si>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</si>
  <si>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</si>
  <si>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</si>
  <si>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</si>
  <si>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</si>
  <si>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</si>
  <si>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</si>
  <si>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</si>
  <si>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</si>
  <si>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</si>
  <si>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</si>
  <si>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</si>
  <si>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</si>
  <si>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</si>
  <si>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</si>
  <si>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</si>
  <si>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</si>
  <si>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</si>
  <si>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</si>
  <si>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</si>
  <si>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</si>
  <si>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</si>
  <si>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</si>
  <si>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</si>
  <si>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</si>
  <si>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</si>
  <si>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</si>
  <si>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</si>
  <si>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</si>
  <si>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</si>
  <si>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</si>
  <si>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</si>
  <si>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</si>
  <si>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</si>
  <si>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</si>
  <si>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</si>
  <si>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</si>
  <si>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</si>
  <si>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</si>
  <si>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</si>
  <si>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</si>
  <si>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</si>
  <si>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</si>
  <si>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</si>
  <si>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</si>
  <si>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</si>
  <si>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</si>
  <si>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</si>
  <si>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</si>
  <si>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</si>
  <si>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</si>
  <si>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</si>
  <si>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</si>
  <si>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</si>
  <si>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</si>
  <si>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</si>
  <si>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</si>
  <si>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</si>
  <si>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</si>
  <si>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</si>
  <si>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</si>
  <si>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</si>
  <si>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</si>
  <si>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</si>
  <si>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</si>
  <si>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</si>
  <si>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</si>
  <si>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</si>
  <si>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</si>
  <si>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</si>
  <si>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</si>
  <si>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</si>
  <si>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</si>
  <si>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</si>
  <si>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</si>
  <si>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</si>
  <si>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</si>
  <si>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</si>
  <si>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</si>
  <si>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</si>
  <si>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</si>
  <si>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</si>
  <si>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</si>
  <si>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</si>
  <si>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</si>
  <si>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</si>
  <si>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</si>
  <si>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</si>
  <si>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</si>
  <si>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</si>
  <si>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</si>
  <si>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</si>
  <si>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</si>
  <si>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</si>
  <si>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</si>
  <si>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</si>
  <si>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</si>
  <si>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</si>
  <si>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</si>
  <si>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25</t>
  </si>
  <si>
    <t>09</t>
  </si>
  <si>
    <t>September</t>
  </si>
  <si>
    <t>W/H/09/2026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</si>
</sst>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  <numFmt numFmtId="187" formatCode="_-* #,##0.00_-;\-* #,##0.00_-;_-* &quot;-&quot;_-;_-@_-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7" fontId="7" fillId="17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7" zoomScale="85" zoomScaleNormal="85" workbookViewId="0">
      <selection activeCell="K19" sqref="K19"/>
    </sheetView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90" t="s">
        <v>233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93" t="s">
        <v>238</v>
      </c>
    </row>
    <row r="6" spans="1:3" x14ac:dyDescent="0.3">
      <c r="A6" s="2" t="s">
        <v>195</v>
      </c>
      <c r="B6" s="93" t="s">
        <v>239</v>
      </c>
    </row>
    <row r="7" spans="1:3" x14ac:dyDescent="0.3">
      <c r="A7" s="2" t="s">
        <v>196</v>
      </c>
      <c r="B7" s="92" t="s">
        <v>237</v>
      </c>
    </row>
    <row r="8" spans="1:3" x14ac:dyDescent="0.3">
      <c r="A8" s="2" t="s">
        <v>1</v>
      </c>
      <c r="B8" s="17" t="s">
        <v>240</v>
      </c>
      <c r="C8" s="9"/>
    </row>
    <row r="9" spans="1:3" x14ac:dyDescent="0.3">
      <c r="A9" s="2" t="s">
        <v>2</v>
      </c>
      <c r="B9" s="19" t="s">
        <v>241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>
        <v>22</v>
      </c>
      <c r="I19" s="27">
        <f>H19*G19</f>
        <v>3168</v>
      </c>
      <c r="J19" s="57">
        <f t="shared" ref="J19" si="0">IF(G19="","",K19/G19)</f>
        <v>18</v>
      </c>
      <c r="K19" s="51">
        <v>2592</v>
      </c>
      <c r="L19" s="11"/>
      <c r="M19" s="1">
        <f t="shared" ref="M19:M21" si="1">K19*24</f>
        <v>62208</v>
      </c>
      <c r="N19" s="84" t="s">
        <v>210</v>
      </c>
      <c r="O19" s="59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>H20*G20</f>
        <v>0</v>
      </c>
      <c r="J20" s="57">
        <f t="shared" ref="J20" si="2">IF(G20="","",K20/G20)</f>
        <v>4</v>
      </c>
      <c r="K20" s="51">
        <v>576</v>
      </c>
      <c r="L20" s="13"/>
      <c r="M20" s="1">
        <f t="shared" si="1"/>
        <v>13824</v>
      </c>
      <c r="N20" s="84" t="s">
        <v>210</v>
      </c>
      <c r="O20" s="59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88"/>
      <c r="I21" s="27">
        <f>H21*G21</f>
        <v>0</v>
      </c>
      <c r="J21" s="57">
        <f t="shared" ref="J21:J24" si="3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153</v>
      </c>
      <c r="I22" s="27">
        <f t="shared" ref="I22:I23" si="4">H22*G22</f>
        <v>14688</v>
      </c>
      <c r="J22" s="57">
        <f t="shared" si="3"/>
        <v>112</v>
      </c>
      <c r="K22" s="51">
        <v>10752</v>
      </c>
      <c r="M22" s="1">
        <f t="shared" ref="M22:M24" si="5">K22*7</f>
        <v>75264</v>
      </c>
      <c r="N22" s="84" t="s">
        <v>234</v>
      </c>
      <c r="O22" s="59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80</v>
      </c>
      <c r="I23" s="27">
        <f t="shared" si="4"/>
        <v>7680</v>
      </c>
      <c r="J23" s="57">
        <f t="shared" si="3"/>
        <v>61</v>
      </c>
      <c r="K23" s="51">
        <v>5856</v>
      </c>
      <c r="M23" s="1">
        <f t="shared" si="5"/>
        <v>40992</v>
      </c>
      <c r="N23" s="84" t="s">
        <v>235</v>
      </c>
      <c r="O23" s="59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25</v>
      </c>
      <c r="I24" s="27">
        <f>H24*G24</f>
        <v>2400</v>
      </c>
      <c r="J24" s="57">
        <f t="shared" si="3"/>
        <v>19</v>
      </c>
      <c r="K24" s="51">
        <v>1824</v>
      </c>
      <c r="L24"/>
      <c r="M24" s="1">
        <f t="shared" si="5"/>
        <v>12768</v>
      </c>
      <c r="N24" s="84" t="s">
        <v>236</v>
      </c>
      <c r="O24" s="59" t="s">
        <v>198</v>
      </c>
    </row>
    <row r="25" spans="1:18" x14ac:dyDescent="0.3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/>
      <c r="N25" s="84" t="s">
        <v>209</v>
      </c>
      <c r="O25" s="87" t="s">
        <v>228</v>
      </c>
    </row>
    <row r="26" spans="1:18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8.5714285714285712</v>
      </c>
      <c r="K26" s="91">
        <v>2100</v>
      </c>
      <c r="L26" s="11"/>
      <c r="M26" s="1">
        <f t="shared" ref="M26:M28" si="7">K26*24</f>
        <v>50400</v>
      </c>
      <c r="N26" s="84" t="s">
        <v>210</v>
      </c>
      <c r="O26" s="59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8">H27*G27</f>
        <v>0</v>
      </c>
      <c r="J27" s="89">
        <f t="shared" si="6"/>
        <v>2.2222222222222223</v>
      </c>
      <c r="K27" s="91">
        <v>240</v>
      </c>
      <c r="L27" s="13"/>
      <c r="M27" s="1">
        <f t="shared" si="7"/>
        <v>5760</v>
      </c>
      <c r="N27" s="87"/>
      <c r="O27" s="87" t="s">
        <v>228</v>
      </c>
    </row>
    <row r="28" spans="1:18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94">
        <f t="shared" si="6"/>
        <v>5.128205128205128E-2</v>
      </c>
      <c r="K28" s="91">
        <v>4</v>
      </c>
      <c r="M28" s="1">
        <f t="shared" si="7"/>
        <v>96</v>
      </c>
      <c r="N28" s="56"/>
      <c r="O28" s="87" t="s">
        <v>228</v>
      </c>
    </row>
    <row r="29" spans="1:18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94">
        <f t="shared" si="6"/>
        <v>0.2</v>
      </c>
      <c r="K29" s="91">
        <v>40</v>
      </c>
      <c r="M29" s="1">
        <f t="shared" ref="M29:M31" si="9">K29*7</f>
        <v>280</v>
      </c>
      <c r="N29" s="56"/>
      <c r="O29" s="87" t="s">
        <v>228</v>
      </c>
    </row>
    <row r="30" spans="1:18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94">
        <f t="shared" si="6"/>
        <v>27.777777777777779</v>
      </c>
      <c r="K30" s="91">
        <v>2000</v>
      </c>
      <c r="M30" s="1">
        <f t="shared" si="9"/>
        <v>14000</v>
      </c>
      <c r="N30" s="84" t="s">
        <v>229</v>
      </c>
      <c r="O30" s="87" t="s">
        <v>228</v>
      </c>
    </row>
    <row r="31" spans="1:18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94">
        <f t="shared" si="6"/>
        <v>0</v>
      </c>
      <c r="K31" s="91"/>
      <c r="L31"/>
      <c r="M31" s="1">
        <f t="shared" si="9"/>
        <v>0</v>
      </c>
      <c r="N31" s="56"/>
      <c r="O31" s="87" t="s">
        <v>228</v>
      </c>
    </row>
    <row r="32" spans="1:18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94">
        <f t="shared" si="6"/>
        <v>6.6666666666666666E-2</v>
      </c>
      <c r="K32" s="91">
        <v>15</v>
      </c>
      <c r="M32" s="1">
        <f t="shared" ref="M32" si="11">K32*4</f>
        <v>60</v>
      </c>
      <c r="O32" s="87" t="s">
        <v>228</v>
      </c>
      <c r="R32" s="55"/>
    </row>
    <row r="33" spans="1:15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94">
        <f t="shared" si="6"/>
        <v>0</v>
      </c>
      <c r="K33" s="91"/>
      <c r="L33" s="14"/>
      <c r="M33" s="14">
        <f t="shared" ref="M33" si="12">K33*7</f>
        <v>0</v>
      </c>
      <c r="O33" s="87" t="s">
        <v>228</v>
      </c>
    </row>
    <row r="34" spans="1:15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94">
        <f t="shared" si="6"/>
        <v>0.65</v>
      </c>
      <c r="K34" s="91">
        <v>130</v>
      </c>
      <c r="M34" s="1">
        <f>K34*5</f>
        <v>650</v>
      </c>
      <c r="O34" s="87" t="s">
        <v>228</v>
      </c>
    </row>
    <row r="35" spans="1:15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94">
        <f t="shared" si="6"/>
        <v>0</v>
      </c>
      <c r="K35" s="91"/>
      <c r="M35" s="1">
        <f t="shared" ref="M35:M39" si="13">K35*4</f>
        <v>0</v>
      </c>
      <c r="N35" s="84" t="s">
        <v>210</v>
      </c>
      <c r="O35" s="87" t="s">
        <v>228</v>
      </c>
    </row>
    <row r="36" spans="1:15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94">
        <f t="shared" si="6"/>
        <v>2.5306122448979593</v>
      </c>
      <c r="K36" s="91">
        <v>620</v>
      </c>
      <c r="M36" s="1">
        <f t="shared" si="13"/>
        <v>2480</v>
      </c>
      <c r="N36" s="84" t="s">
        <v>230</v>
      </c>
      <c r="O36" s="87" t="s">
        <v>228</v>
      </c>
    </row>
    <row r="37" spans="1:15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94">
        <f t="shared" si="6"/>
        <v>9.2592592592592587E-2</v>
      </c>
      <c r="K37" s="91">
        <v>10</v>
      </c>
      <c r="M37" s="1">
        <f t="shared" si="13"/>
        <v>40</v>
      </c>
      <c r="O37" s="87" t="s">
        <v>228</v>
      </c>
    </row>
    <row r="38" spans="1:15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94">
        <f t="shared" si="6"/>
        <v>0.64814814814814814</v>
      </c>
      <c r="K38" s="91">
        <v>70</v>
      </c>
      <c r="M38" s="1">
        <f t="shared" si="13"/>
        <v>280</v>
      </c>
      <c r="O38" s="87" t="s">
        <v>228</v>
      </c>
    </row>
    <row r="39" spans="1:15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94">
        <f t="shared" si="6"/>
        <v>0.2</v>
      </c>
      <c r="K39" s="91">
        <v>45</v>
      </c>
      <c r="M39" s="1">
        <f t="shared" si="13"/>
        <v>180</v>
      </c>
      <c r="O39" s="87" t="s">
        <v>228</v>
      </c>
    </row>
    <row r="40" spans="1:15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94">
        <f t="shared" si="6"/>
        <v>4.1666666666666664E-2</v>
      </c>
      <c r="K40" s="91">
        <v>6</v>
      </c>
      <c r="O40" s="87" t="s">
        <v>228</v>
      </c>
    </row>
    <row r="41" spans="1:15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94">
        <f t="shared" si="6"/>
        <v>0.12121212121212122</v>
      </c>
      <c r="K41" s="91">
        <v>16</v>
      </c>
      <c r="M41" s="1">
        <f t="shared" ref="M41" si="15">K41*7</f>
        <v>112</v>
      </c>
      <c r="O41" s="87" t="s">
        <v>228</v>
      </c>
    </row>
    <row r="42" spans="1:15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0.55555555555555558</v>
      </c>
      <c r="K42" s="91">
        <v>40</v>
      </c>
      <c r="M42" s="1">
        <f>K42*5</f>
        <v>200</v>
      </c>
      <c r="O42" s="87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6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5"/>
    </row>
    <row r="62" spans="1:11" x14ac:dyDescent="0.3">
      <c r="I62"/>
    </row>
  </sheetData>
  <autoFilter ref="A18:O42" xr:uid="{00000000-0001-0000-0000-000000000000}"/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workbookViewId="0">
      <selection activeCell="B4" sqref="B4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 x14ac:dyDescent="0.35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 x14ac:dyDescent="0.35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 x14ac:dyDescent="0.35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 x14ac:dyDescent="0.35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 x14ac:dyDescent="0.35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 x14ac:dyDescent="0.35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 x14ac:dyDescent="0.35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 x14ac:dyDescent="0.35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 x14ac:dyDescent="0.35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 x14ac:dyDescent="0.35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 x14ac:dyDescent="0.35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 x14ac:dyDescent="0.35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 x14ac:dyDescent="0.35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 x14ac:dyDescent="0.35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 x14ac:dyDescent="0.35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 x14ac:dyDescent="0.3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 x14ac:dyDescent="0.3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 x14ac:dyDescent="0.3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 x14ac:dyDescent="0.3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 x14ac:dyDescent="0.3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 x14ac:dyDescent="0.3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 x14ac:dyDescent="0.3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 x14ac:dyDescent="0.3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 x14ac:dyDescent="0.3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 x14ac:dyDescent="0.3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 x14ac:dyDescent="0.3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 x14ac:dyDescent="0.3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 x14ac:dyDescent="0.3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 x14ac:dyDescent="0.3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 x14ac:dyDescent="0.3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 x14ac:dyDescent="0.3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231</v>
      </c>
      <c r="B47" s="35" t="s">
        <v>232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2026-07-24T05:15:17Z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
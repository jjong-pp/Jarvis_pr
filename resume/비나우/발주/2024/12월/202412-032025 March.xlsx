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2월\"/>
    </mc:Choice>
  </mc:AlternateContent>
  <xr:revisionPtr revIDLastSave="0" documentId="13_ncr:1_{2E2CA0E5-6183-4C6D-8BEA-B33512DF8F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K24" i="1" l="1"/>
  <c r="K22" i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<sst xmlns="http://schemas.openxmlformats.org/spreadsheetml/2006/main" count="233" uniqueCount="209">
  <si>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</si>
  <si>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</si>
  <si>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</si>
  <si>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</si>
  <si>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</si>
  <si>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</si>
  <si>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</si>
  <si>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</si>
  <si>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</si>
  <si>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</si>
  <si>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</si>
  <si>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</si>
  <si>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</si>
  <si>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</si>
  <si>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</si>
  <si>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</si>
  <si>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</si>
  <si>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</si>
  <si>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</si>
  <si>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</si>
  <si>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</si>
  <si>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</si>
  <si>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</si>
  <si>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</si>
  <si>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</si>
  <si>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</si>
  <si>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</si>
  <si>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</si>
  <si>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</si>
  <si>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</si>
  <si>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</si>
  <si>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</si>
  <si>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</si>
  <si>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</si>
  <si>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</si>
  <si>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</si>
  <si>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</si>
  <si>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</si>
  <si>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</si>
  <si>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</si>
  <si>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</si>
  <si>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</si>
  <si>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</si>
  <si>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</si>
  <si>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</si>
  <si>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</si>
  <si>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</si>
  <si>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</si>
  <si>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</si>
  <si>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</si>
  <si>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</si>
  <si>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</si>
  <si>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</si>
  <si>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</si>
  <si>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</si>
  <si>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</si>
  <si>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</si>
  <si>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</si>
  <si>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</si>
  <si>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</si>
  <si>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</si>
  <si>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</si>
  <si>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</si>
  <si>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</si>
  <si>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</si>
  <si>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</si>
  <si>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</si>
  <si>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</si>
  <si>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</si>
  <si>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</si>
  <si>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</si>
  <si>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</si>
  <si>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</si>
  <si>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</si>
  <si>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</si>
  <si>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</si>
  <si>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</si>
  <si>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</si>
  <si>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</si>
  <si>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</si>
  <si>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</si>
  <si>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</si>
  <si>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</si>
  <si>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</si>
  <si>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</si>
  <si>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</si>
  <si>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</si>
  <si>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</si>
  <si>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</si>
  <si>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</si>
  <si>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</si>
  <si>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</si>
  <si>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</si>
  <si>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</si>
  <si>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</si>
  <si>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</si>
  <si>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</si>
  <si>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</si>
  <si>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</si>
  <si>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</si>
  <si>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</si>
  <si>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</si>
  <si>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</si>
  <si>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</si>
  <si>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</si>
  <si>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</si>
  <si>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</si>
  <si>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</si>
  <si>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</si>
  <si>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</si>
  <si>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</si>
  <si>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</si>
  <si>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</si>
  <si>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</si>
  <si>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</si>
  <si>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</si>
  <si>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</si>
  <si>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</si>
  <si>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</si>
  <si>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</si>
  <si>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</si>
  <si>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</si>
  <si>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</si>
  <si>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</si>
  <si>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</si>
  <si>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</si>
  <si>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</si>
  <si>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</si>
  <si>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</si>
  <si>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</si>
  <si>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</si>
  <si>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</si>
  <si>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</si>
  <si>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</si>
  <si>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</si>
  <si>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</si>
  <si>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</si>
  <si>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</si>
  <si>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</si>
  <si>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</si>
  <si>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</si>
  <si>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</si>
  <si>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</si>
  <si>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</si>
  <si>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</si>
  <si>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</si>
  <si>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</si>
  <si>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</si>
  <si>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</si>
  <si>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</si>
  <si>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</si>
  <si>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</si>
  <si>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</si>
  <si>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</si>
  <si>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</si>
  <si>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</si>
  <si>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</si>
  <si>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</si>
  <si>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</si>
  <si>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</si>
  <si>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</si>
  <si>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</si>
  <si>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</si>
  <si>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</si>
  <si>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</si>
  <si>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</si>
  <si>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</si>
  <si>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</si>
  <si>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</si>
  <si>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</si>
  <si>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</si>
  <si>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</si>
  <si>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</si>
  <si>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</si>
  <si>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</si>
  <si>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</si>
  <si>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</si>
  <si>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</si>
  <si>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</si>
  <si>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</si>
  <si>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</si>
  <si>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</si>
  <si>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</si>
  <si>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</si>
  <si>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</si>
  <si>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</si>
  <si>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</si>
  <si>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</si>
  <si>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</si>
  <si>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</si>
  <si>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</si>
  <si>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</si>
  <si>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</si>
  <si>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</si>
  <si>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</si>
  <si>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</si>
  <si>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</si>
  <si>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</si>
  <si>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</si>
  <si>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</si>
  <si>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</si>
  <si>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</si>
  <si>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</si>
  <si>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</si>
  <si>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</si>
  <si>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21</t>
  </si>
  <si>
    <t>3</t>
  </si>
  <si>
    <t>March</t>
  </si>
  <si>
    <t>W/H/03/2025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</si>
</sst>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"/>
  </numFmts>
  <fonts count="2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186" fontId="0" fillId="2" borderId="0" xfId="0" applyNumberFormat="1" applyFill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Normal="10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10.875" style="1" bestFit="1" customWidth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9" t="s">
        <v>28</v>
      </c>
      <c r="B2" s="39" t="s">
        <v>192</v>
      </c>
    </row>
    <row r="3" spans="1:3" x14ac:dyDescent="0.3">
      <c r="A3" s="2" t="s">
        <v>0</v>
      </c>
      <c r="B3" s="32">
        <v>72851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58" t="s">
        <v>205</v>
      </c>
    </row>
    <row r="6" spans="1:3" x14ac:dyDescent="0.3">
      <c r="A6" s="2" t="s">
        <v>203</v>
      </c>
      <c r="B6" s="58" t="s">
        <v>206</v>
      </c>
    </row>
    <row r="7" spans="1:3" x14ac:dyDescent="0.3">
      <c r="A7" s="2" t="s">
        <v>204</v>
      </c>
      <c r="B7" s="58">
        <v>2025</v>
      </c>
    </row>
    <row r="8" spans="1:3" x14ac:dyDescent="0.3">
      <c r="A8" s="2" t="s">
        <v>1</v>
      </c>
      <c r="B8" s="17" t="s">
        <v>207</v>
      </c>
      <c r="C8" s="9"/>
    </row>
    <row r="9" spans="1:3" x14ac:dyDescent="0.3">
      <c r="A9" s="2" t="s">
        <v>2</v>
      </c>
      <c r="B9" s="19" t="s">
        <v>208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>
      <c r="A17" s="63"/>
      <c r="B17" s="63"/>
      <c r="C17" s="63"/>
    </row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 x14ac:dyDescent="0.3">
      <c r="A19" s="62">
        <v>676366</v>
      </c>
      <c r="B19" s="62" t="s">
        <v>188</v>
      </c>
      <c r="C19" s="62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21</v>
      </c>
      <c r="I19" s="27">
        <f>H19*G19</f>
        <v>3024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57"/>
    </row>
    <row r="20" spans="1:18" x14ac:dyDescent="0.3">
      <c r="A20" s="62">
        <v>676367</v>
      </c>
      <c r="B20" s="62" t="s">
        <v>189</v>
      </c>
      <c r="C20" s="62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19</v>
      </c>
      <c r="I20" s="27">
        <f t="shared" ref="I20:I23" si="2">H20*G20</f>
        <v>2736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57"/>
      <c r="O20" s="60"/>
      <c r="P20" s="61"/>
      <c r="Q20" s="69"/>
    </row>
    <row r="21" spans="1:18" x14ac:dyDescent="0.3">
      <c r="A21" s="62">
        <v>676369</v>
      </c>
      <c r="B21" s="62" t="s">
        <v>190</v>
      </c>
      <c r="C21" s="62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>
        <v>4</v>
      </c>
      <c r="I21" s="27">
        <f t="shared" si="2"/>
        <v>576</v>
      </c>
      <c r="J21" s="59">
        <f t="shared" ref="J21:J25" si="4">IF(G21="","",K21/G21)</f>
        <v>11</v>
      </c>
      <c r="K21" s="52">
        <v>1584</v>
      </c>
      <c r="M21" s="1">
        <f t="shared" si="1"/>
        <v>38016</v>
      </c>
      <c r="N21" s="57"/>
      <c r="O21" s="60"/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0</v>
      </c>
      <c r="I22" s="27">
        <f t="shared" si="2"/>
        <v>0</v>
      </c>
      <c r="J22" s="59">
        <f t="shared" si="4"/>
        <v>28</v>
      </c>
      <c r="K22" s="52">
        <f>2784-96</f>
        <v>2688</v>
      </c>
      <c r="M22" s="1">
        <f t="shared" ref="M22:M26" si="5">K22*7</f>
        <v>18816</v>
      </c>
      <c r="N22" s="57"/>
      <c r="Q22" s="56"/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38</v>
      </c>
      <c r="I23" s="27">
        <f t="shared" si="2"/>
        <v>3648</v>
      </c>
      <c r="J23" s="59">
        <f t="shared" si="4"/>
        <v>0</v>
      </c>
      <c r="K23" s="52"/>
      <c r="M23" s="1">
        <f t="shared" si="5"/>
        <v>0</v>
      </c>
      <c r="N23" s="57"/>
      <c r="O23" s="60"/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10</v>
      </c>
      <c r="I24" s="27">
        <f>H24*G24</f>
        <v>960</v>
      </c>
      <c r="J24" s="59">
        <f t="shared" si="4"/>
        <v>20.020833333333332</v>
      </c>
      <c r="K24" s="52">
        <f>1250+576+96</f>
        <v>1922</v>
      </c>
      <c r="L24"/>
      <c r="M24" s="1">
        <f t="shared" si="5"/>
        <v>13454</v>
      </c>
      <c r="N24" s="57"/>
      <c r="P24" s="61"/>
    </row>
    <row r="25" spans="1:18" x14ac:dyDescent="0.3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 x14ac:dyDescent="0.3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>
        <v>0</v>
      </c>
      <c r="L26" s="14"/>
      <c r="M26" s="14">
        <f t="shared" si="5"/>
        <v>0</v>
      </c>
      <c r="O26" s="61"/>
    </row>
    <row r="27" spans="1:18" x14ac:dyDescent="0.3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>
        <v>0</v>
      </c>
      <c r="M27" s="1">
        <f>K27*5</f>
        <v>0</v>
      </c>
      <c r="O27" s="57"/>
    </row>
    <row r="28" spans="1:18" x14ac:dyDescent="0.3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>
        <v>0</v>
      </c>
      <c r="L28" s="11"/>
      <c r="M28" s="1">
        <f t="shared" ref="M28:M31" si="10">K28*4</f>
        <v>0</v>
      </c>
      <c r="O28" s="57"/>
    </row>
    <row r="29" spans="1:18" x14ac:dyDescent="0.3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>
        <v>0</v>
      </c>
      <c r="L29" s="13"/>
      <c r="M29" s="1">
        <f t="shared" si="10"/>
        <v>0</v>
      </c>
    </row>
    <row r="30" spans="1:18" x14ac:dyDescent="0.3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 x14ac:dyDescent="0.3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 x14ac:dyDescent="0.3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 x14ac:dyDescent="0.3">
      <c r="A33" s="8"/>
      <c r="B33" s="3"/>
      <c r="C33" s="3"/>
      <c r="D33" s="3"/>
      <c r="E33" s="3"/>
      <c r="F33" s="3"/>
      <c r="G33" s="3"/>
      <c r="J33" s="55"/>
      <c r="K33" s="3"/>
    </row>
    <row r="34" spans="1:11" x14ac:dyDescent="0.3">
      <c r="A34" s="8"/>
      <c r="B34" s="8"/>
      <c r="C34" s="3"/>
      <c r="J34" s="8" t="s">
        <v>19</v>
      </c>
      <c r="K34" s="3"/>
    </row>
    <row r="35" spans="1:11" x14ac:dyDescent="0.3">
      <c r="A35" s="8"/>
      <c r="B35" s="8"/>
      <c r="C35" s="3"/>
      <c r="J35" s="8" t="s">
        <v>20</v>
      </c>
      <c r="K35" s="28"/>
    </row>
    <row r="36" spans="1:11" x14ac:dyDescent="0.3">
      <c r="A36" s="11"/>
      <c r="B36" s="11"/>
    </row>
    <row r="38" spans="1:11" x14ac:dyDescent="0.3">
      <c r="A38"/>
      <c r="B38"/>
      <c r="C38"/>
      <c r="D38"/>
      <c r="E38"/>
      <c r="F38"/>
      <c r="G38"/>
      <c r="H38"/>
      <c r="I38"/>
      <c r="J38" s="22"/>
    </row>
    <row r="39" spans="1:11" x14ac:dyDescent="0.3">
      <c r="A39"/>
      <c r="B39"/>
      <c r="C39"/>
      <c r="D39"/>
      <c r="E39"/>
      <c r="F39"/>
      <c r="G39"/>
      <c r="H39"/>
      <c r="I39"/>
      <c r="J39" s="22"/>
    </row>
    <row r="40" spans="1:11" x14ac:dyDescent="0.3">
      <c r="A40"/>
      <c r="B40"/>
      <c r="C40"/>
      <c r="D40"/>
      <c r="E40"/>
      <c r="F40"/>
      <c r="G40"/>
      <c r="H40"/>
      <c r="I40"/>
      <c r="J40" s="22"/>
    </row>
    <row r="41" spans="1:11" x14ac:dyDescent="0.3">
      <c r="A41"/>
      <c r="B41"/>
      <c r="C41"/>
      <c r="D41"/>
      <c r="E41"/>
      <c r="F41"/>
      <c r="G41"/>
      <c r="H41"/>
      <c r="I41"/>
      <c r="J41" s="22"/>
    </row>
    <row r="42" spans="1:11" x14ac:dyDescent="0.3">
      <c r="A42"/>
      <c r="B42"/>
      <c r="C42"/>
      <c r="D42"/>
      <c r="E42"/>
      <c r="F42"/>
      <c r="G42"/>
      <c r="H42"/>
      <c r="I42"/>
      <c r="J42" s="22"/>
    </row>
    <row r="43" spans="1:11" x14ac:dyDescent="0.3">
      <c r="A43" s="23"/>
      <c r="B43"/>
      <c r="C43"/>
      <c r="D43"/>
      <c r="E43"/>
      <c r="F43"/>
      <c r="G43"/>
      <c r="H43"/>
      <c r="I43"/>
      <c r="J43" s="22"/>
    </row>
    <row r="44" spans="1:11" x14ac:dyDescent="0.3">
      <c r="A44"/>
      <c r="B44"/>
      <c r="C44"/>
      <c r="D44"/>
      <c r="E44"/>
      <c r="F44"/>
      <c r="G44"/>
      <c r="H44"/>
      <c r="I44" s="54"/>
      <c r="J44" s="22"/>
    </row>
    <row r="45" spans="1:11" x14ac:dyDescent="0.3">
      <c r="A45"/>
      <c r="B45"/>
      <c r="C45"/>
      <c r="D45"/>
      <c r="E45"/>
      <c r="F45"/>
      <c r="G45"/>
      <c r="H45"/>
      <c r="I45" s="53"/>
      <c r="J45" s="22"/>
    </row>
    <row r="46" spans="1:11" x14ac:dyDescent="0.3">
      <c r="A46"/>
      <c r="B46"/>
      <c r="C46"/>
      <c r="D46"/>
      <c r="E46"/>
      <c r="F46"/>
      <c r="G46"/>
      <c r="H46"/>
      <c r="I46" s="53"/>
      <c r="J46" s="22"/>
    </row>
    <row r="47" spans="1:11" x14ac:dyDescent="0.3">
      <c r="I47"/>
    </row>
    <row r="48" spans="1:11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64" t="s">
        <v>28</v>
      </c>
      <c r="B3" s="65"/>
      <c r="D3" s="66" t="s">
        <v>152</v>
      </c>
      <c r="E3" s="67"/>
      <c r="F3" s="67"/>
      <c r="G3" s="67"/>
      <c r="H3" s="68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/>
      <c r="B47" s="36"/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2024-12-20T02:24:57Z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
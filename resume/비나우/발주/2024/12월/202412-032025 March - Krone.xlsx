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RMEER\company\BV-Export\Supply Chain\Countries\South Korea (Krone - Extrans - Yantai)\Planning\Planning tool\Orders\"/>
    </mc:Choice>
  </mc:AlternateContent>
  <xr:revisionPtr revIDLastSave="0" documentId="13_ncr:1_{E5FF28B2-D305-4D73-B356-0680988A7FC4}" xr6:coauthVersionLast="47" xr6:coauthVersionMax="47" xr10:uidLastSave="{00000000-0000-0000-0000-000000000000}"/>
  <bookViews>
    <workbookView xWindow="28695" yWindow="-19710" windowWidth="26010" windowHeight="20985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<sst xmlns="http://schemas.openxmlformats.org/spreadsheetml/2006/main" count="275" uniqueCount="252">
  <si>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</si>
  <si>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</si>
  <si>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</si>
  <si>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</si>
  <si>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</si>
  <si>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</si>
  <si>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</si>
  <si>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</si>
  <si>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</si>
  <si>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</si>
  <si>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</si>
  <si>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</si>
  <si>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</si>
  <si>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</si>
  <si>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</si>
  <si>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</si>
  <si>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</si>
  <si>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</si>
  <si>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</si>
  <si>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</si>
  <si>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</si>
  <si>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</si>
  <si>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</si>
  <si>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</si>
  <si>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</si>
  <si>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</si>
  <si>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</si>
  <si>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</si>
  <si>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</si>
  <si>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</si>
  <si>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</si>
  <si>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</si>
  <si>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</si>
  <si>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</si>
  <si>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</si>
  <si>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</si>
  <si>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</si>
  <si>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</si>
  <si>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</si>
  <si>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</si>
  <si>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</si>
  <si>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</si>
  <si>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</si>
  <si>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</si>
  <si>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</si>
  <si>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</si>
  <si>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</si>
  <si>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</si>
  <si>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</si>
  <si>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</si>
  <si>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</si>
  <si>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</si>
  <si>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</si>
  <si>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</si>
  <si>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</si>
  <si>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</si>
  <si>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</si>
  <si>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</si>
  <si>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</si>
  <si>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</si>
  <si>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</si>
  <si>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</si>
  <si>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</si>
  <si>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</si>
  <si>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</si>
  <si>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</si>
  <si>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</si>
  <si>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</si>
  <si>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</si>
  <si>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</si>
  <si>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</si>
  <si>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</si>
  <si>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</si>
  <si>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</si>
  <si>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</si>
  <si>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</si>
  <si>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</si>
  <si>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</si>
  <si>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</si>
  <si>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</si>
  <si>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</si>
  <si>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</si>
  <si>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</si>
  <si>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</si>
  <si>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</si>
  <si>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</si>
  <si>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</si>
  <si>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</si>
  <si>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</si>
  <si>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</si>
  <si>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</si>
  <si>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</si>
  <si>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</si>
  <si>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</si>
  <si>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</si>
  <si>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</si>
  <si>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</si>
  <si>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</si>
  <si>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</si>
  <si>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</si>
  <si>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</si>
  <si>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</si>
  <si>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</si>
  <si>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</si>
  <si>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</si>
  <si>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</si>
  <si>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</si>
  <si>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</si>
  <si>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</si>
  <si>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</si>
  <si>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</si>
  <si>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</si>
  <si>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</si>
  <si>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</si>
  <si>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</si>
  <si>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</si>
  <si>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</si>
  <si>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</si>
  <si>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</si>
  <si>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</si>
  <si>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</si>
  <si>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</si>
  <si>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</si>
  <si>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</si>
  <si>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</si>
  <si>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</si>
  <si>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</si>
  <si>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</si>
  <si>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</si>
  <si>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</si>
  <si>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</si>
  <si>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</si>
  <si>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</si>
  <si>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</si>
  <si>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</si>
  <si>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</si>
  <si>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</si>
  <si>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</si>
  <si>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</si>
  <si>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</si>
  <si>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</si>
  <si>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</si>
  <si>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</si>
  <si>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</si>
  <si>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</si>
  <si>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</si>
  <si>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</si>
  <si>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</si>
  <si>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</si>
  <si>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</si>
  <si>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</si>
  <si>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</si>
  <si>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</si>
  <si>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</si>
  <si>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</si>
  <si>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</si>
  <si>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</si>
  <si>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</si>
  <si>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</si>
  <si>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</si>
  <si>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</si>
  <si>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</si>
  <si>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</si>
  <si>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</si>
  <si>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</si>
  <si>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</si>
  <si>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</si>
  <si>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</si>
  <si>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</si>
  <si>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</si>
  <si>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</si>
  <si>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</si>
  <si>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</si>
  <si>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</si>
  <si>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</si>
  <si>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</si>
  <si>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</si>
  <si>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</si>
  <si>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</si>
  <si>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</si>
  <si>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</si>
  <si>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</si>
  <si>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</si>
  <si>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</si>
  <si>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</si>
  <si>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</si>
  <si>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</si>
  <si>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</si>
  <si>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</si>
  <si>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</si>
  <si>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</si>
  <si>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</si>
  <si>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</si>
  <si>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</si>
  <si>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</si>
  <si>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</si>
  <si>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</si>
  <si>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</si>
  <si>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</si>
  <si>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</si>
  <si>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</si>
  <si>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</si>
  <si>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</si>
  <si>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</si>
  <si>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</si>
  <si>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</si>
  <si>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</si>
  <si>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</si>
  <si>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</si>
  <si>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</si>
  <si>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</si>
  <si>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</si>
  <si>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</si>
  <si>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</si>
  <si>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</si>
  <si>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</si>
  <si>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</si>
  <si>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</si>
  <si>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</si>
  <si>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</si>
  <si>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</si>
  <si>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</si>
  <si>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</si>
  <si>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</si>
  <si>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</si>
  <si>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</si>
  <si>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</si>
  <si>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</si>
  <si>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</si>
  <si>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</si>
  <si>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</si>
  <si>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</si>
  <si>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</si>
  <si>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</si>
  <si>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</si>
  <si>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</si>
  <si>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</si>
  <si>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</si>
  <si>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</si>
  <si>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</si>
  <si>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</si>
  <si>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</si>
  <si>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</si>
  <si>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</si>
  <si>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</si>
  <si>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</si>
  <si>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</si>
  <si>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</si>
  <si>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21</t>
  </si>
  <si>
    <t>3</t>
  </si>
  <si>
    <t>March</t>
  </si>
  <si>
    <t>W/F/03/2025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</si>
</sst>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V-Export/Supply%20Chain/Countries/South%20Korea%20(DAMI)/Planning/Suggested%20order/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2" zoomScaleNormal="100" workbookViewId="0">
      <selection activeCell="H30" sqref="H30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9.08984375" style="1"/>
    <col min="15" max="15" width="12.08984375" style="1" bestFit="1" customWidth="1"/>
    <col min="16" max="16" width="14.08984375" style="52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73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 t="s">
        <v>248</v>
      </c>
    </row>
    <row r="6" spans="1:3">
      <c r="A6" s="2" t="s">
        <v>241</v>
      </c>
      <c r="B6" s="53" t="s">
        <v>249</v>
      </c>
    </row>
    <row r="7" spans="1:3">
      <c r="A7" s="2" t="s">
        <v>242</v>
      </c>
      <c r="B7" s="53">
        <v>2025</v>
      </c>
    </row>
    <row r="8" spans="1:3">
      <c r="A8" s="2" t="s">
        <v>1</v>
      </c>
      <c r="B8" s="16" t="s">
        <v>250</v>
      </c>
      <c r="C8" s="9"/>
    </row>
    <row r="9" spans="1:3">
      <c r="A9" s="2" t="s">
        <v>2</v>
      </c>
      <c r="B9" s="18" t="s">
        <v>251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63" t="s">
        <v>195</v>
      </c>
      <c r="P18" s="64" t="s">
        <v>196</v>
      </c>
      <c r="Q18" s="64" t="s">
        <v>197</v>
      </c>
      <c r="R18" s="64" t="s">
        <v>198</v>
      </c>
      <c r="S18" s="64" t="s">
        <v>199</v>
      </c>
    </row>
    <row r="19" spans="1:19" ht="1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/>
      <c r="I19" s="25">
        <f>H19*G19</f>
        <v>0</v>
      </c>
      <c r="J19" s="75">
        <f t="shared" ref="J19:J25" si="0">IF(G19="","",K19/G19)</f>
        <v>0</v>
      </c>
      <c r="K19" s="48"/>
      <c r="L19" s="11"/>
      <c r="M19" s="1">
        <f t="shared" ref="M19:M21" si="1">K19*24</f>
        <v>0</v>
      </c>
      <c r="O19" s="77" t="s">
        <v>200</v>
      </c>
      <c r="P19" s="65" t="s">
        <v>201</v>
      </c>
      <c r="Q19" s="66" t="s">
        <v>202</v>
      </c>
      <c r="R19" s="66" t="s">
        <v>203</v>
      </c>
      <c r="S19" s="74" t="s">
        <v>204</v>
      </c>
    </row>
    <row r="20" spans="1:19" ht="1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/>
      <c r="I20" s="25">
        <f t="shared" ref="I20:I25" si="2">H20*G20</f>
        <v>0</v>
      </c>
      <c r="J20" s="75">
        <f t="shared" si="0"/>
        <v>0</v>
      </c>
      <c r="K20" s="48"/>
      <c r="L20" s="13"/>
      <c r="M20" s="1">
        <f t="shared" si="1"/>
        <v>0</v>
      </c>
      <c r="O20" s="78"/>
      <c r="P20" s="65" t="s">
        <v>205</v>
      </c>
      <c r="Q20" s="66" t="s">
        <v>206</v>
      </c>
      <c r="R20" s="66" t="s">
        <v>207</v>
      </c>
      <c r="S20" s="74" t="s">
        <v>208</v>
      </c>
    </row>
    <row r="21" spans="1:19" ht="1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/>
      <c r="I21" s="25">
        <f t="shared" si="2"/>
        <v>0</v>
      </c>
      <c r="J21" s="75">
        <f t="shared" si="0"/>
        <v>0</v>
      </c>
      <c r="K21" s="48"/>
      <c r="M21" s="1">
        <f t="shared" si="1"/>
        <v>0</v>
      </c>
      <c r="O21" s="78"/>
      <c r="P21" s="65" t="s">
        <v>209</v>
      </c>
      <c r="Q21" s="66" t="s">
        <v>210</v>
      </c>
      <c r="R21" s="66" t="s">
        <v>211</v>
      </c>
      <c r="S21" s="74" t="s">
        <v>212</v>
      </c>
    </row>
    <row r="22" spans="1:19" ht="1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/>
      <c r="M22" s="1">
        <f t="shared" ref="M22:M24" si="3">K22*7</f>
        <v>0</v>
      </c>
      <c r="O22" s="78"/>
      <c r="P22" s="65" t="s">
        <v>213</v>
      </c>
      <c r="Q22" s="66" t="s">
        <v>214</v>
      </c>
      <c r="R22" s="66" t="s">
        <v>215</v>
      </c>
      <c r="S22" s="74" t="s">
        <v>216</v>
      </c>
    </row>
    <row r="23" spans="1:19" ht="1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/>
      <c r="M23" s="1">
        <f t="shared" si="3"/>
        <v>0</v>
      </c>
      <c r="O23" s="79"/>
      <c r="P23" s="65" t="s">
        <v>217</v>
      </c>
      <c r="Q23" s="66" t="s">
        <v>218</v>
      </c>
      <c r="R23" s="66" t="s">
        <v>219</v>
      </c>
      <c r="S23" s="74" t="s">
        <v>220</v>
      </c>
    </row>
    <row r="24" spans="1:19" ht="1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/>
      <c r="L24"/>
      <c r="M24" s="1">
        <f t="shared" si="3"/>
        <v>0</v>
      </c>
      <c r="O24" s="77" t="s">
        <v>221</v>
      </c>
      <c r="P24" s="67" t="s">
        <v>222</v>
      </c>
      <c r="Q24" s="66" t="s">
        <v>234</v>
      </c>
      <c r="R24" s="66" t="s">
        <v>235</v>
      </c>
      <c r="S24" s="66" t="s">
        <v>220</v>
      </c>
    </row>
    <row r="25" spans="1:19" ht="1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0</v>
      </c>
      <c r="K25" s="48"/>
      <c r="L25"/>
      <c r="O25" s="78"/>
      <c r="P25" s="67" t="s">
        <v>223</v>
      </c>
      <c r="Q25" s="66" t="s">
        <v>234</v>
      </c>
      <c r="R25" s="66" t="s">
        <v>235</v>
      </c>
      <c r="S25" s="66" t="s">
        <v>220</v>
      </c>
    </row>
    <row r="26" spans="1:19" ht="1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4">H26*G26</f>
        <v>0</v>
      </c>
      <c r="J26" s="75">
        <f t="shared" ref="J26:J33" si="5">IF(G26="","",K26/G26)</f>
        <v>0</v>
      </c>
      <c r="K26" s="48"/>
      <c r="L26"/>
      <c r="O26" s="78"/>
      <c r="P26" s="67" t="s">
        <v>224</v>
      </c>
      <c r="Q26" s="66" t="s">
        <v>225</v>
      </c>
      <c r="R26" s="66" t="s">
        <v>226</v>
      </c>
      <c r="S26" s="66" t="s">
        <v>227</v>
      </c>
    </row>
    <row r="27" spans="1:19" ht="1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O27" s="79"/>
      <c r="P27" s="67" t="s">
        <v>217</v>
      </c>
      <c r="Q27" s="66" t="s">
        <v>228</v>
      </c>
      <c r="R27" s="66" t="s">
        <v>229</v>
      </c>
      <c r="S27" s="66" t="s">
        <v>230</v>
      </c>
    </row>
    <row r="28" spans="1:19" ht="1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4"/>
        <v>0</v>
      </c>
      <c r="J28" s="75">
        <f t="shared" si="5"/>
        <v>0</v>
      </c>
      <c r="K28" s="48"/>
      <c r="L28"/>
      <c r="O28" s="62"/>
      <c r="P28" s="62"/>
      <c r="Q28" s="68" t="s">
        <v>231</v>
      </c>
      <c r="R28" s="66" t="s">
        <v>232</v>
      </c>
      <c r="S28" s="66" t="s">
        <v>233</v>
      </c>
    </row>
    <row r="29" spans="1:19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O29" s="62"/>
      <c r="P29" s="62"/>
      <c r="Q29" s="62"/>
      <c r="R29" s="62"/>
      <c r="S29" s="62"/>
    </row>
    <row r="30" spans="1:19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>
        <v>14</v>
      </c>
      <c r="I30" s="54">
        <f t="shared" si="4"/>
        <v>1792</v>
      </c>
      <c r="J30" s="75">
        <f t="shared" si="5"/>
        <v>0</v>
      </c>
      <c r="K30" s="48"/>
      <c r="L30"/>
      <c r="N30" s="76">
        <v>3328</v>
      </c>
      <c r="O30" s="62"/>
      <c r="P30" s="62"/>
      <c r="Q30" s="62"/>
      <c r="R30" s="62"/>
      <c r="S30" s="62"/>
    </row>
    <row r="31" spans="1:19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>
        <v>34</v>
      </c>
      <c r="I31" s="54">
        <f t="shared" si="4"/>
        <v>4352</v>
      </c>
      <c r="J31" s="75">
        <f t="shared" si="5"/>
        <v>0</v>
      </c>
      <c r="K31" s="48"/>
      <c r="L31"/>
      <c r="N31" s="76">
        <v>3328</v>
      </c>
      <c r="O31" s="62"/>
      <c r="P31" s="62"/>
      <c r="Q31" s="62"/>
      <c r="R31" s="62"/>
      <c r="S31" s="62"/>
    </row>
    <row r="32" spans="1:19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/>
      <c r="I32" s="54">
        <f t="shared" si="4"/>
        <v>0</v>
      </c>
      <c r="J32" s="75">
        <f t="shared" si="5"/>
        <v>0</v>
      </c>
      <c r="K32" s="48"/>
      <c r="L32"/>
      <c r="N32" s="76">
        <v>600</v>
      </c>
      <c r="O32" s="62"/>
      <c r="P32" s="62"/>
      <c r="Q32" s="62"/>
      <c r="R32" s="62"/>
      <c r="S32" s="62"/>
    </row>
    <row r="33" spans="1:19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/>
      <c r="I33" s="54">
        <f t="shared" si="4"/>
        <v>0</v>
      </c>
      <c r="J33" s="75">
        <f t="shared" si="5"/>
        <v>0</v>
      </c>
      <c r="K33" s="48"/>
      <c r="L33"/>
      <c r="N33" s="76">
        <v>600</v>
      </c>
      <c r="O33" s="62"/>
      <c r="P33" s="62"/>
      <c r="Q33" s="62"/>
      <c r="R33" s="62"/>
      <c r="S33" s="62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7" t="s">
        <v>184</v>
      </c>
    </row>
    <row r="2" spans="1:8" ht="15" thickBot="1"/>
    <row r="3" spans="1:8" ht="1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ARIG Irina</cp:lastModifiedBy>
  <cp:lastPrinted>2014-05-01T13:42:50Z</cp:lastPrinted>
  <dcterms:created xsi:type="dcterms:W3CDTF">2014-04-29T09:00:29Z</dcterms:created>
  <dcterms:modified xsi:type="dcterms:W3CDTF">2024-12-16T16:59:04Z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
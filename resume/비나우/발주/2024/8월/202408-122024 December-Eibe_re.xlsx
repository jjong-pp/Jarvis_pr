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Z:\Nutricia\99. Sales\박효진\발주\8월\"/>
    </mc:Choice>
  </mc:AlternateContent>
  <xr:revisionPtr revIDLastSave="0" documentId="13_ncr:1_{6CE14A10-F907-491A-9154-613569F2AA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r" sheetId="1" r:id="rId1"/>
    <sheet name="Lookup info" sheetId="3" r:id="rId2"/>
  </sheets>
  <definedNames>
    <definedName name="_xlnm._FilterDatabase" localSheetId="0" hidden="1">Order!$A$16:$M$29</definedName>
    <definedName name="ExactAddinConnection" hidden="1">"001"</definedName>
    <definedName name="ExactAddinConnection.001" hidden="1">"WFRPARNLB062.nead.danet\\EXACTPROD;001;BARBOSFA;1"</definedName>
    <definedName name="ExactAddinReport1.Area" localSheetId="1" hidden="1">'Lookup info'!$A$4</definedName>
    <definedName name="ExactAddinReport1.Data" localSheetId="1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1" hidden="1">'Lookup info'!$E$4</definedName>
    <definedName name="ExactAddinReport2.Data" localSheetId="1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1" hidden="1">"ressLine3;Column4.Sort=0;Column4.Filter=0;Column4.Value=;System.Company=001;System.New=0;System.Wizard=Table;System.Update=-1"</definedName>
    <definedName name="ExactAddinReport3.Area" localSheetId="1" hidden="1">'Lookup info'!#REF!</definedName>
    <definedName name="ExactAddinReport3.Data" localSheetId="1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1" hidden="1">"m.Wizard=Table;System.Update=-1"</definedName>
    <definedName name="ExactAddinReport4.Area" localSheetId="1" hidden="1">'Lookup info'!#REF!</definedName>
    <definedName name="ExactAddinReport4.Data" localSheetId="1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1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Order!$A$1:$K$33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7" i="1" l="1"/>
  <c r="J20" i="1" l="1"/>
  <c r="J21" i="1"/>
  <c r="J23" i="1"/>
  <c r="J22" i="1"/>
  <c r="J19" i="1"/>
  <c r="J24" i="1"/>
  <c r="J18" i="1"/>
  <c r="J26" i="1"/>
  <c r="J25" i="1"/>
  <c r="I30" i="1" l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J30" i="1"/>
  <c r="J29" i="1"/>
  <c r="J28" i="1"/>
  <c r="J27" i="1"/>
  <c r="M23" i="1"/>
  <c r="M30" i="1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E22" i="1" s="1"/>
  <c r="M22" i="1"/>
  <c r="M24" i="1"/>
  <c r="M26" i="1"/>
  <c r="M27" i="1"/>
  <c r="M28" i="1"/>
  <c r="M19" i="1"/>
  <c r="E26" i="1" l="1"/>
  <c r="E30" i="1"/>
  <c r="F26" i="1"/>
  <c r="F30" i="1"/>
  <c r="F27" i="1"/>
  <c r="E23" i="1"/>
  <c r="E27" i="1"/>
  <c r="E17" i="1"/>
  <c r="E24" i="1"/>
  <c r="E28" i="1"/>
  <c r="F23" i="1"/>
  <c r="E19" i="1"/>
  <c r="F24" i="1"/>
  <c r="F28" i="1"/>
  <c r="E18" i="1"/>
  <c r="E25" i="1"/>
  <c r="E29" i="1"/>
  <c r="F17" i="1"/>
  <c r="F25" i="1"/>
  <c r="F29" i="1"/>
  <c r="M21" i="1"/>
  <c r="M29" i="1"/>
  <c r="M25" i="1"/>
  <c r="M18" i="1"/>
  <c r="M20" i="1"/>
  <c r="F19" i="1"/>
  <c r="F18" i="1"/>
  <c r="F22" i="1"/>
  <c r="F21" i="1"/>
  <c r="E21" i="1"/>
  <c r="F20" i="1"/>
  <c r="E20" i="1"/>
  <c r="M17" i="1" l="1"/>
</calcChain>
</file>

<file path=xl/sharedStrings.xml><?xml version="1.0" encoding="utf-8"?>
<sst xmlns="http://schemas.openxmlformats.org/spreadsheetml/2006/main" count="230" uniqueCount="206">
  <si>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</si>
  <si>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</si>
  <si>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</si>
  <si>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</si>
  <si>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</si>
  <si>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</si>
  <si>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</si>
  <si>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</si>
  <si>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</si>
  <si>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</si>
  <si>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</si>
  <si>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</si>
  <si>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</si>
  <si>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</si>
  <si>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</si>
  <si>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</si>
  <si>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</si>
  <si>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</si>
  <si>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</si>
  <si>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TOTAL CONFIRMED TU:</t>
  </si>
  <si>
    <t>TOTAL CONFIRMED PALLETS: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</si>
  <si>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</si>
  <si>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</si>
  <si>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</si>
  <si>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</si>
  <si>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</si>
  <si>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</si>
  <si>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</si>
  <si>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</si>
  <si>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</si>
  <si>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</si>
  <si>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</si>
  <si>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</si>
  <si>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</si>
  <si>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</si>
  <si>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</si>
  <si>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</si>
  <si>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</si>
  <si>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</si>
  <si>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</si>
  <si>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</si>
  <si>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</si>
  <si>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</si>
  <si>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</si>
  <si>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</si>
  <si>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</si>
  <si>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</si>
  <si>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</si>
  <si>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</si>
  <si>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</si>
  <si>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</si>
  <si>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</si>
  <si>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</si>
  <si>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</si>
  <si>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</si>
  <si>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</si>
  <si>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</si>
  <si>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</si>
  <si>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</si>
  <si>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</si>
  <si>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</si>
  <si>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</si>
  <si>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</si>
  <si>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</si>
  <si>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</si>
  <si>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</si>
  <si>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</si>
  <si>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</si>
  <si>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</si>
  <si>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</si>
  <si>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</si>
  <si>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</si>
  <si>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</si>
  <si>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</si>
  <si>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</si>
  <si>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</si>
  <si>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</si>
  <si>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</si>
  <si>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</si>
  <si>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</si>
  <si>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</si>
  <si>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</si>
  <si>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</si>
  <si>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</si>
  <si>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</si>
  <si>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</si>
  <si>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</si>
  <si>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</si>
  <si>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</si>
  <si>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</si>
  <si>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</si>
  <si>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</si>
  <si>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</si>
  <si>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</si>
  <si>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</si>
  <si>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</si>
  <si>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</si>
  <si>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</si>
  <si>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</si>
  <si>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</si>
  <si>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</si>
  <si>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</si>
  <si>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</si>
  <si>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</si>
  <si>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</si>
  <si>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</si>
  <si>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</si>
  <si>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</si>
  <si>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</si>
  <si>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</si>
  <si>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</si>
  <si>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</si>
  <si>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</si>
  <si>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</si>
  <si>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</si>
  <si>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</si>
  <si>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</si>
  <si>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</si>
  <si>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</si>
  <si>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</si>
  <si>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</si>
  <si>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</si>
  <si>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</si>
  <si>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</si>
  <si>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</si>
  <si>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</si>
  <si>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</si>
  <si>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</si>
  <si>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</si>
  <si>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</si>
  <si>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</si>
  <si>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</si>
  <si>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</si>
  <si>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</si>
  <si>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</si>
  <si>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</si>
  <si>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</si>
  <si>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</si>
  <si>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</si>
  <si>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</si>
  <si>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</si>
  <si>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</si>
  <si>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</si>
  <si>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</si>
  <si>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</si>
  <si>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</si>
  <si>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</si>
  <si>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</si>
  <si>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</si>
  <si>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</si>
  <si>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</si>
  <si>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</si>
  <si>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</si>
  <si>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</si>
  <si>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</si>
  <si>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</si>
  <si>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</si>
  <si>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</si>
  <si>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</si>
  <si>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</si>
  <si>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</si>
  <si>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</si>
  <si>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</si>
  <si>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</si>
  <si>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</si>
  <si>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</si>
  <si>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</si>
  <si>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</si>
  <si>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</si>
  <si>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</si>
  <si>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</si>
  <si>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</si>
  <si>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</si>
  <si>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</si>
  <si>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</si>
  <si>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</si>
  <si>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</si>
  <si>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</si>
  <si>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</si>
  <si>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</si>
  <si>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</si>
  <si>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</si>
  <si>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</si>
  <si>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</si>
  <si>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</si>
  <si>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APTAMIL PROFUTURA 1  4X800G KOR</t>
  </si>
  <si>
    <t>APTAMIL PROFUTURA 2  4X800G KOR</t>
  </si>
  <si>
    <t>APTAMIL PROFUTURA 3  4X800G KOR</t>
  </si>
  <si>
    <t>APTAMIL 1 KOR 4X800G</t>
  </si>
  <si>
    <t>APTAMIL 2 KOR  4X800G</t>
  </si>
  <si>
    <t>APTAMIL 3 KOR 4X800G</t>
  </si>
  <si>
    <t>Tu's per pallet</t>
    <phoneticPr fontId="12" type="noConversion"/>
  </si>
  <si>
    <t>FS</t>
  </si>
  <si>
    <t>FABIANA DE SANCTIS</t>
  </si>
  <si>
    <t xml:space="preserve">EIBE - South Korea </t>
  </si>
  <si>
    <t>676366D</t>
  </si>
  <si>
    <t>676367D</t>
  </si>
  <si>
    <t>676369D</t>
  </si>
  <si>
    <t>677211D</t>
  </si>
  <si>
    <t>677200D</t>
  </si>
  <si>
    <t>677281D</t>
  </si>
  <si>
    <t>658159D</t>
  </si>
  <si>
    <t>APTAMIL 3, KOR 6X800G</t>
  </si>
  <si>
    <t>12/20/2024</t>
  </si>
  <si>
    <t>December</t>
  </si>
  <si>
    <t>W/H/12/2024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</si>
</sst>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2">
    <numFmt numFmtId="41" formatCode="_-* #,##0_-;\-* #,##0_-;_-* &quot;-&quot;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 &quot;€&quot;\ * #,##0.00_ ;_ &quot;€&quot;\ * \-#,##0.00_ ;_ &quot;€&quot;\ * &quot;-&quot;??_ ;_ @_ "/>
    <numFmt numFmtId="178" formatCode="_ * #,##0.00_ ;_ * \-#,##0.00_ ;_ * &quot;-&quot;??_ ;_ @_ "/>
    <numFmt numFmtId="179" formatCode="_-* #,##0.00_-;_-* #,##0.00\-;_-* &quot;-&quot;??_-;_-@_-"/>
    <numFmt numFmtId="180" formatCode="_(* #,##0.00_);_(* \(\ #,##0.00\ \);_(* &quot;-&quot;??_);_(\ @_ \)"/>
    <numFmt numFmtId="181" formatCode="_ * #,##0.00_)\ [$€-1]_ ;_ * \(#,##0.00\)\ [$€-1]_ ;_ * &quot;-&quot;??_)\ [$€-1]_ "/>
    <numFmt numFmtId="182" formatCode="_ [$€-2]\ * #,##0.00_ ;_ [$€-2]\ * \-#,##0.00_ ;_ [$€-2]\ * &quot;-&quot;??_ "/>
    <numFmt numFmtId="183" formatCode="_-* #,##0.00\ [$€]_-;\-* #,##0.00\ [$€]_-;_-* &quot;-&quot;??\ [$€]_-;_-@_-"/>
    <numFmt numFmtId="184" formatCode="###,000"/>
    <numFmt numFmtId="185" formatCode="_-* #,##0.0_-;\-* #,##0.0_-;_-* &quot;-&quot;_-;_-@_-"/>
  </numFmts>
  <fonts count="25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9"/>
      <color theme="0"/>
      <name val="맑은 고딕"/>
      <family val="2"/>
      <scheme val="minor"/>
    </font>
    <font>
      <sz val="8"/>
      <color rgb="FFFF000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name val="맑은 고딕"/>
      <family val="2"/>
      <scheme val="minor"/>
    </font>
    <font>
      <b/>
      <sz val="10"/>
      <name val="맑은 고딕"/>
      <family val="2"/>
      <scheme val="minor"/>
    </font>
    <font>
      <sz val="11"/>
      <name val="맑은 고딕"/>
      <family val="2"/>
      <scheme val="minor"/>
    </font>
    <font>
      <b/>
      <sz val="12"/>
      <name val="맑은 고딕"/>
      <family val="2"/>
      <scheme val="minor"/>
    </font>
    <font>
      <sz val="10"/>
      <color indexed="8"/>
      <name val="Calibri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맑은 고딕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</borders>
  <cellStyleXfs count="58">
    <xf numFmtId="0" fontId="0" fillId="0" borderId="0"/>
    <xf numFmtId="41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77" fontId="11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0" fontId="11" fillId="0" borderId="0"/>
    <xf numFmtId="182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84" fontId="24" fillId="0" borderId="17" applyNumberFormat="0" applyProtection="0">
      <alignment horizontal="right" vertical="center"/>
    </xf>
    <xf numFmtId="179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</cellStyleXfs>
  <cellXfs count="66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6" fillId="0" borderId="2" xfId="1" applyFont="1" applyFill="1" applyBorder="1" applyAlignment="1"/>
    <xf numFmtId="41" fontId="13" fillId="0" borderId="2" xfId="1" applyFont="1" applyFill="1" applyBorder="1" applyAlignment="1"/>
    <xf numFmtId="41" fontId="1" fillId="2" borderId="0" xfId="0" applyNumberFormat="1" applyFont="1" applyFill="1"/>
    <xf numFmtId="0" fontId="9" fillId="4" borderId="6" xfId="0" applyFont="1" applyFill="1" applyBorder="1"/>
    <xf numFmtId="0" fontId="1" fillId="0" borderId="2" xfId="0" quotePrefix="1" applyFont="1" applyBorder="1"/>
    <xf numFmtId="0" fontId="14" fillId="5" borderId="4" xfId="0" applyFont="1" applyFill="1" applyBorder="1" applyAlignment="1">
      <alignment horizontal="center" vertical="center" wrapText="1"/>
    </xf>
    <xf numFmtId="0" fontId="10" fillId="2" borderId="1" xfId="0" quotePrefix="1" applyFont="1" applyFill="1" applyBorder="1" applyAlignment="1">
      <alignment horizontal="center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7" fillId="5" borderId="2" xfId="1" applyFont="1" applyFill="1" applyBorder="1" applyAlignment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3" fontId="0" fillId="2" borderId="0" xfId="0" applyNumberFormat="1" applyFill="1"/>
    <xf numFmtId="41" fontId="0" fillId="2" borderId="0" xfId="1" applyFont="1" applyFill="1" applyAlignment="1"/>
    <xf numFmtId="49" fontId="1" fillId="2" borderId="1" xfId="0" applyNumberFormat="1" applyFont="1" applyFill="1" applyBorder="1" applyAlignment="1">
      <alignment horizontal="left"/>
    </xf>
    <xf numFmtId="185" fontId="7" fillId="5" borderId="2" xfId="1" applyNumberFormat="1" applyFont="1" applyFill="1" applyBorder="1" applyAlignment="1"/>
    <xf numFmtId="41" fontId="0" fillId="2" borderId="0" xfId="0" applyNumberFormat="1" applyFill="1"/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</cellXfs>
  <cellStyles count="58">
    <cellStyle name="Comma [0] 2" xfId="50" xr:uid="{0F06714B-857B-4D20-9FB4-35FC1437C6F1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  <cellStyle name="쉼표 [0]" xfId="1" builtinId="6"/>
    <cellStyle name="표준" xfId="0" builtinId="0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7</xdr:row>
      <xdr:rowOff>89807</xdr:rowOff>
    </xdr:from>
    <xdr:to>
      <xdr:col>8</xdr:col>
      <xdr:colOff>815522</xdr:colOff>
      <xdr:row>14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6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6</xdr:row>
      <xdr:rowOff>152400</xdr:rowOff>
    </xdr:from>
    <xdr:to>
      <xdr:col>10</xdr:col>
      <xdr:colOff>612775</xdr:colOff>
      <xdr:row>13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6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0"/>
  <sheetViews>
    <sheetView tabSelected="1" zoomScale="90" zoomScaleNormal="90" workbookViewId="0">
      <selection activeCell="K20" sqref="K20"/>
    </sheetView>
  </sheetViews>
  <sheetFormatPr defaultColWidth="9.125" defaultRowHeight="16.5"/>
  <cols>
    <col min="1" max="1" width="24.5" style="1" bestFit="1" customWidth="1"/>
    <col min="2" max="2" width="40.875" style="1" customWidth="1"/>
    <col min="3" max="3" width="15.625" style="1" bestFit="1" customWidth="1"/>
    <col min="4" max="4" width="20.5" style="1" bestFit="1" customWidth="1"/>
    <col min="5" max="5" width="9.875" style="1" bestFit="1" customWidth="1"/>
    <col min="6" max="6" width="9.875" style="1" customWidth="1"/>
    <col min="7" max="9" width="16.125" style="1" customWidth="1"/>
    <col min="10" max="10" width="17.875" style="14" customWidth="1"/>
    <col min="11" max="11" width="16.125" style="1" bestFit="1" customWidth="1"/>
    <col min="12" max="12" width="21.875" style="1" hidden="1" customWidth="1"/>
    <col min="13" max="13" width="0" style="1" hidden="1" customWidth="1"/>
    <col min="14" max="14" width="9.125" style="1"/>
    <col min="15" max="15" width="9.75" style="1" bestFit="1" customWidth="1"/>
    <col min="16" max="16" width="13.375" style="57" bestFit="1" customWidth="1"/>
    <col min="17" max="17" width="9.125" style="1"/>
    <col min="18" max="18" width="19.375" style="1" bestFit="1" customWidth="1"/>
    <col min="19" max="16384" width="9.125" style="1"/>
  </cols>
  <sheetData>
    <row r="1" spans="1:14" ht="17.25">
      <c r="A1" s="29" t="s">
        <v>194</v>
      </c>
      <c r="B1" s="18"/>
    </row>
    <row r="2" spans="1:14">
      <c r="A2" s="39" t="s">
        <v>28</v>
      </c>
      <c r="B2" s="39" t="s">
        <v>192</v>
      </c>
    </row>
    <row r="3" spans="1:14">
      <c r="A3" s="2" t="s">
        <v>0</v>
      </c>
      <c r="B3" s="32">
        <v>72851</v>
      </c>
    </row>
    <row r="4" spans="1:14">
      <c r="A4" s="2" t="s">
        <v>16</v>
      </c>
      <c r="B4" s="19" t="s">
        <v>17</v>
      </c>
    </row>
    <row r="5" spans="1:14">
      <c r="A5" s="2" t="s">
        <v>30</v>
      </c>
      <c r="B5" s="58" t="s">
        <v>203</v>
      </c>
    </row>
    <row r="6" spans="1:14">
      <c r="A6" s="2" t="s">
        <v>1</v>
      </c>
      <c r="B6" s="17" t="s">
        <v>204</v>
      </c>
      <c r="C6" s="9"/>
    </row>
    <row r="7" spans="1:14">
      <c r="A7" s="2" t="s">
        <v>2</v>
      </c>
      <c r="B7" s="19" t="s">
        <v>205</v>
      </c>
      <c r="C7"/>
    </row>
    <row r="8" spans="1:14">
      <c r="A8" s="2" t="s">
        <v>3</v>
      </c>
      <c r="B8" s="20" t="s">
        <v>12</v>
      </c>
    </row>
    <row r="9" spans="1:14">
      <c r="A9" s="2" t="s">
        <v>4</v>
      </c>
      <c r="B9" s="21" t="s">
        <v>24</v>
      </c>
    </row>
    <row r="10" spans="1:14">
      <c r="A10" s="2" t="s">
        <v>5</v>
      </c>
      <c r="B10" s="20" t="s">
        <v>18</v>
      </c>
    </row>
    <row r="11" spans="1:14">
      <c r="A11" s="2" t="s">
        <v>11</v>
      </c>
      <c r="B11" s="15" t="s">
        <v>25</v>
      </c>
    </row>
    <row r="12" spans="1:14">
      <c r="A12" s="10" t="s">
        <v>15</v>
      </c>
      <c r="B12" s="25">
        <v>1</v>
      </c>
    </row>
    <row r="13" spans="1:14">
      <c r="A13" s="10" t="s">
        <v>21</v>
      </c>
      <c r="B13" s="24">
        <v>1</v>
      </c>
      <c r="C13"/>
    </row>
    <row r="14" spans="1:14">
      <c r="A14" s="11"/>
    </row>
    <row r="15" spans="1:14" ht="17.25" thickBot="1"/>
    <row r="16" spans="1:14" ht="63" customHeight="1" thickBot="1">
      <c r="A16" s="4" t="s">
        <v>7</v>
      </c>
      <c r="B16" s="5" t="s">
        <v>6</v>
      </c>
      <c r="C16" s="5" t="s">
        <v>22</v>
      </c>
      <c r="D16" s="31" t="s">
        <v>23</v>
      </c>
      <c r="E16" s="44" t="s">
        <v>31</v>
      </c>
      <c r="F16" s="44" t="s">
        <v>149</v>
      </c>
      <c r="G16" s="6" t="s">
        <v>191</v>
      </c>
      <c r="H16" s="6" t="s">
        <v>8</v>
      </c>
      <c r="I16" s="6" t="s">
        <v>27</v>
      </c>
      <c r="J16" s="6" t="s">
        <v>9</v>
      </c>
      <c r="K16" s="7" t="s">
        <v>10</v>
      </c>
      <c r="L16" s="12" t="s">
        <v>13</v>
      </c>
      <c r="M16" s="1" t="s">
        <v>14</v>
      </c>
      <c r="N16" s="57"/>
    </row>
    <row r="17" spans="1:18">
      <c r="A17" s="15">
        <v>676366</v>
      </c>
      <c r="B17" s="15" t="s">
        <v>188</v>
      </c>
      <c r="C17" s="16">
        <v>800</v>
      </c>
      <c r="D17" s="16" t="s">
        <v>169</v>
      </c>
      <c r="E17" s="30" t="str">
        <f>VLOOKUP($D17,'Lookup info'!$D:$H,2,FALSE)</f>
        <v>0023</v>
      </c>
      <c r="F17" s="30" t="str">
        <f>VLOOKUP($D17,'Lookup info'!$D:$H,5,FALSE)</f>
        <v>W</v>
      </c>
      <c r="G17" s="26">
        <v>144</v>
      </c>
      <c r="H17" s="27">
        <v>28</v>
      </c>
      <c r="I17" s="27">
        <f>H17*G17</f>
        <v>4032</v>
      </c>
      <c r="J17" s="59">
        <f t="shared" ref="J17" si="0">IF(G17="","",K17/G17)</f>
        <v>10</v>
      </c>
      <c r="K17" s="52">
        <v>1440</v>
      </c>
      <c r="L17" s="11"/>
      <c r="M17" s="1">
        <f t="shared" ref="M17:M19" si="1">K17*24</f>
        <v>34560</v>
      </c>
      <c r="N17" s="57"/>
    </row>
    <row r="18" spans="1:18">
      <c r="A18" s="15">
        <v>676367</v>
      </c>
      <c r="B18" s="15" t="s">
        <v>189</v>
      </c>
      <c r="C18" s="16">
        <v>800</v>
      </c>
      <c r="D18" s="16" t="s">
        <v>169</v>
      </c>
      <c r="E18" s="30" t="str">
        <f>VLOOKUP($D18,'Lookup info'!$D:$H,2,FALSE)</f>
        <v>0023</v>
      </c>
      <c r="F18" s="30" t="str">
        <f>VLOOKUP($D18,'Lookup info'!$D:$H,5,FALSE)</f>
        <v>W</v>
      </c>
      <c r="G18" s="26">
        <v>144</v>
      </c>
      <c r="H18" s="27">
        <v>32</v>
      </c>
      <c r="I18" s="27">
        <f t="shared" ref="I18:I21" si="2">H18*G18</f>
        <v>4608</v>
      </c>
      <c r="J18" s="59">
        <f t="shared" ref="J18" si="3">IF(G18="","",K18/G18)</f>
        <v>9</v>
      </c>
      <c r="K18" s="52">
        <v>1296</v>
      </c>
      <c r="L18" s="13"/>
      <c r="M18" s="1">
        <f t="shared" si="1"/>
        <v>31104</v>
      </c>
      <c r="N18" s="57"/>
    </row>
    <row r="19" spans="1:18">
      <c r="A19" s="15">
        <v>676369</v>
      </c>
      <c r="B19" s="15" t="s">
        <v>190</v>
      </c>
      <c r="C19" s="16">
        <v>800</v>
      </c>
      <c r="D19" s="16" t="s">
        <v>169</v>
      </c>
      <c r="E19" s="30" t="str">
        <f>VLOOKUP($D19,'Lookup info'!$D:$H,2,FALSE)</f>
        <v>0023</v>
      </c>
      <c r="F19" s="30" t="str">
        <f>VLOOKUP($D19,'Lookup info'!$D:$H,5,FALSE)</f>
        <v>W</v>
      </c>
      <c r="G19" s="26">
        <v>144</v>
      </c>
      <c r="H19" s="27">
        <v>6</v>
      </c>
      <c r="I19" s="27">
        <f t="shared" si="2"/>
        <v>864</v>
      </c>
      <c r="J19" s="59">
        <f t="shared" ref="J19:J23" si="4">IF(G19="","",K19/G19)</f>
        <v>3</v>
      </c>
      <c r="K19" s="52">
        <v>432</v>
      </c>
      <c r="M19" s="1">
        <f t="shared" si="1"/>
        <v>10368</v>
      </c>
      <c r="N19" s="57"/>
    </row>
    <row r="20" spans="1:18">
      <c r="A20" s="15">
        <v>677211</v>
      </c>
      <c r="B20" s="15" t="s">
        <v>185</v>
      </c>
      <c r="C20" s="16">
        <v>800</v>
      </c>
      <c r="D20" s="16" t="s">
        <v>168</v>
      </c>
      <c r="E20" s="30" t="str">
        <f>VLOOKUP($D20,'Lookup info'!$D:$H,2,FALSE)</f>
        <v>0002</v>
      </c>
      <c r="F20" s="30" t="str">
        <f>VLOOKUP($D20,'Lookup info'!$D:$H,5,FALSE)</f>
        <v>C</v>
      </c>
      <c r="G20" s="26">
        <v>96</v>
      </c>
      <c r="H20" s="27">
        <v>28</v>
      </c>
      <c r="I20" s="27">
        <f t="shared" si="2"/>
        <v>2688</v>
      </c>
      <c r="J20" s="59">
        <f t="shared" si="4"/>
        <v>44</v>
      </c>
      <c r="K20" s="52">
        <v>4224</v>
      </c>
      <c r="M20" s="1">
        <f t="shared" ref="M20:M24" si="5">K20*7</f>
        <v>29568</v>
      </c>
      <c r="N20" s="57"/>
    </row>
    <row r="21" spans="1:18">
      <c r="A21" s="15">
        <v>677200</v>
      </c>
      <c r="B21" s="15" t="s">
        <v>186</v>
      </c>
      <c r="C21" s="16">
        <v>800</v>
      </c>
      <c r="D21" s="16" t="s">
        <v>168</v>
      </c>
      <c r="E21" s="30" t="str">
        <f>VLOOKUP($D21,'Lookup info'!$D:$H,2,FALSE)</f>
        <v>0002</v>
      </c>
      <c r="F21" s="30" t="str">
        <f>VLOOKUP($D21,'Lookup info'!$D:$H,5,FALSE)</f>
        <v>C</v>
      </c>
      <c r="G21" s="26">
        <v>96</v>
      </c>
      <c r="H21" s="27">
        <v>32</v>
      </c>
      <c r="I21" s="27">
        <f t="shared" si="2"/>
        <v>3072</v>
      </c>
      <c r="J21" s="59">
        <f t="shared" si="4"/>
        <v>40</v>
      </c>
      <c r="K21" s="52">
        <v>3840</v>
      </c>
      <c r="M21" s="1">
        <f t="shared" si="5"/>
        <v>26880</v>
      </c>
      <c r="N21" s="57"/>
      <c r="O21" s="60"/>
    </row>
    <row r="22" spans="1:18">
      <c r="A22" s="15">
        <v>677281</v>
      </c>
      <c r="B22" s="15" t="s">
        <v>187</v>
      </c>
      <c r="C22" s="16">
        <v>800</v>
      </c>
      <c r="D22" s="16" t="s">
        <v>168</v>
      </c>
      <c r="E22" s="30" t="str">
        <f>VLOOKUP($D22,'Lookup info'!$D:$H,2,FALSE)</f>
        <v>0002</v>
      </c>
      <c r="F22" s="30" t="str">
        <f>VLOOKUP($D22,'Lookup info'!$D:$H,5,FALSE)</f>
        <v>C</v>
      </c>
      <c r="G22" s="26">
        <v>96</v>
      </c>
      <c r="H22" s="27">
        <v>12</v>
      </c>
      <c r="I22" s="27">
        <f>H22*G22</f>
        <v>1152</v>
      </c>
      <c r="J22" s="59">
        <f t="shared" si="4"/>
        <v>12</v>
      </c>
      <c r="K22" s="52">
        <v>1152</v>
      </c>
      <c r="L22"/>
      <c r="M22" s="1">
        <f t="shared" si="5"/>
        <v>8064</v>
      </c>
      <c r="N22" s="57"/>
      <c r="O22" s="56"/>
    </row>
    <row r="23" spans="1:18">
      <c r="A23" s="15">
        <v>658159</v>
      </c>
      <c r="B23" s="15" t="s">
        <v>202</v>
      </c>
      <c r="C23" s="16">
        <v>800</v>
      </c>
      <c r="D23" s="16" t="s">
        <v>168</v>
      </c>
      <c r="E23" s="30" t="str">
        <f>VLOOKUP($D23,'Lookup info'!$D:$H,2,FALSE)</f>
        <v>0002</v>
      </c>
      <c r="F23" s="30" t="str">
        <f>VLOOKUP($D23,'Lookup info'!$D:$H,5,FALSE)</f>
        <v>C</v>
      </c>
      <c r="G23" s="26">
        <v>96</v>
      </c>
      <c r="H23" s="27"/>
      <c r="I23" s="27">
        <f t="shared" ref="I23:I30" si="6">H23*G23</f>
        <v>0</v>
      </c>
      <c r="J23" s="52">
        <f t="shared" si="4"/>
        <v>0</v>
      </c>
      <c r="K23" s="52"/>
      <c r="M23" s="1">
        <f t="shared" ref="M23" si="7">K23*4</f>
        <v>0</v>
      </c>
      <c r="N23" s="57"/>
      <c r="R23" s="56"/>
    </row>
    <row r="24" spans="1:18">
      <c r="A24" s="15" t="s">
        <v>195</v>
      </c>
      <c r="B24" s="15" t="s">
        <v>188</v>
      </c>
      <c r="C24" s="16">
        <v>800</v>
      </c>
      <c r="D24" s="16" t="s">
        <v>169</v>
      </c>
      <c r="E24" s="30" t="str">
        <f>VLOOKUP($D24,'Lookup info'!$D:$H,2,FALSE)</f>
        <v>0023</v>
      </c>
      <c r="F24" s="30" t="str">
        <f>VLOOKUP($D24,'Lookup info'!$D:$H,5,FALSE)</f>
        <v>W</v>
      </c>
      <c r="G24" s="26">
        <v>144</v>
      </c>
      <c r="H24" s="27"/>
      <c r="I24" s="27">
        <f t="shared" si="6"/>
        <v>0</v>
      </c>
      <c r="J24" s="52">
        <f t="shared" ref="J24" si="8">IF(G24="","",K24/G24)</f>
        <v>0</v>
      </c>
      <c r="K24" s="52">
        <v>0</v>
      </c>
      <c r="L24" s="14"/>
      <c r="M24" s="14">
        <f t="shared" si="5"/>
        <v>0</v>
      </c>
      <c r="O24" s="57"/>
    </row>
    <row r="25" spans="1:18">
      <c r="A25" s="15" t="s">
        <v>196</v>
      </c>
      <c r="B25" s="15" t="s">
        <v>189</v>
      </c>
      <c r="C25" s="16">
        <v>800</v>
      </c>
      <c r="D25" s="16" t="s">
        <v>169</v>
      </c>
      <c r="E25" s="30" t="str">
        <f>VLOOKUP($D25,'Lookup info'!$D:$H,2,FALSE)</f>
        <v>0023</v>
      </c>
      <c r="F25" s="30" t="str">
        <f>VLOOKUP($D25,'Lookup info'!$D:$H,5,FALSE)</f>
        <v>W</v>
      </c>
      <c r="G25" s="26">
        <v>144</v>
      </c>
      <c r="H25" s="27"/>
      <c r="I25" s="27">
        <f t="shared" si="6"/>
        <v>0</v>
      </c>
      <c r="J25" s="52">
        <f t="shared" ref="J25:J26" si="9">IF(G25="","",K25/G25)</f>
        <v>0</v>
      </c>
      <c r="K25" s="52">
        <v>0</v>
      </c>
      <c r="M25" s="1">
        <f>K25*5</f>
        <v>0</v>
      </c>
      <c r="O25" s="57"/>
    </row>
    <row r="26" spans="1:18">
      <c r="A26" s="15" t="s">
        <v>197</v>
      </c>
      <c r="B26" s="15" t="s">
        <v>190</v>
      </c>
      <c r="C26" s="16">
        <v>800</v>
      </c>
      <c r="D26" s="16" t="s">
        <v>169</v>
      </c>
      <c r="E26" s="30" t="str">
        <f>VLOOKUP($D26,'Lookup info'!$D:$H,2,FALSE)</f>
        <v>0023</v>
      </c>
      <c r="F26" s="30" t="str">
        <f>VLOOKUP($D26,'Lookup info'!$D:$H,5,FALSE)</f>
        <v>W</v>
      </c>
      <c r="G26" s="26">
        <v>144</v>
      </c>
      <c r="H26" s="27"/>
      <c r="I26" s="27">
        <f t="shared" si="6"/>
        <v>0</v>
      </c>
      <c r="J26" s="52">
        <f t="shared" si="9"/>
        <v>0</v>
      </c>
      <c r="K26" s="52">
        <v>0</v>
      </c>
      <c r="L26" s="11"/>
      <c r="M26" s="1">
        <f t="shared" ref="M26:M29" si="10">K26*4</f>
        <v>0</v>
      </c>
      <c r="O26" s="57"/>
    </row>
    <row r="27" spans="1:18">
      <c r="A27" s="15" t="s">
        <v>198</v>
      </c>
      <c r="B27" s="15" t="s">
        <v>185</v>
      </c>
      <c r="C27" s="16">
        <v>800</v>
      </c>
      <c r="D27" s="16" t="s">
        <v>168</v>
      </c>
      <c r="E27" s="30" t="str">
        <f>VLOOKUP($D27,'Lookup info'!$D:$H,2,FALSE)</f>
        <v>0002</v>
      </c>
      <c r="F27" s="30" t="str">
        <f>VLOOKUP($D27,'Lookup info'!$D:$H,5,FALSE)</f>
        <v>C</v>
      </c>
      <c r="G27" s="26">
        <v>96</v>
      </c>
      <c r="H27" s="27">
        <v>0</v>
      </c>
      <c r="I27" s="27">
        <f t="shared" si="6"/>
        <v>0</v>
      </c>
      <c r="J27" s="52">
        <f t="shared" ref="J27:J30" si="11">IF(G27="","",K27/G27)</f>
        <v>0</v>
      </c>
      <c r="K27" s="52">
        <v>0</v>
      </c>
      <c r="L27" s="13"/>
      <c r="M27" s="1">
        <f t="shared" si="10"/>
        <v>0</v>
      </c>
    </row>
    <row r="28" spans="1:18">
      <c r="A28" s="15" t="s">
        <v>199</v>
      </c>
      <c r="B28" s="15" t="s">
        <v>186</v>
      </c>
      <c r="C28" s="16">
        <v>800</v>
      </c>
      <c r="D28" s="16" t="s">
        <v>168</v>
      </c>
      <c r="E28" s="30" t="str">
        <f>VLOOKUP($D28,'Lookup info'!$D:$H,2,FALSE)</f>
        <v>0002</v>
      </c>
      <c r="F28" s="30" t="str">
        <f>VLOOKUP($D28,'Lookup info'!$D:$H,5,FALSE)</f>
        <v>C</v>
      </c>
      <c r="G28" s="26">
        <v>96</v>
      </c>
      <c r="H28" s="27">
        <v>0</v>
      </c>
      <c r="I28" s="27">
        <f t="shared" si="6"/>
        <v>0</v>
      </c>
      <c r="J28" s="52">
        <f t="shared" si="11"/>
        <v>0</v>
      </c>
      <c r="K28" s="52">
        <v>0</v>
      </c>
      <c r="M28" s="1">
        <f t="shared" si="10"/>
        <v>0</v>
      </c>
    </row>
    <row r="29" spans="1:18">
      <c r="A29" s="15" t="s">
        <v>200</v>
      </c>
      <c r="B29" s="15" t="s">
        <v>187</v>
      </c>
      <c r="C29" s="16">
        <v>800</v>
      </c>
      <c r="D29" s="16" t="s">
        <v>168</v>
      </c>
      <c r="E29" s="30" t="str">
        <f>VLOOKUP($D29,'Lookup info'!$D:$H,2,FALSE)</f>
        <v>0002</v>
      </c>
      <c r="F29" s="30" t="str">
        <f>VLOOKUP($D29,'Lookup info'!$D:$H,5,FALSE)</f>
        <v>C</v>
      </c>
      <c r="G29" s="26">
        <v>96</v>
      </c>
      <c r="H29" s="27">
        <v>0</v>
      </c>
      <c r="I29" s="27">
        <f t="shared" si="6"/>
        <v>0</v>
      </c>
      <c r="J29" s="52">
        <f t="shared" si="11"/>
        <v>0</v>
      </c>
      <c r="K29" s="52">
        <v>0</v>
      </c>
      <c r="M29" s="1">
        <f t="shared" si="10"/>
        <v>0</v>
      </c>
    </row>
    <row r="30" spans="1:18">
      <c r="A30" s="15" t="s">
        <v>201</v>
      </c>
      <c r="B30" s="15" t="s">
        <v>202</v>
      </c>
      <c r="C30" s="16">
        <v>800</v>
      </c>
      <c r="D30" s="16" t="s">
        <v>168</v>
      </c>
      <c r="E30" s="30" t="str">
        <f>VLOOKUP($D30,'Lookup info'!$D:$H,2,FALSE)</f>
        <v>0002</v>
      </c>
      <c r="F30" s="30" t="str">
        <f>VLOOKUP($D30,'Lookup info'!$D:$H,5,FALSE)</f>
        <v>C</v>
      </c>
      <c r="G30" s="26">
        <v>96</v>
      </c>
      <c r="H30" s="27">
        <v>0</v>
      </c>
      <c r="I30" s="27">
        <f t="shared" si="6"/>
        <v>0</v>
      </c>
      <c r="J30" s="52">
        <f t="shared" si="11"/>
        <v>0</v>
      </c>
      <c r="K30" s="52">
        <v>0</v>
      </c>
      <c r="M30" s="1">
        <f t="shared" ref="M30" si="12">K30*4</f>
        <v>0</v>
      </c>
    </row>
    <row r="31" spans="1:18">
      <c r="A31" s="8"/>
      <c r="B31" s="3"/>
      <c r="C31" s="3"/>
      <c r="D31" s="3"/>
      <c r="E31" s="3"/>
      <c r="F31" s="3"/>
      <c r="G31" s="3"/>
      <c r="J31" s="55"/>
      <c r="K31" s="3"/>
    </row>
    <row r="32" spans="1:18">
      <c r="A32" s="8"/>
      <c r="B32" s="8"/>
      <c r="C32" s="3"/>
      <c r="J32" s="8" t="s">
        <v>19</v>
      </c>
      <c r="K32" s="3"/>
    </row>
    <row r="33" spans="1:11">
      <c r="A33" s="8"/>
      <c r="B33" s="8"/>
      <c r="C33" s="3"/>
      <c r="J33" s="8" t="s">
        <v>20</v>
      </c>
      <c r="K33" s="28"/>
    </row>
    <row r="34" spans="1:11">
      <c r="A34" s="11"/>
      <c r="B34" s="11"/>
    </row>
    <row r="36" spans="1:11">
      <c r="A36"/>
      <c r="B36"/>
      <c r="C36"/>
      <c r="D36"/>
      <c r="E36"/>
      <c r="F36"/>
      <c r="G36"/>
      <c r="H36"/>
      <c r="I36"/>
      <c r="J36" s="22"/>
    </row>
    <row r="37" spans="1:11">
      <c r="A37"/>
      <c r="B37"/>
      <c r="C37"/>
      <c r="D37"/>
      <c r="E37"/>
      <c r="F37"/>
      <c r="G37"/>
      <c r="H37"/>
      <c r="I37"/>
      <c r="J37" s="22"/>
    </row>
    <row r="38" spans="1:11">
      <c r="A38"/>
      <c r="B38"/>
      <c r="C38"/>
      <c r="D38"/>
      <c r="E38"/>
      <c r="F38"/>
      <c r="G38"/>
      <c r="H38"/>
      <c r="I38"/>
      <c r="J38" s="22"/>
    </row>
    <row r="39" spans="1:11">
      <c r="A39"/>
      <c r="B39"/>
      <c r="C39"/>
      <c r="D39"/>
      <c r="E39"/>
      <c r="F39"/>
      <c r="G39"/>
      <c r="H39"/>
      <c r="I39"/>
      <c r="J39" s="22"/>
    </row>
    <row r="40" spans="1:11">
      <c r="A40"/>
      <c r="B40"/>
      <c r="C40"/>
      <c r="D40"/>
      <c r="E40"/>
      <c r="F40"/>
      <c r="G40"/>
      <c r="H40"/>
      <c r="I40"/>
      <c r="J40" s="22"/>
    </row>
    <row r="41" spans="1:11">
      <c r="A41" s="23"/>
      <c r="B41"/>
      <c r="C41"/>
      <c r="D41"/>
      <c r="E41"/>
      <c r="F41"/>
      <c r="G41"/>
      <c r="H41"/>
      <c r="I41"/>
      <c r="J41" s="22"/>
    </row>
    <row r="42" spans="1:11">
      <c r="A42"/>
      <c r="B42"/>
      <c r="C42"/>
      <c r="D42"/>
      <c r="E42"/>
      <c r="F42"/>
      <c r="G42"/>
      <c r="H42"/>
      <c r="I42" s="54"/>
      <c r="J42" s="22"/>
    </row>
    <row r="43" spans="1:11">
      <c r="A43"/>
      <c r="B43"/>
      <c r="C43"/>
      <c r="D43"/>
      <c r="E43"/>
      <c r="F43"/>
      <c r="G43"/>
      <c r="H43"/>
      <c r="I43" s="53"/>
      <c r="J43" s="22"/>
    </row>
    <row r="44" spans="1:11">
      <c r="A44"/>
      <c r="B44"/>
      <c r="C44"/>
      <c r="D44"/>
      <c r="E44"/>
      <c r="F44"/>
      <c r="G44"/>
      <c r="H44"/>
      <c r="I44" s="53"/>
      <c r="J44" s="22"/>
    </row>
    <row r="45" spans="1:11">
      <c r="I45"/>
    </row>
    <row r="46" spans="1:11">
      <c r="I46"/>
    </row>
    <row r="47" spans="1:11">
      <c r="I47"/>
    </row>
    <row r="48" spans="1:11">
      <c r="I48"/>
    </row>
    <row r="49" spans="9:9">
      <c r="I49"/>
    </row>
    <row r="50" spans="9:9">
      <c r="I50"/>
    </row>
  </sheetData>
  <phoneticPr fontId="12" type="noConversion"/>
  <dataValidations count="2">
    <dataValidation type="list" allowBlank="1" showInputMessage="1" showErrorMessage="1" sqref="B4" xr:uid="{00000000-0002-0000-0000-000000000000}">
      <formula1>#REF!</formula1>
    </dataValidation>
    <dataValidation type="list" allowBlank="1" showInputMessage="1" showErrorMessage="1" sqref="B10 B8" xr:uid="{00000000-0002-0000-0000-000001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D17:D30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zoomScale="70" zoomScaleNormal="70" workbookViewId="0">
      <selection activeCell="B47" sqref="B47"/>
    </sheetView>
  </sheetViews>
  <sheetFormatPr defaultColWidth="9.125" defaultRowHeight="16.5"/>
  <cols>
    <col min="1" max="1" width="9.125" style="1"/>
    <col min="2" max="2" width="27.375" style="1" bestFit="1" customWidth="1"/>
    <col min="3" max="3" width="9.125" style="1"/>
    <col min="4" max="4" width="29" style="1" bestFit="1" customWidth="1"/>
    <col min="5" max="5" width="16" style="1" bestFit="1" customWidth="1"/>
    <col min="6" max="6" width="34.625" style="1" bestFit="1" customWidth="1"/>
    <col min="7" max="7" width="29" style="1" bestFit="1" customWidth="1"/>
    <col min="8" max="8" width="13.5" style="1" bestFit="1" customWidth="1"/>
    <col min="9" max="16384" width="9.125" style="1"/>
  </cols>
  <sheetData>
    <row r="1" spans="1:8">
      <c r="A1" s="51" t="s">
        <v>184</v>
      </c>
    </row>
    <row r="2" spans="1:8" ht="17.25" thickBot="1"/>
    <row r="3" spans="1:8" ht="17.25" thickBot="1">
      <c r="A3" s="61" t="s">
        <v>28</v>
      </c>
      <c r="B3" s="62"/>
      <c r="D3" s="63" t="s">
        <v>152</v>
      </c>
      <c r="E3" s="64"/>
      <c r="F3" s="64"/>
      <c r="G3" s="64"/>
      <c r="H3" s="65"/>
    </row>
    <row r="4" spans="1:8" ht="17.25" thickBot="1">
      <c r="A4" s="42" t="s">
        <v>34</v>
      </c>
      <c r="B4" s="43" t="s">
        <v>35</v>
      </c>
      <c r="D4" s="48" t="s">
        <v>183</v>
      </c>
      <c r="E4" s="49" t="s">
        <v>117</v>
      </c>
      <c r="F4" s="49" t="s">
        <v>118</v>
      </c>
      <c r="G4" s="49" t="s">
        <v>180</v>
      </c>
      <c r="H4" s="50" t="s">
        <v>181</v>
      </c>
    </row>
    <row r="5" spans="1:8">
      <c r="A5" s="33" t="s">
        <v>36</v>
      </c>
      <c r="B5" s="34" t="s">
        <v>75</v>
      </c>
      <c r="D5" s="47" t="str">
        <f>IF(G5="","",G5)</f>
        <v>Zoetermeer</v>
      </c>
      <c r="E5" s="45" t="s">
        <v>119</v>
      </c>
      <c r="F5" s="45" t="s">
        <v>133</v>
      </c>
      <c r="G5" s="45" t="s">
        <v>167</v>
      </c>
      <c r="H5" s="46" t="s">
        <v>154</v>
      </c>
    </row>
    <row r="6" spans="1:8">
      <c r="A6" s="33" t="s">
        <v>37</v>
      </c>
      <c r="B6" s="34" t="s">
        <v>76</v>
      </c>
      <c r="D6" s="35" t="str">
        <f t="shared" ref="D6:D40" si="0">IF(G6="","",G6)</f>
        <v>Haps</v>
      </c>
      <c r="E6" s="40" t="s">
        <v>32</v>
      </c>
      <c r="F6" s="40" t="s">
        <v>134</v>
      </c>
      <c r="G6" s="40" t="s">
        <v>168</v>
      </c>
      <c r="H6" s="34" t="s">
        <v>150</v>
      </c>
    </row>
    <row r="7" spans="1:8">
      <c r="A7" s="33" t="s">
        <v>29</v>
      </c>
      <c r="B7" s="34" t="s">
        <v>77</v>
      </c>
      <c r="D7" s="35" t="str">
        <f t="shared" si="0"/>
        <v>Wexford</v>
      </c>
      <c r="E7" s="40" t="s">
        <v>120</v>
      </c>
      <c r="F7" s="40" t="s">
        <v>135</v>
      </c>
      <c r="G7" s="40" t="s">
        <v>169</v>
      </c>
      <c r="H7" s="34" t="s">
        <v>155</v>
      </c>
    </row>
    <row r="8" spans="1:8">
      <c r="A8" s="33" t="s">
        <v>38</v>
      </c>
      <c r="B8" s="34" t="s">
        <v>78</v>
      </c>
      <c r="D8" s="35" t="str">
        <f t="shared" si="0"/>
        <v>PTNIS</v>
      </c>
      <c r="E8" s="40" t="s">
        <v>121</v>
      </c>
      <c r="F8" s="40" t="s">
        <v>136</v>
      </c>
      <c r="G8" s="40" t="s">
        <v>170</v>
      </c>
      <c r="H8" s="34" t="s">
        <v>156</v>
      </c>
    </row>
    <row r="9" spans="1:8">
      <c r="A9" s="33" t="s">
        <v>39</v>
      </c>
      <c r="B9" s="34" t="s">
        <v>79</v>
      </c>
      <c r="D9" s="35" t="str">
        <f t="shared" si="0"/>
        <v>Opole</v>
      </c>
      <c r="E9" s="40" t="s">
        <v>122</v>
      </c>
      <c r="F9" s="40" t="s">
        <v>137</v>
      </c>
      <c r="G9" s="40" t="s">
        <v>171</v>
      </c>
      <c r="H9" s="34" t="s">
        <v>151</v>
      </c>
    </row>
    <row r="10" spans="1:8">
      <c r="A10" s="33" t="s">
        <v>40</v>
      </c>
      <c r="B10" s="34" t="s">
        <v>80</v>
      </c>
      <c r="D10" s="35" t="str">
        <f t="shared" si="0"/>
        <v>Istra</v>
      </c>
      <c r="E10" s="40" t="s">
        <v>123</v>
      </c>
      <c r="F10" s="40" t="s">
        <v>138</v>
      </c>
      <c r="G10" s="40" t="s">
        <v>153</v>
      </c>
      <c r="H10" s="34" t="s">
        <v>157</v>
      </c>
    </row>
    <row r="11" spans="1:8">
      <c r="A11" s="33" t="s">
        <v>115</v>
      </c>
      <c r="B11" s="34" t="s">
        <v>116</v>
      </c>
      <c r="D11" s="35" t="str">
        <f t="shared" si="0"/>
        <v>Liverpool</v>
      </c>
      <c r="E11" s="40" t="s">
        <v>124</v>
      </c>
      <c r="F11" s="40" t="s">
        <v>139</v>
      </c>
      <c r="G11" s="40" t="s">
        <v>172</v>
      </c>
      <c r="H11" s="34" t="s">
        <v>158</v>
      </c>
    </row>
    <row r="12" spans="1:8">
      <c r="A12" s="33" t="s">
        <v>41</v>
      </c>
      <c r="B12" s="34" t="s">
        <v>81</v>
      </c>
      <c r="D12" s="35" t="str">
        <f t="shared" si="0"/>
        <v>Fulda</v>
      </c>
      <c r="E12" s="40" t="s">
        <v>125</v>
      </c>
      <c r="F12" s="40" t="s">
        <v>140</v>
      </c>
      <c r="G12" s="40" t="s">
        <v>173</v>
      </c>
      <c r="H12" s="34" t="s">
        <v>159</v>
      </c>
    </row>
    <row r="13" spans="1:8">
      <c r="A13" s="33" t="s">
        <v>42</v>
      </c>
      <c r="B13" s="34" t="s">
        <v>82</v>
      </c>
      <c r="D13" s="35" t="str">
        <f t="shared" si="0"/>
        <v>Kasdorf</v>
      </c>
      <c r="E13" s="40" t="s">
        <v>126</v>
      </c>
      <c r="F13" s="40" t="s">
        <v>141</v>
      </c>
      <c r="G13" s="40" t="s">
        <v>174</v>
      </c>
      <c r="H13" s="34" t="s">
        <v>160</v>
      </c>
    </row>
    <row r="14" spans="1:8">
      <c r="A14" s="33" t="s">
        <v>43</v>
      </c>
      <c r="B14" s="34" t="s">
        <v>83</v>
      </c>
      <c r="D14" s="35" t="str">
        <f t="shared" si="0"/>
        <v>Wuxi (Nutricia Pharmaceutical)</v>
      </c>
      <c r="E14" s="40" t="s">
        <v>127</v>
      </c>
      <c r="F14" s="40" t="s">
        <v>142</v>
      </c>
      <c r="G14" s="40" t="s">
        <v>182</v>
      </c>
      <c r="H14" s="34" t="s">
        <v>161</v>
      </c>
    </row>
    <row r="15" spans="1:8">
      <c r="A15" s="33" t="s">
        <v>44</v>
      </c>
      <c r="B15" s="34" t="s">
        <v>84</v>
      </c>
      <c r="D15" s="35" t="str">
        <f t="shared" si="0"/>
        <v>Steenvoorde</v>
      </c>
      <c r="E15" s="40" t="s">
        <v>128</v>
      </c>
      <c r="F15" s="40" t="s">
        <v>143</v>
      </c>
      <c r="G15" s="40" t="s">
        <v>176</v>
      </c>
      <c r="H15" s="34" t="s">
        <v>162</v>
      </c>
    </row>
    <row r="16" spans="1:8">
      <c r="A16" s="33" t="s">
        <v>45</v>
      </c>
      <c r="B16" s="34" t="s">
        <v>85</v>
      </c>
      <c r="D16" s="35" t="str">
        <f t="shared" si="0"/>
        <v>Villefranche</v>
      </c>
      <c r="E16" s="40" t="s">
        <v>129</v>
      </c>
      <c r="F16" s="40" t="s">
        <v>144</v>
      </c>
      <c r="G16" s="40" t="s">
        <v>177</v>
      </c>
      <c r="H16" s="34" t="s">
        <v>163</v>
      </c>
    </row>
    <row r="17" spans="1:8">
      <c r="A17" s="33" t="s">
        <v>46</v>
      </c>
      <c r="B17" s="34" t="s">
        <v>86</v>
      </c>
      <c r="D17" s="35" t="str">
        <f t="shared" si="0"/>
        <v>Krueger</v>
      </c>
      <c r="E17" s="40" t="s">
        <v>130</v>
      </c>
      <c r="F17" s="40" t="s">
        <v>145</v>
      </c>
      <c r="G17" s="40" t="s">
        <v>178</v>
      </c>
      <c r="H17" s="34" t="s">
        <v>164</v>
      </c>
    </row>
    <row r="18" spans="1:8">
      <c r="A18" s="33" t="s">
        <v>47</v>
      </c>
      <c r="B18" s="34" t="s">
        <v>87</v>
      </c>
      <c r="D18" s="35" t="str">
        <f t="shared" si="0"/>
        <v>Otmuchow</v>
      </c>
      <c r="E18" s="40" t="s">
        <v>33</v>
      </c>
      <c r="F18" s="40" t="s">
        <v>146</v>
      </c>
      <c r="G18" s="40" t="s">
        <v>26</v>
      </c>
      <c r="H18" s="34" t="s">
        <v>165</v>
      </c>
    </row>
    <row r="19" spans="1:8">
      <c r="A19" s="33" t="s">
        <v>48</v>
      </c>
      <c r="B19" s="34" t="s">
        <v>88</v>
      </c>
      <c r="D19" s="35" t="str">
        <f t="shared" si="0"/>
        <v>Medical Logistics (3PS)</v>
      </c>
      <c r="E19" s="40" t="s">
        <v>131</v>
      </c>
      <c r="F19" s="40" t="s">
        <v>147</v>
      </c>
      <c r="G19" s="40" t="s">
        <v>179</v>
      </c>
      <c r="H19" s="34" t="s">
        <v>166</v>
      </c>
    </row>
    <row r="20" spans="1:8">
      <c r="A20" s="33" t="s">
        <v>49</v>
      </c>
      <c r="B20" s="34" t="s">
        <v>89</v>
      </c>
      <c r="D20" s="35" t="str">
        <f t="shared" si="0"/>
        <v>Wuxi</v>
      </c>
      <c r="E20" s="40" t="s">
        <v>132</v>
      </c>
      <c r="F20" s="40" t="s">
        <v>148</v>
      </c>
      <c r="G20" s="40" t="s">
        <v>175</v>
      </c>
      <c r="H20" s="34" t="s">
        <v>161</v>
      </c>
    </row>
    <row r="21" spans="1:8">
      <c r="A21" s="33" t="s">
        <v>50</v>
      </c>
      <c r="B21" s="34" t="s">
        <v>90</v>
      </c>
      <c r="D21" s="35" t="str">
        <f t="shared" si="0"/>
        <v/>
      </c>
      <c r="H21" s="36"/>
    </row>
    <row r="22" spans="1:8">
      <c r="A22" s="33" t="s">
        <v>51</v>
      </c>
      <c r="B22" s="34" t="s">
        <v>91</v>
      </c>
      <c r="D22" s="35" t="str">
        <f t="shared" si="0"/>
        <v/>
      </c>
      <c r="H22" s="36"/>
    </row>
    <row r="23" spans="1:8">
      <c r="A23" s="33" t="s">
        <v>52</v>
      </c>
      <c r="B23" s="34" t="s">
        <v>92</v>
      </c>
      <c r="D23" s="35" t="str">
        <f t="shared" si="0"/>
        <v/>
      </c>
      <c r="H23" s="36"/>
    </row>
    <row r="24" spans="1:8">
      <c r="A24" s="33" t="s">
        <v>53</v>
      </c>
      <c r="B24" s="34" t="s">
        <v>93</v>
      </c>
      <c r="D24" s="35" t="str">
        <f t="shared" si="0"/>
        <v/>
      </c>
      <c r="H24" s="36"/>
    </row>
    <row r="25" spans="1:8">
      <c r="A25" s="33" t="s">
        <v>54</v>
      </c>
      <c r="B25" s="34" t="s">
        <v>94</v>
      </c>
      <c r="D25" s="35" t="str">
        <f t="shared" si="0"/>
        <v/>
      </c>
      <c r="H25" s="36"/>
    </row>
    <row r="26" spans="1:8">
      <c r="A26" s="33" t="s">
        <v>55</v>
      </c>
      <c r="B26" s="34" t="s">
        <v>95</v>
      </c>
      <c r="D26" s="35" t="str">
        <f t="shared" si="0"/>
        <v/>
      </c>
      <c r="H26" s="36"/>
    </row>
    <row r="27" spans="1:8">
      <c r="A27" s="33" t="s">
        <v>56</v>
      </c>
      <c r="B27" s="34" t="s">
        <v>96</v>
      </c>
      <c r="D27" s="35" t="str">
        <f t="shared" si="0"/>
        <v/>
      </c>
      <c r="H27" s="36"/>
    </row>
    <row r="28" spans="1:8">
      <c r="A28" s="33" t="s">
        <v>57</v>
      </c>
      <c r="B28" s="34" t="s">
        <v>97</v>
      </c>
      <c r="D28" s="35" t="str">
        <f t="shared" si="0"/>
        <v/>
      </c>
      <c r="H28" s="36"/>
    </row>
    <row r="29" spans="1:8">
      <c r="A29" s="33" t="s">
        <v>58</v>
      </c>
      <c r="B29" s="34" t="s">
        <v>98</v>
      </c>
      <c r="D29" s="35" t="str">
        <f t="shared" si="0"/>
        <v/>
      </c>
      <c r="H29" s="36"/>
    </row>
    <row r="30" spans="1:8">
      <c r="A30" s="33" t="s">
        <v>59</v>
      </c>
      <c r="B30" s="34" t="s">
        <v>99</v>
      </c>
      <c r="D30" s="35" t="str">
        <f t="shared" si="0"/>
        <v/>
      </c>
      <c r="H30" s="36"/>
    </row>
    <row r="31" spans="1:8">
      <c r="A31" s="33" t="s">
        <v>60</v>
      </c>
      <c r="B31" s="34" t="s">
        <v>100</v>
      </c>
      <c r="D31" s="35" t="str">
        <f t="shared" si="0"/>
        <v/>
      </c>
      <c r="H31" s="36"/>
    </row>
    <row r="32" spans="1:8">
      <c r="A32" s="33" t="s">
        <v>61</v>
      </c>
      <c r="B32" s="34" t="s">
        <v>101</v>
      </c>
      <c r="D32" s="35" t="str">
        <f t="shared" si="0"/>
        <v/>
      </c>
      <c r="H32" s="36"/>
    </row>
    <row r="33" spans="1:8">
      <c r="A33" s="33" t="s">
        <v>62</v>
      </c>
      <c r="B33" s="34" t="s">
        <v>102</v>
      </c>
      <c r="D33" s="35" t="str">
        <f t="shared" si="0"/>
        <v/>
      </c>
      <c r="H33" s="36"/>
    </row>
    <row r="34" spans="1:8">
      <c r="A34" s="33" t="s">
        <v>63</v>
      </c>
      <c r="B34" s="34" t="s">
        <v>103</v>
      </c>
      <c r="D34" s="35" t="str">
        <f t="shared" si="0"/>
        <v/>
      </c>
      <c r="H34" s="36"/>
    </row>
    <row r="35" spans="1:8">
      <c r="A35" s="33" t="s">
        <v>64</v>
      </c>
      <c r="B35" s="34" t="s">
        <v>104</v>
      </c>
      <c r="D35" s="35" t="str">
        <f t="shared" si="0"/>
        <v/>
      </c>
      <c r="H35" s="36"/>
    </row>
    <row r="36" spans="1:8">
      <c r="A36" s="33" t="s">
        <v>65</v>
      </c>
      <c r="B36" s="34" t="s">
        <v>105</v>
      </c>
      <c r="D36" s="35" t="str">
        <f t="shared" si="0"/>
        <v/>
      </c>
      <c r="H36" s="36"/>
    </row>
    <row r="37" spans="1:8">
      <c r="A37" s="33" t="s">
        <v>66</v>
      </c>
      <c r="B37" s="34" t="s">
        <v>106</v>
      </c>
      <c r="D37" s="35" t="str">
        <f t="shared" si="0"/>
        <v/>
      </c>
      <c r="H37" s="36"/>
    </row>
    <row r="38" spans="1:8">
      <c r="A38" s="33" t="s">
        <v>67</v>
      </c>
      <c r="B38" s="34" t="s">
        <v>107</v>
      </c>
      <c r="D38" s="35" t="str">
        <f t="shared" si="0"/>
        <v/>
      </c>
      <c r="H38" s="36"/>
    </row>
    <row r="39" spans="1:8">
      <c r="A39" s="33" t="s">
        <v>68</v>
      </c>
      <c r="B39" s="34" t="s">
        <v>108</v>
      </c>
      <c r="D39" s="35" t="str">
        <f t="shared" si="0"/>
        <v/>
      </c>
      <c r="H39" s="36"/>
    </row>
    <row r="40" spans="1:8" ht="17.25" thickBot="1">
      <c r="A40" s="33" t="s">
        <v>69</v>
      </c>
      <c r="B40" s="34" t="s">
        <v>109</v>
      </c>
      <c r="D40" s="37" t="str">
        <f t="shared" si="0"/>
        <v/>
      </c>
      <c r="E40" s="41"/>
      <c r="F40" s="41"/>
      <c r="G40" s="41"/>
      <c r="H40" s="38"/>
    </row>
    <row r="41" spans="1:8">
      <c r="A41" s="33" t="s">
        <v>70</v>
      </c>
      <c r="B41" s="34" t="s">
        <v>110</v>
      </c>
    </row>
    <row r="42" spans="1:8">
      <c r="A42" s="33" t="s">
        <v>71</v>
      </c>
      <c r="B42" s="34" t="s">
        <v>111</v>
      </c>
    </row>
    <row r="43" spans="1:8">
      <c r="A43" s="33" t="s">
        <v>72</v>
      </c>
      <c r="B43" s="34" t="s">
        <v>112</v>
      </c>
    </row>
    <row r="44" spans="1:8">
      <c r="A44" s="33" t="s">
        <v>73</v>
      </c>
      <c r="B44" s="34" t="s">
        <v>113</v>
      </c>
    </row>
    <row r="45" spans="1:8">
      <c r="A45" s="33" t="s">
        <v>74</v>
      </c>
      <c r="B45" s="34" t="s">
        <v>114</v>
      </c>
    </row>
    <row r="46" spans="1:8">
      <c r="A46" s="35" t="s">
        <v>192</v>
      </c>
      <c r="B46" s="36" t="s">
        <v>193</v>
      </c>
    </row>
    <row r="47" spans="1:8">
      <c r="A47" s="35"/>
      <c r="B47" s="36"/>
    </row>
    <row r="48" spans="1:8">
      <c r="A48" s="35"/>
      <c r="B48" s="36"/>
    </row>
    <row r="49" spans="1:2">
      <c r="A49" s="35"/>
      <c r="B49" s="36"/>
    </row>
    <row r="50" spans="1:2">
      <c r="A50" s="35"/>
      <c r="B50" s="36"/>
    </row>
    <row r="51" spans="1:2">
      <c r="A51" s="35"/>
      <c r="B51" s="36"/>
    </row>
    <row r="52" spans="1:2">
      <c r="A52" s="35"/>
      <c r="B52" s="36"/>
    </row>
    <row r="53" spans="1:2">
      <c r="A53" s="35"/>
      <c r="B53" s="36"/>
    </row>
    <row r="54" spans="1:2">
      <c r="A54" s="35"/>
      <c r="B54" s="36"/>
    </row>
    <row r="55" spans="1:2">
      <c r="A55" s="35"/>
      <c r="B55" s="36"/>
    </row>
    <row r="56" spans="1:2">
      <c r="A56" s="35"/>
      <c r="B56" s="36"/>
    </row>
    <row r="57" spans="1:2">
      <c r="A57" s="35"/>
      <c r="B57" s="36"/>
    </row>
    <row r="58" spans="1:2">
      <c r="A58" s="35"/>
      <c r="B58" s="36"/>
    </row>
    <row r="59" spans="1:2">
      <c r="A59" s="35"/>
      <c r="B59" s="36"/>
    </row>
    <row r="60" spans="1:2">
      <c r="A60" s="35"/>
      <c r="B60" s="36"/>
    </row>
    <row r="61" spans="1:2">
      <c r="A61" s="35"/>
      <c r="B61" s="36"/>
    </row>
    <row r="62" spans="1:2">
      <c r="A62" s="35"/>
      <c r="B62" s="36"/>
    </row>
    <row r="63" spans="1:2">
      <c r="A63" s="35"/>
      <c r="B63" s="36"/>
    </row>
    <row r="64" spans="1:2">
      <c r="A64" s="35"/>
      <c r="B64" s="36"/>
    </row>
    <row r="65" spans="1:2">
      <c r="A65" s="35"/>
      <c r="B65" s="36"/>
    </row>
    <row r="66" spans="1:2">
      <c r="A66" s="35"/>
      <c r="B66" s="36"/>
    </row>
    <row r="67" spans="1:2">
      <c r="A67" s="35"/>
      <c r="B67" s="36"/>
    </row>
    <row r="68" spans="1:2">
      <c r="A68" s="35"/>
      <c r="B68" s="36"/>
    </row>
    <row r="69" spans="1:2">
      <c r="A69" s="35"/>
      <c r="B69" s="36"/>
    </row>
    <row r="70" spans="1:2">
      <c r="A70" s="35"/>
      <c r="B70" s="36"/>
    </row>
    <row r="71" spans="1:2">
      <c r="A71" s="35"/>
      <c r="B71" s="36"/>
    </row>
    <row r="72" spans="1:2">
      <c r="A72" s="35"/>
      <c r="B72" s="36"/>
    </row>
    <row r="73" spans="1:2">
      <c r="A73" s="35"/>
      <c r="B73" s="36"/>
    </row>
    <row r="74" spans="1:2">
      <c r="A74" s="35"/>
      <c r="B74" s="36"/>
    </row>
    <row r="75" spans="1:2">
      <c r="A75" s="35"/>
      <c r="B75" s="36"/>
    </row>
    <row r="76" spans="1:2">
      <c r="A76" s="35"/>
      <c r="B76" s="36"/>
    </row>
    <row r="77" spans="1:2">
      <c r="A77" s="35"/>
      <c r="B77" s="36"/>
    </row>
    <row r="78" spans="1:2">
      <c r="A78" s="35"/>
      <c r="B78" s="36"/>
    </row>
    <row r="79" spans="1:2">
      <c r="A79" s="35"/>
      <c r="B79" s="36"/>
    </row>
    <row r="80" spans="1:2">
      <c r="A80" s="35"/>
      <c r="B80" s="36"/>
    </row>
    <row r="81" spans="1:2">
      <c r="A81" s="35"/>
      <c r="B81" s="36"/>
    </row>
    <row r="82" spans="1:2">
      <c r="A82" s="35"/>
      <c r="B82" s="36"/>
    </row>
    <row r="83" spans="1:2">
      <c r="A83" s="35"/>
      <c r="B83" s="36"/>
    </row>
    <row r="84" spans="1:2">
      <c r="A84" s="35"/>
      <c r="B84" s="36"/>
    </row>
    <row r="85" spans="1:2">
      <c r="A85" s="35"/>
      <c r="B85" s="36"/>
    </row>
    <row r="86" spans="1:2">
      <c r="A86" s="35"/>
      <c r="B86" s="36"/>
    </row>
    <row r="87" spans="1:2">
      <c r="A87" s="35"/>
      <c r="B87" s="36"/>
    </row>
    <row r="88" spans="1:2">
      <c r="A88" s="35"/>
      <c r="B88" s="36"/>
    </row>
    <row r="89" spans="1:2">
      <c r="A89" s="35"/>
      <c r="B89" s="36"/>
    </row>
    <row r="90" spans="1:2">
      <c r="A90" s="35"/>
      <c r="B90" s="36"/>
    </row>
    <row r="91" spans="1:2">
      <c r="A91" s="35"/>
      <c r="B91" s="36"/>
    </row>
    <row r="92" spans="1:2">
      <c r="A92" s="35"/>
      <c r="B92" s="36"/>
    </row>
    <row r="93" spans="1:2">
      <c r="A93" s="35"/>
      <c r="B93" s="36"/>
    </row>
    <row r="94" spans="1:2">
      <c r="A94" s="35"/>
      <c r="B94" s="36"/>
    </row>
    <row r="95" spans="1:2">
      <c r="A95" s="35"/>
      <c r="B95" s="36"/>
    </row>
    <row r="96" spans="1:2">
      <c r="A96" s="35"/>
      <c r="B96" s="36"/>
    </row>
    <row r="97" spans="1:2">
      <c r="A97" s="35"/>
      <c r="B97" s="36"/>
    </row>
    <row r="98" spans="1:2">
      <c r="A98" s="35"/>
      <c r="B98" s="36"/>
    </row>
    <row r="99" spans="1:2">
      <c r="A99" s="35"/>
      <c r="B99" s="36"/>
    </row>
    <row r="100" spans="1:2">
      <c r="A100" s="35"/>
      <c r="B100" s="36"/>
    </row>
    <row r="101" spans="1:2">
      <c r="A101" s="35"/>
      <c r="B101" s="36"/>
    </row>
    <row r="102" spans="1:2">
      <c r="A102" s="35"/>
      <c r="B102" s="36"/>
    </row>
    <row r="103" spans="1:2">
      <c r="A103" s="35"/>
      <c r="B103" s="36"/>
    </row>
    <row r="104" spans="1:2" ht="17.25" thickBot="1">
      <c r="A104" s="37"/>
      <c r="B104" s="38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5</vt:i4>
      </vt:variant>
    </vt:vector>
  </HeadingPairs>
  <TitlesOfParts>
    <vt:vector size="7" baseType="lpstr">
      <vt:lpstr>Order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Yeonghoon Kim</cp:lastModifiedBy>
  <cp:lastPrinted>2014-05-01T13:42:50Z</cp:lastPrinted>
  <dcterms:created xsi:type="dcterms:W3CDTF">2014-04-29T09:00:29Z</dcterms:created>
  <dcterms:modified xsi:type="dcterms:W3CDTF">2024-10-07T06:18:13Z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
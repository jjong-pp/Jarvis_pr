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CM\Desktop\Downloads\"/>
    </mc:Choice>
  </mc:AlternateContent>
  <xr:revisionPtr revIDLastSave="0" documentId="13_ncr:1_{F22B4382-B715-41ED-ACF1-7CD6F69CD26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Order" sheetId="1" r:id="rId1"/>
    <sheet name="Lookup info" sheetId="3" r:id="rId2"/>
  </sheets>
  <externalReferences>
    <externalReference r:id="rId3"/>
  </externalReferences>
  <definedNames>
    <definedName name="_xlnm._FilterDatabase" localSheetId="0" hidden="1">Order!$A$16:$M$36</definedName>
    <definedName name="ExactAddinConnection" hidden="1">"001"</definedName>
    <definedName name="ExactAddinConnection.001" hidden="1">"WFRPARNLB062.nead.danet\\EXACTPROD;001;BARBOSFA;1"</definedName>
    <definedName name="ExactAddinReport1.Area" localSheetId="1" hidden="1">'Lookup info'!$A$4</definedName>
    <definedName name="ExactAddinReport1.Data" localSheetId="1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1" hidden="1">'Lookup info'!$E$4</definedName>
    <definedName name="ExactAddinReport2.Data" localSheetId="1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1" hidden="1">"ressLine3;Column4.Sort=0;Column4.Filter=0;Column4.Value=;System.Company=001;System.New=0;System.Wizard=Table;System.Update=-1"</definedName>
    <definedName name="ExactAddinReport3.Area" localSheetId="1" hidden="1">'Lookup info'!#REF!</definedName>
    <definedName name="ExactAddinReport3.Data" localSheetId="1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1" hidden="1">"m.Wizard=Table;System.Update=-1"</definedName>
    <definedName name="ExactAddinReport4.Area" localSheetId="1" hidden="1">'Lookup info'!#REF!</definedName>
    <definedName name="ExactAddinReport4.Data" localSheetId="1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1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Order!$A$1:$K$43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81029"/>
</workbook>
</file>

<file path=xl/calcChain.xml><?xml version="1.0" encoding="utf-8"?>
<calcChain xmlns="http://schemas.openxmlformats.org/spreadsheetml/2006/main">
  <c r="N39" i="1" l="1"/>
  <c r="N38" i="1"/>
  <c r="N37" i="1"/>
  <c r="N28" i="1"/>
  <c r="N26" i="1"/>
  <c r="N25" i="1"/>
  <c r="N24" i="1"/>
  <c r="N23" i="1"/>
  <c r="I26" i="1"/>
  <c r="J40" i="1"/>
  <c r="I40" i="1"/>
  <c r="J39" i="1"/>
  <c r="I39" i="1"/>
  <c r="J38" i="1" l="1"/>
  <c r="I38" i="1"/>
  <c r="J37" i="1"/>
  <c r="I37" i="1"/>
  <c r="I27" i="1" l="1"/>
  <c r="I28" i="1"/>
  <c r="I29" i="1"/>
  <c r="I24" i="1" l="1"/>
  <c r="I25" i="1"/>
  <c r="I23" i="1"/>
  <c r="J29" i="1"/>
  <c r="J28" i="1"/>
  <c r="J27" i="1"/>
  <c r="J25" i="1"/>
  <c r="J24" i="1"/>
  <c r="J23" i="1"/>
  <c r="J22" i="1"/>
  <c r="J21" i="1"/>
  <c r="J20" i="1"/>
  <c r="J19" i="1"/>
  <c r="J18" i="1"/>
  <c r="J17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J30" i="1" l="1"/>
  <c r="J32" i="1"/>
  <c r="J31" i="1"/>
  <c r="I36" i="1" l="1"/>
  <c r="I35" i="1"/>
  <c r="I34" i="1"/>
  <c r="I33" i="1"/>
  <c r="I32" i="1"/>
  <c r="I31" i="1"/>
  <c r="I30" i="1"/>
  <c r="J36" i="1"/>
  <c r="J35" i="1"/>
  <c r="J34" i="1"/>
  <c r="J33" i="1"/>
  <c r="M36" i="1"/>
  <c r="E35" i="1"/>
  <c r="F33" i="1"/>
  <c r="E33" i="1"/>
  <c r="E31" i="1"/>
  <c r="D6" i="3"/>
  <c r="E19" i="1" s="1"/>
  <c r="D7" i="3"/>
  <c r="F31" i="1" s="1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F17" i="1"/>
  <c r="E18" i="1"/>
  <c r="M22" i="1"/>
  <c r="M30" i="1"/>
  <c r="M32" i="1"/>
  <c r="M33" i="1"/>
  <c r="M34" i="1"/>
  <c r="M19" i="1"/>
  <c r="F35" i="1" l="1"/>
  <c r="E22" i="1"/>
  <c r="F40" i="1"/>
  <c r="F39" i="1"/>
  <c r="E40" i="1"/>
  <c r="E39" i="1"/>
  <c r="F38" i="1"/>
  <c r="F37" i="1"/>
  <c r="E38" i="1"/>
  <c r="E37" i="1"/>
  <c r="E32" i="1"/>
  <c r="E36" i="1"/>
  <c r="F32" i="1"/>
  <c r="F36" i="1"/>
  <c r="E30" i="1"/>
  <c r="E34" i="1"/>
  <c r="E17" i="1"/>
  <c r="F30" i="1"/>
  <c r="F34" i="1"/>
  <c r="M21" i="1"/>
  <c r="M35" i="1"/>
  <c r="M31" i="1"/>
  <c r="M18" i="1"/>
  <c r="M20" i="1"/>
  <c r="F19" i="1"/>
  <c r="F18" i="1"/>
  <c r="F22" i="1"/>
  <c r="F21" i="1"/>
  <c r="E21" i="1"/>
  <c r="F20" i="1"/>
  <c r="E20" i="1"/>
  <c r="M17" i="1" l="1"/>
  <c r="J26" i="1" l="1"/>
</calcChain>
</file>

<file path=xl/sharedStrings.xml><?xml version="1.0" encoding="utf-8"?>
<sst xmlns="http://schemas.openxmlformats.org/spreadsheetml/2006/main" count="296" uniqueCount="258">
  <si>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</si>
  <si>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</si>
  <si>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</si>
  <si>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</si>
  <si>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</si>
  <si>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</si>
  <si>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</si>
  <si>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</si>
  <si>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</si>
  <si>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</si>
  <si>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</si>
  <si>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</si>
  <si>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</si>
  <si>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</si>
  <si>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</si>
  <si>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</si>
  <si>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</si>
  <si>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</si>
  <si>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</si>
  <si>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</si>
  <si>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</si>
  <si>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</si>
  <si>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</si>
  <si>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</si>
  <si>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</si>
  <si>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</si>
  <si>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</si>
  <si>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</si>
  <si>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</si>
  <si>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</si>
  <si>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</si>
  <si>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</si>
  <si>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</si>
  <si>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</si>
  <si>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</si>
  <si>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</si>
  <si>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</si>
  <si>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</si>
  <si>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</si>
  <si>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</si>
  <si>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</si>
  <si>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</si>
  <si>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</si>
  <si>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</si>
  <si>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</si>
  <si>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</si>
  <si>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</si>
  <si>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</si>
  <si>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</si>
  <si>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</si>
  <si>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</si>
  <si>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</si>
  <si>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</si>
  <si>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</si>
  <si>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</si>
  <si>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</si>
  <si>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</si>
  <si>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</si>
  <si>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</si>
  <si>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</si>
  <si>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</si>
  <si>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</si>
  <si>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</si>
  <si>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</si>
  <si>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</si>
  <si>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</si>
  <si>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</si>
  <si>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</si>
  <si>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</si>
  <si>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</si>
  <si>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</si>
  <si>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</si>
  <si>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</si>
  <si>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</si>
  <si>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</si>
  <si>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</si>
  <si>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</si>
  <si>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</si>
  <si>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</si>
  <si>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</si>
  <si>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</si>
  <si>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</si>
  <si>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</si>
  <si>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</si>
  <si>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</si>
  <si>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</si>
  <si>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</si>
  <si>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</si>
  <si>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</si>
  <si>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</si>
  <si>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</si>
  <si>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</si>
  <si>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</si>
  <si>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</si>
  <si>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</si>
  <si>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</si>
  <si>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</si>
  <si>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</si>
  <si>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</si>
  <si>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</si>
  <si>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</si>
  <si>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</si>
  <si>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</si>
  <si>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</si>
  <si>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</si>
  <si>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</si>
  <si>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</si>
  <si>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</si>
  <si>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</si>
  <si>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</si>
  <si>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</si>
  <si>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</si>
  <si>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</si>
  <si>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</si>
  <si>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</si>
  <si>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</si>
  <si>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</si>
  <si>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</si>
  <si>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</si>
  <si>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</si>
  <si>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</si>
  <si>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</si>
  <si>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</si>
  <si>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</si>
  <si>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</si>
  <si>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</si>
  <si>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</si>
  <si>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</si>
  <si>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</si>
  <si>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</si>
  <si>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</si>
  <si>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</si>
  <si>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</si>
  <si>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</si>
  <si>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</si>
  <si>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</si>
  <si>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</si>
  <si>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</si>
  <si>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</si>
  <si>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</si>
  <si>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</si>
  <si>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</si>
  <si>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</si>
  <si>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</si>
  <si>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</si>
  <si>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</si>
  <si>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</si>
  <si>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</si>
  <si>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</si>
  <si>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</si>
  <si>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</si>
  <si>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</si>
  <si>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</si>
  <si>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</si>
  <si>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</si>
  <si>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</si>
  <si>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</si>
  <si>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</si>
  <si>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</si>
  <si>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</si>
  <si>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</si>
  <si>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</si>
  <si>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</si>
  <si>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</si>
  <si>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</si>
  <si>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</si>
  <si>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</si>
  <si>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</si>
  <si>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</si>
  <si>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</si>
  <si>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</si>
  <si>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</si>
  <si>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</si>
  <si>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</si>
  <si>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</si>
  <si>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</si>
  <si>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</si>
  <si>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</si>
  <si>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</si>
  <si>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</si>
  <si>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</si>
  <si>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</si>
  <si>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</si>
  <si>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</si>
  <si>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</si>
  <si>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</si>
  <si>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</si>
  <si>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</si>
  <si>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</si>
  <si>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</si>
  <si>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</si>
  <si>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</si>
  <si>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</si>
  <si>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</si>
  <si>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>676366D</t>
  </si>
  <si>
    <t>676367D</t>
  </si>
  <si>
    <t>676369D</t>
  </si>
  <si>
    <t>677211D</t>
  </si>
  <si>
    <t>677200D</t>
  </si>
  <si>
    <t>677281D</t>
  </si>
  <si>
    <t>658159D</t>
  </si>
  <si>
    <t>APTAMIL 3, KOR 6X800G</t>
  </si>
  <si>
    <t>APT PROFUTURA PRE, KOR 4X800G</t>
  </si>
  <si>
    <t>APT PROFUTURA 1, KOR 4X800G</t>
  </si>
  <si>
    <t>APT PROFUTURA 2, KOR 4X800G</t>
  </si>
  <si>
    <t>APTAMIL PRE 6X800G CR/SL</t>
  </si>
  <si>
    <t>APTAMIL 1 6X800G CR/SL</t>
  </si>
  <si>
    <t>APTAMIL 2 6X800G CR/SL</t>
  </si>
  <si>
    <t>APTAMIL 3 6X800G CR/SL</t>
  </si>
  <si>
    <t> Factory </t>
  </si>
  <si>
    <t> SKU </t>
  </si>
  <si>
    <t> Order (TU) </t>
  </si>
  <si>
    <t> Order (CU) </t>
  </si>
  <si>
    <t> Pallets </t>
  </si>
  <si>
    <t> WEXFORD </t>
  </si>
  <si>
    <t> PN Stage pre </t>
  </si>
  <si>
    <t xml:space="preserve">              576 </t>
  </si>
  <si>
    <t xml:space="preserve">           2,304 </t>
  </si>
  <si>
    <t xml:space="preserve">        4.0 </t>
  </si>
  <si>
    <t> PN Stage 1 </t>
  </si>
  <si>
    <t xml:space="preserve">              432 </t>
  </si>
  <si>
    <t xml:space="preserve">           1,728 </t>
  </si>
  <si>
    <t xml:space="preserve">        3.0 </t>
  </si>
  <si>
    <t> PN Stage 2 </t>
  </si>
  <si>
    <t xml:space="preserve">              720 </t>
  </si>
  <si>
    <t xml:space="preserve">           2,880 </t>
  </si>
  <si>
    <t xml:space="preserve">        5.0 </t>
  </si>
  <si>
    <t> PN Stage 3 </t>
  </si>
  <si>
    <t xml:space="preserve">              144 </t>
  </si>
  <si>
    <t xml:space="preserve">             576 </t>
  </si>
  <si>
    <t xml:space="preserve">        1.0 </t>
  </si>
  <si>
    <t> Total </t>
  </si>
  <si>
    <t xml:space="preserve">           1,872 </t>
  </si>
  <si>
    <t xml:space="preserve">           7,488 </t>
  </si>
  <si>
    <t xml:space="preserve">       13.0 </t>
  </si>
  <si>
    <t> FULDA </t>
  </si>
  <si>
    <t> PF Stage pre </t>
  </si>
  <si>
    <t> PF Stage 1 </t>
  </si>
  <si>
    <t> PF Stage 2 </t>
  </si>
  <si>
    <t xml:space="preserve">           1,632 </t>
  </si>
  <si>
    <t xml:space="preserve">           6,528 </t>
  </si>
  <si>
    <t xml:space="preserve">       17.0 </t>
  </si>
  <si>
    <t xml:space="preserve">           4,128 </t>
  </si>
  <si>
    <t xml:space="preserve">         16,512 </t>
  </si>
  <si>
    <t xml:space="preserve">       43.0 </t>
  </si>
  <si>
    <t> Grand total </t>
  </si>
  <si>
    <t xml:space="preserve">         24,000 </t>
  </si>
  <si>
    <t xml:space="preserve">         56 </t>
  </si>
  <si>
    <t xml:space="preserve">           1,248 </t>
  </si>
  <si>
    <t xml:space="preserve">           4,992 </t>
  </si>
  <si>
    <t>APTAMIL PF DUO YCF1+, 4X800G KOR</t>
  </si>
  <si>
    <t>APTAMIL PF DUO YCF2+, 4X800G KOR</t>
  </si>
  <si>
    <t>APTAMIL AR 1 ENG 24X400G</t>
  </si>
  <si>
    <t>APTAMIL COMF 1 ESC 24X400GEXPORT</t>
  </si>
  <si>
    <t>09/20/2024</t>
  </si>
  <si>
    <t>September</t>
  </si>
  <si>
    <t>W/F/09/2024</t>
  </si>
  <si>
    <t xml:space="preserve">Krone - South Korea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</si>
</sst>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0_);[Red]\(0\)"/>
  </numFmts>
  <fonts count="29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sz val="10"/>
      <color theme="3"/>
      <name val="맑은 고딕"/>
      <family val="2"/>
      <scheme val="minor"/>
    </font>
    <font>
      <b/>
      <sz val="10"/>
      <color theme="3"/>
      <name val="맑은 고딕"/>
      <family val="2"/>
      <scheme val="minor"/>
    </font>
    <font>
      <sz val="10"/>
      <color theme="1"/>
      <name val="Times New Roman"/>
      <family val="1"/>
    </font>
    <font>
      <sz val="11"/>
      <color rgb="FF000000"/>
      <name val="Calibri"/>
      <family val="2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1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5" fillId="0" borderId="1" xfId="0" applyFont="1" applyBorder="1"/>
    <xf numFmtId="0" fontId="25" fillId="0" borderId="2" xfId="0" quotePrefix="1" applyFont="1" applyBorder="1"/>
    <xf numFmtId="41" fontId="25" fillId="0" borderId="2" xfId="1" applyFont="1" applyFill="1" applyBorder="1" applyAlignment="1"/>
    <xf numFmtId="41" fontId="26" fillId="0" borderId="2" xfId="1" applyFont="1" applyFill="1" applyBorder="1" applyAlignment="1"/>
    <xf numFmtId="0" fontId="1" fillId="12" borderId="1" xfId="0" applyFont="1" applyFill="1" applyBorder="1" applyAlignment="1">
      <alignment horizontal="left"/>
    </xf>
    <xf numFmtId="0" fontId="1" fillId="12" borderId="1" xfId="0" applyFont="1" applyFill="1" applyBorder="1"/>
    <xf numFmtId="0" fontId="1" fillId="12" borderId="2" xfId="0" quotePrefix="1" applyFont="1" applyFill="1" applyBorder="1"/>
    <xf numFmtId="0" fontId="6" fillId="12" borderId="1" xfId="0" applyFont="1" applyFill="1" applyBorder="1" applyAlignment="1">
      <alignment horizontal="left"/>
    </xf>
    <xf numFmtId="0" fontId="6" fillId="12" borderId="1" xfId="0" applyFont="1" applyFill="1" applyBorder="1"/>
    <xf numFmtId="0" fontId="6" fillId="12" borderId="2" xfId="0" quotePrefix="1" applyFont="1" applyFill="1" applyBorder="1"/>
    <xf numFmtId="41" fontId="6" fillId="12" borderId="2" xfId="1" applyFont="1" applyFill="1" applyBorder="1" applyAlignment="1"/>
    <xf numFmtId="0" fontId="27" fillId="0" borderId="0" xfId="0" applyFont="1" applyAlignment="1">
      <alignment vertical="center"/>
    </xf>
    <xf numFmtId="41" fontId="0" fillId="2" borderId="0" xfId="0" applyNumberFormat="1" applyFill="1"/>
    <xf numFmtId="0" fontId="28" fillId="13" borderId="18" xfId="0" applyFont="1" applyFill="1" applyBorder="1" applyAlignment="1">
      <alignment horizontal="center" vertical="center"/>
    </xf>
    <xf numFmtId="0" fontId="28" fillId="13" borderId="12" xfId="0" applyFont="1" applyFill="1" applyBorder="1" applyAlignment="1">
      <alignment horizontal="center" vertical="center"/>
    </xf>
    <xf numFmtId="0" fontId="28" fillId="14" borderId="10" xfId="0" applyFont="1" applyFill="1" applyBorder="1" applyAlignment="1">
      <alignment horizontal="center" vertical="center"/>
    </xf>
    <xf numFmtId="0" fontId="28" fillId="0" borderId="10" xfId="0" applyFont="1" applyBorder="1" applyAlignment="1">
      <alignment horizontal="center" vertical="center"/>
    </xf>
    <xf numFmtId="0" fontId="28" fillId="15" borderId="10" xfId="0" applyFont="1" applyFill="1" applyBorder="1" applyAlignment="1">
      <alignment horizontal="center" vertical="center"/>
    </xf>
    <xf numFmtId="0" fontId="28" fillId="16" borderId="19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left"/>
    </xf>
    <xf numFmtId="0" fontId="25" fillId="12" borderId="1" xfId="0" applyFont="1" applyFill="1" applyBorder="1"/>
    <xf numFmtId="0" fontId="25" fillId="12" borderId="2" xfId="0" quotePrefix="1" applyFont="1" applyFill="1" applyBorder="1"/>
    <xf numFmtId="41" fontId="25" fillId="12" borderId="2" xfId="1" applyFont="1" applyFill="1" applyBorder="1" applyAlignment="1"/>
    <xf numFmtId="0" fontId="10" fillId="17" borderId="1" xfId="0" quotePrefix="1" applyFont="1" applyFill="1" applyBorder="1" applyAlignment="1">
      <alignment horizontal="center"/>
    </xf>
    <xf numFmtId="185" fontId="28" fillId="0" borderId="10" xfId="0" applyNumberFormat="1" applyFont="1" applyBorder="1" applyAlignment="1">
      <alignment horizontal="center" vertical="center"/>
    </xf>
    <xf numFmtId="0" fontId="28" fillId="0" borderId="21" xfId="0" applyFont="1" applyBorder="1" applyAlignment="1">
      <alignment horizontal="center" vertical="center"/>
    </xf>
    <xf numFmtId="0" fontId="28" fillId="0" borderId="20" xfId="0" applyFont="1" applyBorder="1" applyAlignment="1">
      <alignment horizontal="center" vertical="center"/>
    </xf>
    <xf numFmtId="0" fontId="28" fillId="0" borderId="19" xfId="0" applyFont="1" applyBorder="1" applyAlignment="1">
      <alignment horizontal="center" vertical="center"/>
    </xf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7</xdr:row>
      <xdr:rowOff>89807</xdr:rowOff>
    </xdr:from>
    <xdr:to>
      <xdr:col>8</xdr:col>
      <xdr:colOff>815522</xdr:colOff>
      <xdr:row>14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6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6</xdr:row>
      <xdr:rowOff>152400</xdr:rowOff>
    </xdr:from>
    <xdr:to>
      <xdr:col>10</xdr:col>
      <xdr:colOff>612775</xdr:colOff>
      <xdr:row>13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6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ad.danet\emea\BV-Export\Supply%20Chain\Countries\South%20Korea%20(DAMI)\Planning\Suggested%20order\DAMI_June%20Order%20CONFIRM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der"/>
      <sheetName val="Lookup info"/>
    </sheetNames>
    <sheetDataSet>
      <sheetData sheetId="0" refreshError="1"/>
      <sheetData sheetId="1" refreshError="1">
        <row r="3">
          <cell r="D3" t="str">
            <v>Warehouse information</v>
          </cell>
        </row>
        <row r="4">
          <cell r="D4" t="str">
            <v>Planner name</v>
          </cell>
          <cell r="E4" t="str">
            <v>Warehouse code</v>
          </cell>
          <cell r="F4" t="str">
            <v>Name</v>
          </cell>
          <cell r="G4" t="str">
            <v>Address line 2</v>
          </cell>
          <cell r="H4" t="str">
            <v>Address line 3</v>
          </cell>
        </row>
        <row r="5">
          <cell r="D5" t="str">
            <v>Zoetermeer</v>
          </cell>
          <cell r="E5" t="str">
            <v>0001</v>
          </cell>
          <cell r="F5" t="str">
            <v>NV NUTRICIA</v>
          </cell>
          <cell r="G5" t="str">
            <v>Zoetermeer</v>
          </cell>
          <cell r="H5" t="str">
            <v>Z</v>
          </cell>
        </row>
        <row r="6">
          <cell r="D6" t="str">
            <v>Haps</v>
          </cell>
          <cell r="E6" t="str">
            <v>0002</v>
          </cell>
          <cell r="F6" t="str">
            <v>NUTRICIA CUIJK B.V.</v>
          </cell>
          <cell r="G6" t="str">
            <v>Haps</v>
          </cell>
          <cell r="H6" t="str">
            <v>C</v>
          </cell>
        </row>
        <row r="7">
          <cell r="D7" t="str">
            <v>Wexford</v>
          </cell>
          <cell r="E7" t="str">
            <v>0023</v>
          </cell>
          <cell r="F7" t="str">
            <v>NUTRICIA INFANT NUTRITION LTD</v>
          </cell>
          <cell r="G7" t="str">
            <v>Wexford</v>
          </cell>
          <cell r="H7" t="str">
            <v>W</v>
          </cell>
        </row>
        <row r="8">
          <cell r="D8" t="str">
            <v>PTNIS</v>
          </cell>
          <cell r="E8" t="str">
            <v>0057</v>
          </cell>
          <cell r="F8" t="str">
            <v>P.T. NUTRICIA INDONESIA</v>
          </cell>
          <cell r="G8" t="str">
            <v>PTNIS</v>
          </cell>
          <cell r="H8" t="str">
            <v>P</v>
          </cell>
        </row>
        <row r="9">
          <cell r="D9" t="str">
            <v>Opole</v>
          </cell>
          <cell r="E9" t="str">
            <v>0074</v>
          </cell>
          <cell r="F9" t="str">
            <v>NUTRICIA POLSKA</v>
          </cell>
          <cell r="G9" t="str">
            <v>Opole</v>
          </cell>
          <cell r="H9" t="str">
            <v>O</v>
          </cell>
        </row>
        <row r="10">
          <cell r="D10" t="str">
            <v>Istra</v>
          </cell>
          <cell r="E10" t="str">
            <v>0089</v>
          </cell>
          <cell r="F10" t="str">
            <v>NUTRICIA LLC</v>
          </cell>
          <cell r="G10" t="str">
            <v>Istra</v>
          </cell>
          <cell r="H10" t="str">
            <v>I</v>
          </cell>
        </row>
        <row r="11">
          <cell r="D11" t="str">
            <v>Liverpool</v>
          </cell>
          <cell r="E11" t="str">
            <v>0091</v>
          </cell>
          <cell r="F11" t="str">
            <v>SHS INTERNATIONAL LTD</v>
          </cell>
          <cell r="G11" t="str">
            <v>Liverpool</v>
          </cell>
          <cell r="H11" t="str">
            <v>L</v>
          </cell>
        </row>
        <row r="12">
          <cell r="D12" t="str">
            <v>Fulda</v>
          </cell>
          <cell r="E12" t="str">
            <v>0120</v>
          </cell>
          <cell r="F12" t="str">
            <v>MILUPA GMBH &amp; CO</v>
          </cell>
          <cell r="G12" t="str">
            <v>Fulda</v>
          </cell>
          <cell r="H12" t="str">
            <v>F</v>
          </cell>
        </row>
        <row r="13">
          <cell r="D13" t="str">
            <v>Kasdorf</v>
          </cell>
          <cell r="E13" t="str">
            <v>0146</v>
          </cell>
          <cell r="F13" t="str">
            <v>KASDORF S.A.</v>
          </cell>
          <cell r="G13" t="str">
            <v>Kasdorf</v>
          </cell>
          <cell r="H13" t="str">
            <v>K</v>
          </cell>
        </row>
        <row r="14">
          <cell r="D14" t="str">
            <v>Wuxi (Nutricia Pharmaceutical)</v>
          </cell>
          <cell r="E14" t="str">
            <v>0190</v>
          </cell>
          <cell r="F14" t="str">
            <v>Nutricia Pharmaceutical (Wuxi)</v>
          </cell>
          <cell r="G14" t="str">
            <v>Wuxi (Nutricia Pharmaceutical)</v>
          </cell>
          <cell r="H14" t="str">
            <v>WX</v>
          </cell>
        </row>
        <row r="15">
          <cell r="D15" t="str">
            <v>Steenvoorde</v>
          </cell>
          <cell r="E15" t="str">
            <v>0510</v>
          </cell>
          <cell r="F15" t="str">
            <v>BLEDINA - STEENVOORDE</v>
          </cell>
          <cell r="G15" t="str">
            <v>Steenvoorde</v>
          </cell>
          <cell r="H15" t="str">
            <v>S</v>
          </cell>
        </row>
        <row r="16">
          <cell r="D16" t="str">
            <v>Villefranche</v>
          </cell>
          <cell r="E16" t="str">
            <v>0518</v>
          </cell>
          <cell r="F16" t="str">
            <v>BLEDINA - VILLEFRANCHE</v>
          </cell>
          <cell r="G16" t="str">
            <v>Villefranche</v>
          </cell>
          <cell r="H16" t="str">
            <v>V</v>
          </cell>
        </row>
        <row r="17">
          <cell r="D17" t="str">
            <v>Krueger</v>
          </cell>
          <cell r="E17" t="str">
            <v>0904</v>
          </cell>
          <cell r="F17" t="str">
            <v>KRUEGER</v>
          </cell>
          <cell r="G17" t="str">
            <v>Krueger</v>
          </cell>
          <cell r="H17" t="str">
            <v>KR</v>
          </cell>
        </row>
        <row r="18">
          <cell r="D18" t="str">
            <v>Otmuchow</v>
          </cell>
          <cell r="E18" t="str">
            <v>0944</v>
          </cell>
          <cell r="F18" t="str">
            <v>GRUPA OTMUCHOW</v>
          </cell>
          <cell r="G18" t="str">
            <v>Otmuchow</v>
          </cell>
          <cell r="H18" t="str">
            <v>OT</v>
          </cell>
        </row>
        <row r="19">
          <cell r="D19" t="str">
            <v>Medical Logistics (3PS)</v>
          </cell>
          <cell r="E19" t="str">
            <v>0991</v>
          </cell>
          <cell r="F19" t="str">
            <v>THIRD PARTY SUPPLIERS</v>
          </cell>
          <cell r="G19" t="str">
            <v>Medical Logistics (3PS)</v>
          </cell>
          <cell r="H19" t="str">
            <v>3P</v>
          </cell>
        </row>
        <row r="20">
          <cell r="D20" t="str">
            <v>Wuxi</v>
          </cell>
          <cell r="E20" t="str">
            <v>0994</v>
          </cell>
          <cell r="F20" t="str">
            <v>WUXI</v>
          </cell>
          <cell r="G20" t="str">
            <v>Wuxi</v>
          </cell>
          <cell r="H20" t="str">
            <v>WX</v>
          </cell>
        </row>
        <row r="21">
          <cell r="D21" t="str">
            <v>Cuijk</v>
          </cell>
          <cell r="E21" t="str">
            <v>0002</v>
          </cell>
          <cell r="F21" t="str">
            <v>NUTRICIA CUIJK B.V.</v>
          </cell>
          <cell r="G21" t="str">
            <v>Haps</v>
          </cell>
          <cell r="H21" t="str">
            <v>C</v>
          </cell>
        </row>
        <row r="22">
          <cell r="D22" t="str">
            <v/>
          </cell>
        </row>
        <row r="23">
          <cell r="D23" t="str">
            <v/>
          </cell>
        </row>
        <row r="24">
          <cell r="D24" t="str">
            <v/>
          </cell>
        </row>
        <row r="25">
          <cell r="D25" t="str">
            <v/>
          </cell>
        </row>
        <row r="26">
          <cell r="D26" t="str">
            <v/>
          </cell>
        </row>
        <row r="27">
          <cell r="D27" t="str">
            <v/>
          </cell>
        </row>
        <row r="28">
          <cell r="D28" t="str">
            <v/>
          </cell>
        </row>
        <row r="29">
          <cell r="D29" t="str">
            <v/>
          </cell>
        </row>
        <row r="30">
          <cell r="D30" t="str">
            <v/>
          </cell>
        </row>
        <row r="31">
          <cell r="D31" t="str">
            <v/>
          </cell>
        </row>
        <row r="32">
          <cell r="D32" t="str">
            <v/>
          </cell>
        </row>
        <row r="33">
          <cell r="D33" t="str">
            <v/>
          </cell>
        </row>
        <row r="34">
          <cell r="D34" t="str">
            <v/>
          </cell>
        </row>
        <row r="35">
          <cell r="D35" t="str">
            <v/>
          </cell>
        </row>
        <row r="36">
          <cell r="D36" t="str">
            <v/>
          </cell>
        </row>
        <row r="37">
          <cell r="D37" t="str">
            <v/>
          </cell>
        </row>
        <row r="38">
          <cell r="D38" t="str">
            <v/>
          </cell>
        </row>
        <row r="39">
          <cell r="D39" t="str">
            <v/>
          </cell>
        </row>
        <row r="40">
          <cell r="D40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0"/>
  <sheetViews>
    <sheetView tabSelected="1" topLeftCell="A16" zoomScale="80" zoomScaleNormal="80" workbookViewId="0">
      <selection activeCell="P31" sqref="P31"/>
    </sheetView>
  </sheetViews>
  <sheetFormatPr defaultColWidth="9.125" defaultRowHeight="16.5"/>
  <cols>
    <col min="1" max="1" width="24.5" style="1" bestFit="1" customWidth="1"/>
    <col min="2" max="2" width="40.875" style="1" customWidth="1"/>
    <col min="3" max="3" width="15.625" style="1" hidden="1" customWidth="1"/>
    <col min="4" max="4" width="20.5" style="1" bestFit="1" customWidth="1"/>
    <col min="5" max="5" width="9.875" style="1" bestFit="1" customWidth="1"/>
    <col min="6" max="6" width="9.875" style="1" customWidth="1"/>
    <col min="7" max="9" width="16.125" style="1" customWidth="1"/>
    <col min="10" max="10" width="17.875" style="14" customWidth="1"/>
    <col min="11" max="11" width="16.125" style="1" bestFit="1" customWidth="1"/>
    <col min="12" max="12" width="21.875" style="1" hidden="1" customWidth="1"/>
    <col min="13" max="13" width="0" style="1" hidden="1" customWidth="1"/>
    <col min="14" max="14" width="9.125" style="1"/>
    <col min="15" max="15" width="12.125" style="1" bestFit="1" customWidth="1"/>
    <col min="16" max="16" width="14.125" style="55" bestFit="1" customWidth="1"/>
    <col min="17" max="17" width="16.5" style="1" bestFit="1" customWidth="1"/>
    <col min="18" max="18" width="19.375" style="1" bestFit="1" customWidth="1"/>
    <col min="19" max="19" width="11.125" style="1" bestFit="1" customWidth="1"/>
    <col min="20" max="16384" width="9.125" style="1"/>
  </cols>
  <sheetData>
    <row r="1" spans="1:19" ht="17.25">
      <c r="A1" s="29" t="s">
        <v>257</v>
      </c>
      <c r="B1" s="18"/>
    </row>
    <row r="2" spans="1:19">
      <c r="A2" s="38" t="s">
        <v>28</v>
      </c>
      <c r="B2" s="38" t="s">
        <v>192</v>
      </c>
    </row>
    <row r="3" spans="1:19">
      <c r="A3" s="2" t="s">
        <v>0</v>
      </c>
      <c r="B3" s="81">
        <v>72852</v>
      </c>
    </row>
    <row r="4" spans="1:19">
      <c r="A4" s="2" t="s">
        <v>16</v>
      </c>
      <c r="B4" s="19" t="s">
        <v>17</v>
      </c>
    </row>
    <row r="5" spans="1:19">
      <c r="A5" s="2" t="s">
        <v>30</v>
      </c>
      <c r="B5" s="56" t="s">
        <v>254</v>
      </c>
    </row>
    <row r="6" spans="1:19">
      <c r="A6" s="2" t="s">
        <v>1</v>
      </c>
      <c r="B6" s="17" t="s">
        <v>255</v>
      </c>
      <c r="C6" s="9"/>
    </row>
    <row r="7" spans="1:19">
      <c r="A7" s="2" t="s">
        <v>2</v>
      </c>
      <c r="B7" s="19" t="s">
        <v>256</v>
      </c>
      <c r="C7"/>
    </row>
    <row r="8" spans="1:19">
      <c r="A8" s="2" t="s">
        <v>3</v>
      </c>
      <c r="B8" s="20" t="s">
        <v>12</v>
      </c>
    </row>
    <row r="9" spans="1:19">
      <c r="A9" s="2" t="s">
        <v>4</v>
      </c>
      <c r="B9" s="21" t="s">
        <v>24</v>
      </c>
    </row>
    <row r="10" spans="1:19">
      <c r="A10" s="2" t="s">
        <v>5</v>
      </c>
      <c r="B10" s="20" t="s">
        <v>18</v>
      </c>
    </row>
    <row r="11" spans="1:19">
      <c r="A11" s="2" t="s">
        <v>11</v>
      </c>
      <c r="B11" s="15" t="s">
        <v>25</v>
      </c>
    </row>
    <row r="12" spans="1:19">
      <c r="A12" s="10" t="s">
        <v>15</v>
      </c>
      <c r="B12" s="25">
        <v>1</v>
      </c>
    </row>
    <row r="13" spans="1:19">
      <c r="A13" s="10" t="s">
        <v>21</v>
      </c>
      <c r="B13" s="24">
        <v>1</v>
      </c>
      <c r="C13"/>
    </row>
    <row r="14" spans="1:19">
      <c r="A14" s="11"/>
    </row>
    <row r="15" spans="1:19" ht="17.25" thickBot="1"/>
    <row r="16" spans="1:19" ht="63" customHeight="1" thickBot="1">
      <c r="A16" s="4" t="s">
        <v>7</v>
      </c>
      <c r="B16" s="5" t="s">
        <v>6</v>
      </c>
      <c r="C16" s="5" t="s">
        <v>22</v>
      </c>
      <c r="D16" s="31" t="s">
        <v>23</v>
      </c>
      <c r="E16" s="43" t="s">
        <v>31</v>
      </c>
      <c r="F16" s="43" t="s">
        <v>149</v>
      </c>
      <c r="G16" s="6" t="s">
        <v>191</v>
      </c>
      <c r="H16" s="6" t="s">
        <v>8</v>
      </c>
      <c r="I16" s="6" t="s">
        <v>27</v>
      </c>
      <c r="J16" s="6" t="s">
        <v>9</v>
      </c>
      <c r="K16" s="7" t="s">
        <v>10</v>
      </c>
      <c r="L16" s="12" t="s">
        <v>13</v>
      </c>
      <c r="M16" s="1" t="s">
        <v>14</v>
      </c>
      <c r="O16" s="71" t="s">
        <v>209</v>
      </c>
      <c r="P16" s="72" t="s">
        <v>210</v>
      </c>
      <c r="Q16" s="72" t="s">
        <v>211</v>
      </c>
      <c r="R16" s="72" t="s">
        <v>212</v>
      </c>
      <c r="S16" s="72" t="s">
        <v>213</v>
      </c>
    </row>
    <row r="17" spans="1:19" ht="17.25" thickBot="1">
      <c r="A17" s="15">
        <v>676366</v>
      </c>
      <c r="B17" s="15" t="s">
        <v>188</v>
      </c>
      <c r="C17" s="16">
        <v>800</v>
      </c>
      <c r="D17" s="16" t="s">
        <v>169</v>
      </c>
      <c r="E17" s="30" t="str">
        <f>VLOOKUP($D17,'Lookup info'!$D:$H,2,FALSE)</f>
        <v>0023</v>
      </c>
      <c r="F17" s="30" t="str">
        <f>VLOOKUP($D17,'Lookup info'!$D:$H,5,FALSE)</f>
        <v>W</v>
      </c>
      <c r="G17" s="26">
        <v>144</v>
      </c>
      <c r="H17" s="27"/>
      <c r="I17" s="27"/>
      <c r="J17" s="51">
        <f t="shared" ref="J17:J29" si="0">IF(G17="","",K17/G17)</f>
        <v>0</v>
      </c>
      <c r="K17" s="51"/>
      <c r="L17" s="11"/>
      <c r="M17" s="1">
        <f t="shared" ref="M17:M19" si="1">K17*24</f>
        <v>0</v>
      </c>
      <c r="O17" s="83" t="s">
        <v>214</v>
      </c>
      <c r="P17" s="73" t="s">
        <v>215</v>
      </c>
      <c r="Q17" s="74" t="s">
        <v>216</v>
      </c>
      <c r="R17" s="74" t="s">
        <v>217</v>
      </c>
      <c r="S17" s="82" t="s">
        <v>218</v>
      </c>
    </row>
    <row r="18" spans="1:19" ht="17.25" thickBot="1">
      <c r="A18" s="15">
        <v>676367</v>
      </c>
      <c r="B18" s="15" t="s">
        <v>189</v>
      </c>
      <c r="C18" s="16">
        <v>800</v>
      </c>
      <c r="D18" s="16" t="s">
        <v>169</v>
      </c>
      <c r="E18" s="30" t="str">
        <f>VLOOKUP($D18,'Lookup info'!$D:$H,2,FALSE)</f>
        <v>0023</v>
      </c>
      <c r="F18" s="30" t="str">
        <f>VLOOKUP($D18,'Lookup info'!$D:$H,5,FALSE)</f>
        <v>W</v>
      </c>
      <c r="G18" s="26">
        <v>144</v>
      </c>
      <c r="H18" s="27"/>
      <c r="I18" s="27"/>
      <c r="J18" s="51">
        <f t="shared" si="0"/>
        <v>0</v>
      </c>
      <c r="K18" s="51"/>
      <c r="L18" s="13"/>
      <c r="M18" s="1">
        <f t="shared" si="1"/>
        <v>0</v>
      </c>
      <c r="O18" s="84"/>
      <c r="P18" s="73" t="s">
        <v>219</v>
      </c>
      <c r="Q18" s="74" t="s">
        <v>220</v>
      </c>
      <c r="R18" s="74" t="s">
        <v>221</v>
      </c>
      <c r="S18" s="82" t="s">
        <v>222</v>
      </c>
    </row>
    <row r="19" spans="1:19" ht="17.25" thickBot="1">
      <c r="A19" s="15">
        <v>676369</v>
      </c>
      <c r="B19" s="15" t="s">
        <v>190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27"/>
      <c r="I19" s="27"/>
      <c r="J19" s="51">
        <f t="shared" si="0"/>
        <v>0</v>
      </c>
      <c r="K19" s="51"/>
      <c r="M19" s="1">
        <f t="shared" si="1"/>
        <v>0</v>
      </c>
      <c r="O19" s="84"/>
      <c r="P19" s="73" t="s">
        <v>223</v>
      </c>
      <c r="Q19" s="74" t="s">
        <v>224</v>
      </c>
      <c r="R19" s="74" t="s">
        <v>225</v>
      </c>
      <c r="S19" s="82" t="s">
        <v>226</v>
      </c>
    </row>
    <row r="20" spans="1:19" ht="17.25" thickBot="1">
      <c r="A20" s="15">
        <v>677211</v>
      </c>
      <c r="B20" s="15" t="s">
        <v>185</v>
      </c>
      <c r="C20" s="16">
        <v>800</v>
      </c>
      <c r="D20" s="16" t="s">
        <v>168</v>
      </c>
      <c r="E20" s="30" t="str">
        <f>VLOOKUP($D20,'Lookup info'!$D:$H,2,FALSE)</f>
        <v>0002</v>
      </c>
      <c r="F20" s="30" t="str">
        <f>VLOOKUP($D20,'Lookup info'!$D:$H,5,FALSE)</f>
        <v>C</v>
      </c>
      <c r="G20" s="26">
        <v>96</v>
      </c>
      <c r="H20" s="27"/>
      <c r="I20" s="27"/>
      <c r="J20" s="51">
        <f t="shared" si="0"/>
        <v>0</v>
      </c>
      <c r="K20" s="51"/>
      <c r="M20" s="1">
        <f t="shared" ref="M20:M30" si="2">K20*7</f>
        <v>0</v>
      </c>
      <c r="O20" s="84"/>
      <c r="P20" s="73" t="s">
        <v>227</v>
      </c>
      <c r="Q20" s="74" t="s">
        <v>228</v>
      </c>
      <c r="R20" s="74" t="s">
        <v>229</v>
      </c>
      <c r="S20" s="82" t="s">
        <v>230</v>
      </c>
    </row>
    <row r="21" spans="1:19" ht="17.25" thickBot="1">
      <c r="A21" s="15">
        <v>677200</v>
      </c>
      <c r="B21" s="15" t="s">
        <v>186</v>
      </c>
      <c r="C21" s="16">
        <v>800</v>
      </c>
      <c r="D21" s="16" t="s">
        <v>168</v>
      </c>
      <c r="E21" s="30" t="str">
        <f>VLOOKUP($D21,'Lookup info'!$D:$H,2,FALSE)</f>
        <v>0002</v>
      </c>
      <c r="F21" s="30" t="str">
        <f>VLOOKUP($D21,'Lookup info'!$D:$H,5,FALSE)</f>
        <v>C</v>
      </c>
      <c r="G21" s="26">
        <v>96</v>
      </c>
      <c r="H21" s="27"/>
      <c r="I21" s="27"/>
      <c r="J21" s="51">
        <f t="shared" si="0"/>
        <v>0</v>
      </c>
      <c r="K21" s="51"/>
      <c r="M21" s="1">
        <f t="shared" si="2"/>
        <v>0</v>
      </c>
      <c r="O21" s="85"/>
      <c r="P21" s="73" t="s">
        <v>231</v>
      </c>
      <c r="Q21" s="74" t="s">
        <v>232</v>
      </c>
      <c r="R21" s="74" t="s">
        <v>233</v>
      </c>
      <c r="S21" s="82" t="s">
        <v>234</v>
      </c>
    </row>
    <row r="22" spans="1:19" ht="17.25" thickBot="1">
      <c r="A22" s="15">
        <v>677281</v>
      </c>
      <c r="B22" s="15" t="s">
        <v>187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/>
      <c r="J22" s="51">
        <f t="shared" si="0"/>
        <v>0</v>
      </c>
      <c r="K22" s="51"/>
      <c r="L22"/>
      <c r="M22" s="1">
        <f t="shared" si="2"/>
        <v>0</v>
      </c>
      <c r="O22" s="83" t="s">
        <v>235</v>
      </c>
      <c r="P22" s="75" t="s">
        <v>236</v>
      </c>
      <c r="Q22" s="74" t="s">
        <v>248</v>
      </c>
      <c r="R22" s="74" t="s">
        <v>249</v>
      </c>
      <c r="S22" s="74" t="s">
        <v>234</v>
      </c>
    </row>
    <row r="23" spans="1:19" ht="17.25" thickBot="1">
      <c r="A23" s="62">
        <v>677044</v>
      </c>
      <c r="B23" s="62" t="s">
        <v>202</v>
      </c>
      <c r="C23" s="63">
        <v>800</v>
      </c>
      <c r="D23" s="63" t="s">
        <v>173</v>
      </c>
      <c r="E23" s="64" t="str">
        <f>VLOOKUP($D23,'[1]Lookup info'!$D:$H,2,FALSE)</f>
        <v>0120</v>
      </c>
      <c r="F23" s="64" t="str">
        <f>VLOOKUP($D23,'[1]Lookup info'!$D:$H,5,FALSE)</f>
        <v>F</v>
      </c>
      <c r="G23" s="68">
        <v>96</v>
      </c>
      <c r="H23" s="27">
        <v>10</v>
      </c>
      <c r="I23" s="27">
        <f>H23*G23</f>
        <v>960</v>
      </c>
      <c r="J23" s="51">
        <f t="shared" si="0"/>
        <v>7</v>
      </c>
      <c r="K23" s="51">
        <v>672</v>
      </c>
      <c r="L23"/>
      <c r="N23" s="70">
        <f>K23*4</f>
        <v>2688</v>
      </c>
      <c r="O23" s="84"/>
      <c r="P23" s="75" t="s">
        <v>237</v>
      </c>
      <c r="Q23" s="74" t="s">
        <v>248</v>
      </c>
      <c r="R23" s="74" t="s">
        <v>249</v>
      </c>
      <c r="S23" s="74" t="s">
        <v>234</v>
      </c>
    </row>
    <row r="24" spans="1:19" ht="17.25" thickBot="1">
      <c r="A24" s="62">
        <v>677045</v>
      </c>
      <c r="B24" s="62" t="s">
        <v>203</v>
      </c>
      <c r="C24" s="63">
        <v>800</v>
      </c>
      <c r="D24" s="63" t="s">
        <v>173</v>
      </c>
      <c r="E24" s="64" t="str">
        <f>VLOOKUP($D24,'[1]Lookup info'!$D:$H,2,FALSE)</f>
        <v>0120</v>
      </c>
      <c r="F24" s="64" t="str">
        <f>VLOOKUP($D24,'[1]Lookup info'!$D:$H,5,FALSE)</f>
        <v>F</v>
      </c>
      <c r="G24" s="68">
        <v>96</v>
      </c>
      <c r="H24" s="27">
        <v>26</v>
      </c>
      <c r="I24" s="27">
        <f t="shared" ref="I24:I29" si="3">H24*G24</f>
        <v>2496</v>
      </c>
      <c r="J24" s="51">
        <f t="shared" si="0"/>
        <v>38</v>
      </c>
      <c r="K24" s="51">
        <v>3648</v>
      </c>
      <c r="L24"/>
      <c r="N24" s="70">
        <f>K24*4</f>
        <v>14592</v>
      </c>
      <c r="O24" s="84"/>
      <c r="P24" s="75" t="s">
        <v>238</v>
      </c>
      <c r="Q24" s="74" t="s">
        <v>239</v>
      </c>
      <c r="R24" s="74" t="s">
        <v>240</v>
      </c>
      <c r="S24" s="74" t="s">
        <v>241</v>
      </c>
    </row>
    <row r="25" spans="1:19" ht="17.25" thickBot="1">
      <c r="A25" s="62">
        <v>677047</v>
      </c>
      <c r="B25" s="62" t="s">
        <v>204</v>
      </c>
      <c r="C25" s="63">
        <v>800</v>
      </c>
      <c r="D25" s="63" t="s">
        <v>173</v>
      </c>
      <c r="E25" s="64" t="str">
        <f>VLOOKUP($D25,'[1]Lookup info'!$D:$H,2,FALSE)</f>
        <v>0120</v>
      </c>
      <c r="F25" s="64" t="str">
        <f>VLOOKUP($D25,'[1]Lookup info'!$D:$H,5,FALSE)</f>
        <v>F</v>
      </c>
      <c r="G25" s="68">
        <v>96</v>
      </c>
      <c r="H25" s="27">
        <v>70</v>
      </c>
      <c r="I25" s="27">
        <f t="shared" si="3"/>
        <v>6720</v>
      </c>
      <c r="J25" s="51">
        <f t="shared" si="0"/>
        <v>36</v>
      </c>
      <c r="K25" s="51">
        <v>3456</v>
      </c>
      <c r="L25"/>
      <c r="N25" s="70">
        <f>K25*4</f>
        <v>13824</v>
      </c>
      <c r="O25" s="85"/>
      <c r="P25" s="75" t="s">
        <v>231</v>
      </c>
      <c r="Q25" s="74" t="s">
        <v>242</v>
      </c>
      <c r="R25" s="74" t="s">
        <v>243</v>
      </c>
      <c r="S25" s="74" t="s">
        <v>244</v>
      </c>
    </row>
    <row r="26" spans="1:19" ht="17.25" thickBot="1">
      <c r="A26" s="62">
        <v>673676</v>
      </c>
      <c r="B26" s="62" t="s">
        <v>205</v>
      </c>
      <c r="C26" s="63">
        <v>800</v>
      </c>
      <c r="D26" s="63" t="s">
        <v>169</v>
      </c>
      <c r="E26" s="64" t="str">
        <f>VLOOKUP($D26,'[1]Lookup info'!$D:$H,2,FALSE)</f>
        <v>0023</v>
      </c>
      <c r="F26" s="64" t="str">
        <f>VLOOKUP($D26,'[1]Lookup info'!$D:$H,5,FALSE)</f>
        <v>W</v>
      </c>
      <c r="G26" s="68">
        <v>45</v>
      </c>
      <c r="H26" s="27">
        <v>7</v>
      </c>
      <c r="I26" s="27">
        <f t="shared" si="3"/>
        <v>315</v>
      </c>
      <c r="J26" s="51">
        <f t="shared" si="0"/>
        <v>8</v>
      </c>
      <c r="K26" s="51">
        <v>360</v>
      </c>
      <c r="L26"/>
      <c r="N26" s="70">
        <f>K26*6</f>
        <v>2160</v>
      </c>
      <c r="O26" s="69"/>
      <c r="P26" s="69"/>
      <c r="Q26" s="76" t="s">
        <v>245</v>
      </c>
      <c r="R26" s="74" t="s">
        <v>246</v>
      </c>
      <c r="S26" s="74" t="s">
        <v>247</v>
      </c>
    </row>
    <row r="27" spans="1:19">
      <c r="A27" s="62">
        <v>673674</v>
      </c>
      <c r="B27" s="62" t="s">
        <v>206</v>
      </c>
      <c r="C27" s="63">
        <v>800</v>
      </c>
      <c r="D27" s="63" t="s">
        <v>169</v>
      </c>
      <c r="E27" s="64" t="str">
        <f>VLOOKUP($D27,'[1]Lookup info'!$D:$H,2,FALSE)</f>
        <v>0023</v>
      </c>
      <c r="F27" s="64" t="str">
        <f>VLOOKUP($D27,'[1]Lookup info'!$D:$H,5,FALSE)</f>
        <v>W</v>
      </c>
      <c r="G27" s="68">
        <v>45</v>
      </c>
      <c r="H27" s="27">
        <v>11</v>
      </c>
      <c r="I27" s="27">
        <f t="shared" si="3"/>
        <v>495</v>
      </c>
      <c r="J27" s="51">
        <f t="shared" si="0"/>
        <v>0</v>
      </c>
      <c r="K27" s="51"/>
      <c r="L27"/>
      <c r="N27" s="70"/>
      <c r="O27" s="69"/>
      <c r="P27" s="69"/>
      <c r="Q27" s="69"/>
      <c r="R27" s="69"/>
      <c r="S27" s="69"/>
    </row>
    <row r="28" spans="1:19">
      <c r="A28" s="65">
        <v>673672</v>
      </c>
      <c r="B28" s="65" t="s">
        <v>207</v>
      </c>
      <c r="C28" s="66">
        <v>800</v>
      </c>
      <c r="D28" s="66" t="s">
        <v>169</v>
      </c>
      <c r="E28" s="67" t="str">
        <f>VLOOKUP($D28,'[1]Lookup info'!$D:$H,2,FALSE)</f>
        <v>0023</v>
      </c>
      <c r="F28" s="67" t="str">
        <f>VLOOKUP($D28,'[1]Lookup info'!$D:$H,5,FALSE)</f>
        <v>W</v>
      </c>
      <c r="G28" s="68">
        <v>45</v>
      </c>
      <c r="H28" s="27">
        <v>4</v>
      </c>
      <c r="I28" s="27">
        <f t="shared" si="3"/>
        <v>180</v>
      </c>
      <c r="J28" s="51">
        <f t="shared" si="0"/>
        <v>14</v>
      </c>
      <c r="K28" s="51">
        <v>630</v>
      </c>
      <c r="L28"/>
      <c r="N28" s="70">
        <f>K28*6</f>
        <v>3780</v>
      </c>
    </row>
    <row r="29" spans="1:19">
      <c r="A29" s="65">
        <v>673641</v>
      </c>
      <c r="B29" s="65" t="s">
        <v>208</v>
      </c>
      <c r="C29" s="66">
        <v>800</v>
      </c>
      <c r="D29" s="66" t="s">
        <v>169</v>
      </c>
      <c r="E29" s="67" t="str">
        <f>VLOOKUP($D29,'[1]Lookup info'!$D:$H,2,FALSE)</f>
        <v>0023</v>
      </c>
      <c r="F29" s="67" t="str">
        <f>VLOOKUP($D29,'[1]Lookup info'!$D:$H,5,FALSE)</f>
        <v>W</v>
      </c>
      <c r="G29" s="68">
        <v>45</v>
      </c>
      <c r="H29" s="27"/>
      <c r="I29" s="27">
        <f t="shared" si="3"/>
        <v>0</v>
      </c>
      <c r="J29" s="51">
        <f t="shared" si="0"/>
        <v>0</v>
      </c>
      <c r="K29" s="51"/>
      <c r="L29"/>
      <c r="N29" s="70"/>
    </row>
    <row r="30" spans="1:19">
      <c r="A30" s="57" t="s">
        <v>194</v>
      </c>
      <c r="B30" s="57" t="s">
        <v>188</v>
      </c>
      <c r="C30" s="58">
        <v>800</v>
      </c>
      <c r="D30" s="58" t="s">
        <v>169</v>
      </c>
      <c r="E30" s="59" t="str">
        <f>VLOOKUP($D30,'Lookup info'!$D:$H,2,FALSE)</f>
        <v>0023</v>
      </c>
      <c r="F30" s="59" t="str">
        <f>VLOOKUP($D30,'Lookup info'!$D:$H,5,FALSE)</f>
        <v>W</v>
      </c>
      <c r="G30" s="60">
        <v>144</v>
      </c>
      <c r="H30" s="61"/>
      <c r="I30" s="61">
        <f t="shared" ref="I30:I36" si="4">H30*G30</f>
        <v>0</v>
      </c>
      <c r="J30" s="51">
        <f t="shared" ref="J30" si="5">IF(G30="","",K30/G30)</f>
        <v>0</v>
      </c>
      <c r="K30" s="51"/>
      <c r="L30" s="14"/>
      <c r="M30" s="14">
        <f t="shared" si="2"/>
        <v>0</v>
      </c>
      <c r="O30" s="55"/>
    </row>
    <row r="31" spans="1:19">
      <c r="A31" s="57" t="s">
        <v>195</v>
      </c>
      <c r="B31" s="57" t="s">
        <v>189</v>
      </c>
      <c r="C31" s="58">
        <v>800</v>
      </c>
      <c r="D31" s="58" t="s">
        <v>169</v>
      </c>
      <c r="E31" s="59" t="str">
        <f>VLOOKUP($D31,'Lookup info'!$D:$H,2,FALSE)</f>
        <v>0023</v>
      </c>
      <c r="F31" s="59" t="str">
        <f>VLOOKUP($D31,'Lookup info'!$D:$H,5,FALSE)</f>
        <v>W</v>
      </c>
      <c r="G31" s="60">
        <v>144</v>
      </c>
      <c r="H31" s="61"/>
      <c r="I31" s="61">
        <f t="shared" si="4"/>
        <v>0</v>
      </c>
      <c r="J31" s="51">
        <f t="shared" ref="J31:J32" si="6">IF(G31="","",K31/G31)</f>
        <v>0</v>
      </c>
      <c r="K31" s="51"/>
      <c r="M31" s="1">
        <f>K31*5</f>
        <v>0</v>
      </c>
      <c r="O31" s="55"/>
    </row>
    <row r="32" spans="1:19">
      <c r="A32" s="57" t="s">
        <v>196</v>
      </c>
      <c r="B32" s="57" t="s">
        <v>190</v>
      </c>
      <c r="C32" s="58">
        <v>800</v>
      </c>
      <c r="D32" s="58" t="s">
        <v>169</v>
      </c>
      <c r="E32" s="59" t="str">
        <f>VLOOKUP($D32,'Lookup info'!$D:$H,2,FALSE)</f>
        <v>0023</v>
      </c>
      <c r="F32" s="59" t="str">
        <f>VLOOKUP($D32,'Lookup info'!$D:$H,5,FALSE)</f>
        <v>W</v>
      </c>
      <c r="G32" s="60">
        <v>144</v>
      </c>
      <c r="H32" s="61"/>
      <c r="I32" s="61">
        <f t="shared" si="4"/>
        <v>0</v>
      </c>
      <c r="J32" s="51">
        <f t="shared" si="6"/>
        <v>0</v>
      </c>
      <c r="K32" s="51"/>
      <c r="L32" s="11"/>
      <c r="M32" s="1">
        <f t="shared" ref="M32:M35" si="7">K32*4</f>
        <v>0</v>
      </c>
      <c r="O32" s="55"/>
    </row>
    <row r="33" spans="1:14">
      <c r="A33" s="57" t="s">
        <v>197</v>
      </c>
      <c r="B33" s="57" t="s">
        <v>185</v>
      </c>
      <c r="C33" s="58">
        <v>800</v>
      </c>
      <c r="D33" s="58" t="s">
        <v>168</v>
      </c>
      <c r="E33" s="59" t="str">
        <f>VLOOKUP($D33,'Lookup info'!$D:$H,2,FALSE)</f>
        <v>0002</v>
      </c>
      <c r="F33" s="59" t="str">
        <f>VLOOKUP($D33,'Lookup info'!$D:$H,5,FALSE)</f>
        <v>C</v>
      </c>
      <c r="G33" s="60">
        <v>96</v>
      </c>
      <c r="H33" s="61"/>
      <c r="I33" s="61">
        <f t="shared" si="4"/>
        <v>0</v>
      </c>
      <c r="J33" s="51">
        <f t="shared" ref="J33:J36" si="8">IF(G33="","",K33/G33)</f>
        <v>0</v>
      </c>
      <c r="K33" s="51"/>
      <c r="L33" s="13"/>
      <c r="M33" s="1">
        <f t="shared" si="7"/>
        <v>0</v>
      </c>
    </row>
    <row r="34" spans="1:14">
      <c r="A34" s="57" t="s">
        <v>198</v>
      </c>
      <c r="B34" s="57" t="s">
        <v>186</v>
      </c>
      <c r="C34" s="58">
        <v>800</v>
      </c>
      <c r="D34" s="58" t="s">
        <v>168</v>
      </c>
      <c r="E34" s="59" t="str">
        <f>VLOOKUP($D34,'Lookup info'!$D:$H,2,FALSE)</f>
        <v>0002</v>
      </c>
      <c r="F34" s="59" t="str">
        <f>VLOOKUP($D34,'Lookup info'!$D:$H,5,FALSE)</f>
        <v>C</v>
      </c>
      <c r="G34" s="60">
        <v>96</v>
      </c>
      <c r="H34" s="61"/>
      <c r="I34" s="61">
        <f t="shared" si="4"/>
        <v>0</v>
      </c>
      <c r="J34" s="51">
        <f t="shared" si="8"/>
        <v>0</v>
      </c>
      <c r="K34" s="51"/>
      <c r="M34" s="1">
        <f t="shared" si="7"/>
        <v>0</v>
      </c>
    </row>
    <row r="35" spans="1:14">
      <c r="A35" s="57" t="s">
        <v>199</v>
      </c>
      <c r="B35" s="57" t="s">
        <v>187</v>
      </c>
      <c r="C35" s="58">
        <v>800</v>
      </c>
      <c r="D35" s="58" t="s">
        <v>168</v>
      </c>
      <c r="E35" s="59" t="str">
        <f>VLOOKUP($D35,'Lookup info'!$D:$H,2,FALSE)</f>
        <v>0002</v>
      </c>
      <c r="F35" s="59" t="str">
        <f>VLOOKUP($D35,'Lookup info'!$D:$H,5,FALSE)</f>
        <v>C</v>
      </c>
      <c r="G35" s="60">
        <v>96</v>
      </c>
      <c r="H35" s="61"/>
      <c r="I35" s="61">
        <f t="shared" si="4"/>
        <v>0</v>
      </c>
      <c r="J35" s="51">
        <f t="shared" si="8"/>
        <v>0</v>
      </c>
      <c r="K35" s="51"/>
      <c r="M35" s="1">
        <f t="shared" si="7"/>
        <v>0</v>
      </c>
    </row>
    <row r="36" spans="1:14">
      <c r="A36" s="57" t="s">
        <v>200</v>
      </c>
      <c r="B36" s="57" t="s">
        <v>201</v>
      </c>
      <c r="C36" s="58">
        <v>800</v>
      </c>
      <c r="D36" s="58" t="s">
        <v>168</v>
      </c>
      <c r="E36" s="59" t="str">
        <f>VLOOKUP($D36,'Lookup info'!$D:$H,2,FALSE)</f>
        <v>0002</v>
      </c>
      <c r="F36" s="59" t="str">
        <f>VLOOKUP($D36,'Lookup info'!$D:$H,5,FALSE)</f>
        <v>C</v>
      </c>
      <c r="G36" s="60">
        <v>96</v>
      </c>
      <c r="H36" s="61"/>
      <c r="I36" s="61">
        <f t="shared" si="4"/>
        <v>0</v>
      </c>
      <c r="J36" s="51">
        <f t="shared" si="8"/>
        <v>0</v>
      </c>
      <c r="K36" s="51"/>
      <c r="M36" s="1">
        <f t="shared" ref="M36" si="9">K36*4</f>
        <v>0</v>
      </c>
    </row>
    <row r="37" spans="1:14">
      <c r="A37" s="77">
        <v>698408</v>
      </c>
      <c r="B37" s="77" t="s">
        <v>250</v>
      </c>
      <c r="C37" s="78">
        <v>800</v>
      </c>
      <c r="D37" s="78" t="s">
        <v>173</v>
      </c>
      <c r="E37" s="79" t="str">
        <f>VLOOKUP($D37,'Lookup info'!$D:$H,2,FALSE)</f>
        <v>0120</v>
      </c>
      <c r="F37" s="79" t="str">
        <f>VLOOKUP($D37,'Lookup info'!$D:$H,5,FALSE)</f>
        <v>F</v>
      </c>
      <c r="G37" s="80">
        <v>96</v>
      </c>
      <c r="H37" s="61">
        <v>4</v>
      </c>
      <c r="I37" s="61">
        <f t="shared" ref="I37:I38" si="10">H37*G37</f>
        <v>384</v>
      </c>
      <c r="J37" s="51">
        <f t="shared" ref="J37:J38" si="11">IF(G37="","",K37/G37)</f>
        <v>3</v>
      </c>
      <c r="K37" s="51">
        <v>288</v>
      </c>
      <c r="N37" s="70">
        <f>K37*4</f>
        <v>1152</v>
      </c>
    </row>
    <row r="38" spans="1:14">
      <c r="A38" s="77">
        <v>698409</v>
      </c>
      <c r="B38" s="77" t="s">
        <v>251</v>
      </c>
      <c r="C38" s="78">
        <v>800</v>
      </c>
      <c r="D38" s="78" t="s">
        <v>173</v>
      </c>
      <c r="E38" s="79" t="str">
        <f>VLOOKUP($D38,'Lookup info'!$D:$H,2,FALSE)</f>
        <v>0120</v>
      </c>
      <c r="F38" s="79" t="str">
        <f>VLOOKUP($D38,'Lookup info'!$D:$H,5,FALSE)</f>
        <v>F</v>
      </c>
      <c r="G38" s="80">
        <v>96</v>
      </c>
      <c r="H38" s="61"/>
      <c r="I38" s="61">
        <f t="shared" si="10"/>
        <v>0</v>
      </c>
      <c r="J38" s="51">
        <f t="shared" si="11"/>
        <v>4</v>
      </c>
      <c r="K38" s="51">
        <v>384</v>
      </c>
      <c r="N38" s="70">
        <f>K38*4</f>
        <v>1536</v>
      </c>
    </row>
    <row r="39" spans="1:14">
      <c r="A39" s="77">
        <v>653156</v>
      </c>
      <c r="B39" s="77" t="s">
        <v>252</v>
      </c>
      <c r="C39" s="78">
        <v>400</v>
      </c>
      <c r="D39" s="78" t="s">
        <v>168</v>
      </c>
      <c r="E39" s="79" t="str">
        <f>VLOOKUP($D39,'Lookup info'!$D:$H,2,FALSE)</f>
        <v>0002</v>
      </c>
      <c r="F39" s="79" t="str">
        <f>VLOOKUP($D39,'Lookup info'!$D:$H,5,FALSE)</f>
        <v>C</v>
      </c>
      <c r="G39" s="80">
        <v>42</v>
      </c>
      <c r="H39" s="61">
        <v>1</v>
      </c>
      <c r="I39" s="61">
        <f t="shared" ref="I39:I40" si="12">H39*G39</f>
        <v>42</v>
      </c>
      <c r="J39" s="51">
        <f t="shared" ref="J39:J40" si="13">IF(G39="","",K39/G39)</f>
        <v>2</v>
      </c>
      <c r="K39" s="51">
        <v>84</v>
      </c>
      <c r="N39" s="70">
        <f>K39*24</f>
        <v>2016</v>
      </c>
    </row>
    <row r="40" spans="1:14">
      <c r="A40" s="77">
        <v>653299</v>
      </c>
      <c r="B40" s="77" t="s">
        <v>253</v>
      </c>
      <c r="C40" s="78">
        <v>400</v>
      </c>
      <c r="D40" s="78" t="s">
        <v>168</v>
      </c>
      <c r="E40" s="79" t="str">
        <f>VLOOKUP($D40,'Lookup info'!$D:$H,2,FALSE)</f>
        <v>0002</v>
      </c>
      <c r="F40" s="79" t="str">
        <f>VLOOKUP($D40,'Lookup info'!$D:$H,5,FALSE)</f>
        <v>C</v>
      </c>
      <c r="G40" s="80">
        <v>42</v>
      </c>
      <c r="H40" s="61"/>
      <c r="I40" s="61">
        <f t="shared" si="12"/>
        <v>0</v>
      </c>
      <c r="J40" s="51">
        <f t="shared" si="13"/>
        <v>0</v>
      </c>
      <c r="K40" s="51"/>
      <c r="N40" s="70"/>
    </row>
    <row r="41" spans="1:14">
      <c r="A41" s="8"/>
      <c r="B41" s="3"/>
      <c r="C41" s="3"/>
      <c r="D41" s="3"/>
      <c r="E41" s="3"/>
      <c r="F41" s="3"/>
      <c r="G41" s="3"/>
      <c r="J41" s="54"/>
      <c r="K41" s="3"/>
    </row>
    <row r="42" spans="1:14">
      <c r="A42" s="8"/>
      <c r="B42" s="8"/>
      <c r="C42" s="3"/>
      <c r="J42" s="8" t="s">
        <v>19</v>
      </c>
      <c r="K42" s="3"/>
    </row>
    <row r="43" spans="1:14">
      <c r="A43" s="8"/>
      <c r="B43" s="8"/>
      <c r="C43" s="3"/>
      <c r="J43" s="8" t="s">
        <v>20</v>
      </c>
      <c r="K43" s="28"/>
    </row>
    <row r="44" spans="1:14">
      <c r="A44" s="11"/>
      <c r="B44" s="11"/>
    </row>
    <row r="46" spans="1:14">
      <c r="A46"/>
      <c r="B46"/>
      <c r="C46"/>
      <c r="D46"/>
      <c r="E46"/>
      <c r="F46"/>
      <c r="G46"/>
      <c r="H46"/>
      <c r="I46"/>
      <c r="J46" s="22"/>
    </row>
    <row r="47" spans="1:14">
      <c r="A47"/>
      <c r="B47"/>
      <c r="C47"/>
      <c r="D47"/>
      <c r="E47"/>
      <c r="F47"/>
      <c r="G47"/>
      <c r="H47"/>
      <c r="I47"/>
      <c r="J47" s="22"/>
    </row>
    <row r="48" spans="1:14">
      <c r="A48"/>
      <c r="B48"/>
      <c r="C48"/>
      <c r="D48"/>
      <c r="E48"/>
      <c r="F48"/>
      <c r="G48"/>
      <c r="H48"/>
      <c r="I48"/>
      <c r="J48" s="22"/>
    </row>
    <row r="49" spans="1:10">
      <c r="A49"/>
      <c r="B49"/>
      <c r="C49"/>
      <c r="D49"/>
      <c r="E49"/>
      <c r="F49"/>
      <c r="G49"/>
      <c r="H49"/>
      <c r="I49"/>
      <c r="J49" s="22"/>
    </row>
    <row r="50" spans="1:10">
      <c r="A50"/>
      <c r="B50"/>
      <c r="C50"/>
      <c r="D50"/>
      <c r="E50"/>
      <c r="F50"/>
      <c r="G50"/>
      <c r="H50"/>
      <c r="I50"/>
      <c r="J50" s="22"/>
    </row>
    <row r="51" spans="1:10">
      <c r="A51" s="23"/>
      <c r="B51"/>
      <c r="C51"/>
      <c r="D51"/>
      <c r="E51"/>
      <c r="F51"/>
      <c r="G51"/>
      <c r="H51"/>
      <c r="I51"/>
      <c r="J51" s="22"/>
    </row>
    <row r="52" spans="1:10">
      <c r="A52"/>
      <c r="B52"/>
      <c r="C52"/>
      <c r="D52"/>
      <c r="E52"/>
      <c r="F52"/>
      <c r="G52"/>
      <c r="H52"/>
      <c r="I52" s="53"/>
      <c r="J52" s="22"/>
    </row>
    <row r="53" spans="1:10">
      <c r="A53"/>
      <c r="B53"/>
      <c r="C53"/>
      <c r="D53"/>
      <c r="E53"/>
      <c r="F53"/>
      <c r="G53"/>
      <c r="H53"/>
      <c r="I53" s="52"/>
      <c r="J53" s="22"/>
    </row>
    <row r="54" spans="1:10">
      <c r="A54"/>
      <c r="B54"/>
      <c r="C54"/>
      <c r="D54"/>
      <c r="E54"/>
      <c r="F54"/>
      <c r="G54"/>
      <c r="H54"/>
      <c r="I54" s="52"/>
      <c r="J54" s="22"/>
    </row>
    <row r="55" spans="1:10">
      <c r="I55"/>
    </row>
    <row r="56" spans="1:10">
      <c r="I56"/>
    </row>
    <row r="57" spans="1:10">
      <c r="I57"/>
    </row>
    <row r="58" spans="1:10">
      <c r="I58"/>
    </row>
    <row r="59" spans="1:10">
      <c r="I59"/>
    </row>
    <row r="60" spans="1:10">
      <c r="I60"/>
    </row>
  </sheetData>
  <autoFilter ref="A16:M36" xr:uid="{00000000-0001-0000-0000-000000000000}"/>
  <mergeCells count="2">
    <mergeCell ref="O17:O21"/>
    <mergeCell ref="O22:O25"/>
  </mergeCells>
  <phoneticPr fontId="12" type="noConversion"/>
  <dataValidations count="2">
    <dataValidation type="list" allowBlank="1" showInputMessage="1" showErrorMessage="1" sqref="B4" xr:uid="{00000000-0002-0000-0000-000000000000}">
      <formula1>#REF!</formula1>
    </dataValidation>
    <dataValidation type="list" allowBlank="1" showInputMessage="1" showErrorMessage="1" sqref="B10 B8" xr:uid="{00000000-0002-0000-0000-000001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D17:D22 D30:D36 D39:D40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0" t="s">
        <v>184</v>
      </c>
    </row>
    <row r="2" spans="1:8" ht="17.25" thickBot="1"/>
    <row r="3" spans="1:8" ht="17.25" thickBot="1">
      <c r="A3" s="86" t="s">
        <v>28</v>
      </c>
      <c r="B3" s="87"/>
      <c r="D3" s="88" t="s">
        <v>152</v>
      </c>
      <c r="E3" s="89"/>
      <c r="F3" s="89"/>
      <c r="G3" s="89"/>
      <c r="H3" s="90"/>
    </row>
    <row r="4" spans="1:8" ht="17.25" thickBot="1">
      <c r="A4" s="41" t="s">
        <v>34</v>
      </c>
      <c r="B4" s="42" t="s">
        <v>35</v>
      </c>
      <c r="D4" s="47" t="s">
        <v>183</v>
      </c>
      <c r="E4" s="48" t="s">
        <v>117</v>
      </c>
      <c r="F4" s="48" t="s">
        <v>118</v>
      </c>
      <c r="G4" s="48" t="s">
        <v>180</v>
      </c>
      <c r="H4" s="49" t="s">
        <v>181</v>
      </c>
    </row>
    <row r="5" spans="1:8">
      <c r="A5" s="32" t="s">
        <v>36</v>
      </c>
      <c r="B5" s="33" t="s">
        <v>75</v>
      </c>
      <c r="D5" s="46" t="str">
        <f>IF(G5="","",G5)</f>
        <v>Zoetermeer</v>
      </c>
      <c r="E5" s="44" t="s">
        <v>119</v>
      </c>
      <c r="F5" s="44" t="s">
        <v>133</v>
      </c>
      <c r="G5" s="44" t="s">
        <v>167</v>
      </c>
      <c r="H5" s="45" t="s">
        <v>154</v>
      </c>
    </row>
    <row r="6" spans="1:8">
      <c r="A6" s="32" t="s">
        <v>37</v>
      </c>
      <c r="B6" s="33" t="s">
        <v>76</v>
      </c>
      <c r="D6" s="34" t="str">
        <f t="shared" ref="D6:D40" si="0">IF(G6="","",G6)</f>
        <v>Haps</v>
      </c>
      <c r="E6" s="39" t="s">
        <v>32</v>
      </c>
      <c r="F6" s="39" t="s">
        <v>134</v>
      </c>
      <c r="G6" s="39" t="s">
        <v>168</v>
      </c>
      <c r="H6" s="33" t="s">
        <v>150</v>
      </c>
    </row>
    <row r="7" spans="1:8">
      <c r="A7" s="32" t="s">
        <v>29</v>
      </c>
      <c r="B7" s="33" t="s">
        <v>77</v>
      </c>
      <c r="D7" s="34" t="str">
        <f t="shared" si="0"/>
        <v>Wexford</v>
      </c>
      <c r="E7" s="39" t="s">
        <v>120</v>
      </c>
      <c r="F7" s="39" t="s">
        <v>135</v>
      </c>
      <c r="G7" s="39" t="s">
        <v>169</v>
      </c>
      <c r="H7" s="33" t="s">
        <v>155</v>
      </c>
    </row>
    <row r="8" spans="1:8">
      <c r="A8" s="32" t="s">
        <v>38</v>
      </c>
      <c r="B8" s="33" t="s">
        <v>78</v>
      </c>
      <c r="D8" s="34" t="str">
        <f t="shared" si="0"/>
        <v>PTNIS</v>
      </c>
      <c r="E8" s="39" t="s">
        <v>121</v>
      </c>
      <c r="F8" s="39" t="s">
        <v>136</v>
      </c>
      <c r="G8" s="39" t="s">
        <v>170</v>
      </c>
      <c r="H8" s="33" t="s">
        <v>156</v>
      </c>
    </row>
    <row r="9" spans="1:8">
      <c r="A9" s="32" t="s">
        <v>39</v>
      </c>
      <c r="B9" s="33" t="s">
        <v>79</v>
      </c>
      <c r="D9" s="34" t="str">
        <f t="shared" si="0"/>
        <v>Opole</v>
      </c>
      <c r="E9" s="39" t="s">
        <v>122</v>
      </c>
      <c r="F9" s="39" t="s">
        <v>137</v>
      </c>
      <c r="G9" s="39" t="s">
        <v>171</v>
      </c>
      <c r="H9" s="33" t="s">
        <v>151</v>
      </c>
    </row>
    <row r="10" spans="1:8">
      <c r="A10" s="32" t="s">
        <v>40</v>
      </c>
      <c r="B10" s="33" t="s">
        <v>80</v>
      </c>
      <c r="D10" s="34" t="str">
        <f t="shared" si="0"/>
        <v>Istra</v>
      </c>
      <c r="E10" s="39" t="s">
        <v>123</v>
      </c>
      <c r="F10" s="39" t="s">
        <v>138</v>
      </c>
      <c r="G10" s="39" t="s">
        <v>153</v>
      </c>
      <c r="H10" s="33" t="s">
        <v>157</v>
      </c>
    </row>
    <row r="11" spans="1:8">
      <c r="A11" s="32" t="s">
        <v>115</v>
      </c>
      <c r="B11" s="33" t="s">
        <v>116</v>
      </c>
      <c r="D11" s="34" t="str">
        <f t="shared" si="0"/>
        <v>Liverpool</v>
      </c>
      <c r="E11" s="39" t="s">
        <v>124</v>
      </c>
      <c r="F11" s="39" t="s">
        <v>139</v>
      </c>
      <c r="G11" s="39" t="s">
        <v>172</v>
      </c>
      <c r="H11" s="33" t="s">
        <v>158</v>
      </c>
    </row>
    <row r="12" spans="1:8">
      <c r="A12" s="32" t="s">
        <v>41</v>
      </c>
      <c r="B12" s="33" t="s">
        <v>81</v>
      </c>
      <c r="D12" s="34" t="str">
        <f t="shared" si="0"/>
        <v>Fulda</v>
      </c>
      <c r="E12" s="39" t="s">
        <v>125</v>
      </c>
      <c r="F12" s="39" t="s">
        <v>140</v>
      </c>
      <c r="G12" s="39" t="s">
        <v>173</v>
      </c>
      <c r="H12" s="33" t="s">
        <v>159</v>
      </c>
    </row>
    <row r="13" spans="1:8">
      <c r="A13" s="32" t="s">
        <v>42</v>
      </c>
      <c r="B13" s="33" t="s">
        <v>82</v>
      </c>
      <c r="D13" s="34" t="str">
        <f t="shared" si="0"/>
        <v>Kasdorf</v>
      </c>
      <c r="E13" s="39" t="s">
        <v>126</v>
      </c>
      <c r="F13" s="39" t="s">
        <v>141</v>
      </c>
      <c r="G13" s="39" t="s">
        <v>174</v>
      </c>
      <c r="H13" s="33" t="s">
        <v>160</v>
      </c>
    </row>
    <row r="14" spans="1:8">
      <c r="A14" s="32" t="s">
        <v>43</v>
      </c>
      <c r="B14" s="33" t="s">
        <v>83</v>
      </c>
      <c r="D14" s="34" t="str">
        <f t="shared" si="0"/>
        <v>Wuxi (Nutricia Pharmaceutical)</v>
      </c>
      <c r="E14" s="39" t="s">
        <v>127</v>
      </c>
      <c r="F14" s="39" t="s">
        <v>142</v>
      </c>
      <c r="G14" s="39" t="s">
        <v>182</v>
      </c>
      <c r="H14" s="33" t="s">
        <v>161</v>
      </c>
    </row>
    <row r="15" spans="1:8">
      <c r="A15" s="32" t="s">
        <v>44</v>
      </c>
      <c r="B15" s="33" t="s">
        <v>84</v>
      </c>
      <c r="D15" s="34" t="str">
        <f t="shared" si="0"/>
        <v>Steenvoorde</v>
      </c>
      <c r="E15" s="39" t="s">
        <v>128</v>
      </c>
      <c r="F15" s="39" t="s">
        <v>143</v>
      </c>
      <c r="G15" s="39" t="s">
        <v>176</v>
      </c>
      <c r="H15" s="33" t="s">
        <v>162</v>
      </c>
    </row>
    <row r="16" spans="1:8">
      <c r="A16" s="32" t="s">
        <v>45</v>
      </c>
      <c r="B16" s="33" t="s">
        <v>85</v>
      </c>
      <c r="D16" s="34" t="str">
        <f t="shared" si="0"/>
        <v>Villefranche</v>
      </c>
      <c r="E16" s="39" t="s">
        <v>129</v>
      </c>
      <c r="F16" s="39" t="s">
        <v>144</v>
      </c>
      <c r="G16" s="39" t="s">
        <v>177</v>
      </c>
      <c r="H16" s="33" t="s">
        <v>163</v>
      </c>
    </row>
    <row r="17" spans="1:8">
      <c r="A17" s="32" t="s">
        <v>46</v>
      </c>
      <c r="B17" s="33" t="s">
        <v>86</v>
      </c>
      <c r="D17" s="34" t="str">
        <f t="shared" si="0"/>
        <v>Krueger</v>
      </c>
      <c r="E17" s="39" t="s">
        <v>130</v>
      </c>
      <c r="F17" s="39" t="s">
        <v>145</v>
      </c>
      <c r="G17" s="39" t="s">
        <v>178</v>
      </c>
      <c r="H17" s="33" t="s">
        <v>164</v>
      </c>
    </row>
    <row r="18" spans="1:8">
      <c r="A18" s="32" t="s">
        <v>47</v>
      </c>
      <c r="B18" s="33" t="s">
        <v>87</v>
      </c>
      <c r="D18" s="34" t="str">
        <f t="shared" si="0"/>
        <v>Otmuchow</v>
      </c>
      <c r="E18" s="39" t="s">
        <v>33</v>
      </c>
      <c r="F18" s="39" t="s">
        <v>146</v>
      </c>
      <c r="G18" s="39" t="s">
        <v>26</v>
      </c>
      <c r="H18" s="33" t="s">
        <v>165</v>
      </c>
    </row>
    <row r="19" spans="1:8">
      <c r="A19" s="32" t="s">
        <v>48</v>
      </c>
      <c r="B19" s="33" t="s">
        <v>88</v>
      </c>
      <c r="D19" s="34" t="str">
        <f t="shared" si="0"/>
        <v>Medical Logistics (3PS)</v>
      </c>
      <c r="E19" s="39" t="s">
        <v>131</v>
      </c>
      <c r="F19" s="39" t="s">
        <v>147</v>
      </c>
      <c r="G19" s="39" t="s">
        <v>179</v>
      </c>
      <c r="H19" s="33" t="s">
        <v>166</v>
      </c>
    </row>
    <row r="20" spans="1:8">
      <c r="A20" s="32" t="s">
        <v>49</v>
      </c>
      <c r="B20" s="33" t="s">
        <v>89</v>
      </c>
      <c r="D20" s="34" t="str">
        <f t="shared" si="0"/>
        <v>Wuxi</v>
      </c>
      <c r="E20" s="39" t="s">
        <v>132</v>
      </c>
      <c r="F20" s="39" t="s">
        <v>148</v>
      </c>
      <c r="G20" s="39" t="s">
        <v>175</v>
      </c>
      <c r="H20" s="33" t="s">
        <v>161</v>
      </c>
    </row>
    <row r="21" spans="1:8">
      <c r="A21" s="32" t="s">
        <v>50</v>
      </c>
      <c r="B21" s="33" t="s">
        <v>90</v>
      </c>
      <c r="D21" s="34" t="str">
        <f t="shared" si="0"/>
        <v/>
      </c>
      <c r="H21" s="35"/>
    </row>
    <row r="22" spans="1:8">
      <c r="A22" s="32" t="s">
        <v>51</v>
      </c>
      <c r="B22" s="33" t="s">
        <v>91</v>
      </c>
      <c r="D22" s="34" t="str">
        <f t="shared" si="0"/>
        <v/>
      </c>
      <c r="H22" s="35"/>
    </row>
    <row r="23" spans="1:8">
      <c r="A23" s="32" t="s">
        <v>52</v>
      </c>
      <c r="B23" s="33" t="s">
        <v>92</v>
      </c>
      <c r="D23" s="34" t="str">
        <f t="shared" si="0"/>
        <v/>
      </c>
      <c r="H23" s="35"/>
    </row>
    <row r="24" spans="1:8">
      <c r="A24" s="32" t="s">
        <v>53</v>
      </c>
      <c r="B24" s="33" t="s">
        <v>93</v>
      </c>
      <c r="D24" s="34" t="str">
        <f t="shared" si="0"/>
        <v/>
      </c>
      <c r="H24" s="35"/>
    </row>
    <row r="25" spans="1:8">
      <c r="A25" s="32" t="s">
        <v>54</v>
      </c>
      <c r="B25" s="33" t="s">
        <v>94</v>
      </c>
      <c r="D25" s="34" t="str">
        <f t="shared" si="0"/>
        <v/>
      </c>
      <c r="H25" s="35"/>
    </row>
    <row r="26" spans="1:8">
      <c r="A26" s="32" t="s">
        <v>55</v>
      </c>
      <c r="B26" s="33" t="s">
        <v>95</v>
      </c>
      <c r="D26" s="34" t="str">
        <f t="shared" si="0"/>
        <v/>
      </c>
      <c r="H26" s="35"/>
    </row>
    <row r="27" spans="1:8">
      <c r="A27" s="32" t="s">
        <v>56</v>
      </c>
      <c r="B27" s="33" t="s">
        <v>96</v>
      </c>
      <c r="D27" s="34" t="str">
        <f t="shared" si="0"/>
        <v/>
      </c>
      <c r="H27" s="35"/>
    </row>
    <row r="28" spans="1:8">
      <c r="A28" s="32" t="s">
        <v>57</v>
      </c>
      <c r="B28" s="33" t="s">
        <v>97</v>
      </c>
      <c r="D28" s="34" t="str">
        <f t="shared" si="0"/>
        <v/>
      </c>
      <c r="H28" s="35"/>
    </row>
    <row r="29" spans="1:8">
      <c r="A29" s="32" t="s">
        <v>58</v>
      </c>
      <c r="B29" s="33" t="s">
        <v>98</v>
      </c>
      <c r="D29" s="34" t="str">
        <f t="shared" si="0"/>
        <v/>
      </c>
      <c r="H29" s="35"/>
    </row>
    <row r="30" spans="1:8">
      <c r="A30" s="32" t="s">
        <v>59</v>
      </c>
      <c r="B30" s="33" t="s">
        <v>99</v>
      </c>
      <c r="D30" s="34" t="str">
        <f t="shared" si="0"/>
        <v/>
      </c>
      <c r="H30" s="35"/>
    </row>
    <row r="31" spans="1:8">
      <c r="A31" s="32" t="s">
        <v>60</v>
      </c>
      <c r="B31" s="33" t="s">
        <v>100</v>
      </c>
      <c r="D31" s="34" t="str">
        <f t="shared" si="0"/>
        <v/>
      </c>
      <c r="H31" s="35"/>
    </row>
    <row r="32" spans="1:8">
      <c r="A32" s="32" t="s">
        <v>61</v>
      </c>
      <c r="B32" s="33" t="s">
        <v>101</v>
      </c>
      <c r="D32" s="34" t="str">
        <f t="shared" si="0"/>
        <v/>
      </c>
      <c r="H32" s="35"/>
    </row>
    <row r="33" spans="1:8">
      <c r="A33" s="32" t="s">
        <v>62</v>
      </c>
      <c r="B33" s="33" t="s">
        <v>102</v>
      </c>
      <c r="D33" s="34" t="str">
        <f t="shared" si="0"/>
        <v/>
      </c>
      <c r="H33" s="35"/>
    </row>
    <row r="34" spans="1:8">
      <c r="A34" s="32" t="s">
        <v>63</v>
      </c>
      <c r="B34" s="33" t="s">
        <v>103</v>
      </c>
      <c r="D34" s="34" t="str">
        <f t="shared" si="0"/>
        <v/>
      </c>
      <c r="H34" s="35"/>
    </row>
    <row r="35" spans="1:8">
      <c r="A35" s="32" t="s">
        <v>64</v>
      </c>
      <c r="B35" s="33" t="s">
        <v>104</v>
      </c>
      <c r="D35" s="34" t="str">
        <f t="shared" si="0"/>
        <v/>
      </c>
      <c r="H35" s="35"/>
    </row>
    <row r="36" spans="1:8">
      <c r="A36" s="32" t="s">
        <v>65</v>
      </c>
      <c r="B36" s="33" t="s">
        <v>105</v>
      </c>
      <c r="D36" s="34" t="str">
        <f t="shared" si="0"/>
        <v/>
      </c>
      <c r="H36" s="35"/>
    </row>
    <row r="37" spans="1:8">
      <c r="A37" s="32" t="s">
        <v>66</v>
      </c>
      <c r="B37" s="33" t="s">
        <v>106</v>
      </c>
      <c r="D37" s="34" t="str">
        <f t="shared" si="0"/>
        <v/>
      </c>
      <c r="H37" s="35"/>
    </row>
    <row r="38" spans="1:8">
      <c r="A38" s="32" t="s">
        <v>67</v>
      </c>
      <c r="B38" s="33" t="s">
        <v>107</v>
      </c>
      <c r="D38" s="34" t="str">
        <f t="shared" si="0"/>
        <v/>
      </c>
      <c r="H38" s="35"/>
    </row>
    <row r="39" spans="1:8">
      <c r="A39" s="32" t="s">
        <v>68</v>
      </c>
      <c r="B39" s="33" t="s">
        <v>108</v>
      </c>
      <c r="D39" s="34" t="str">
        <f t="shared" si="0"/>
        <v/>
      </c>
      <c r="H39" s="35"/>
    </row>
    <row r="40" spans="1:8" ht="17.25" thickBot="1">
      <c r="A40" s="32" t="s">
        <v>69</v>
      </c>
      <c r="B40" s="33" t="s">
        <v>109</v>
      </c>
      <c r="D40" s="36" t="str">
        <f t="shared" si="0"/>
        <v/>
      </c>
      <c r="E40" s="40"/>
      <c r="F40" s="40"/>
      <c r="G40" s="40"/>
      <c r="H40" s="37"/>
    </row>
    <row r="41" spans="1:8">
      <c r="A41" s="32" t="s">
        <v>70</v>
      </c>
      <c r="B41" s="33" t="s">
        <v>110</v>
      </c>
    </row>
    <row r="42" spans="1:8">
      <c r="A42" s="32" t="s">
        <v>71</v>
      </c>
      <c r="B42" s="33" t="s">
        <v>111</v>
      </c>
    </row>
    <row r="43" spans="1:8">
      <c r="A43" s="32" t="s">
        <v>72</v>
      </c>
      <c r="B43" s="33" t="s">
        <v>112</v>
      </c>
    </row>
    <row r="44" spans="1:8">
      <c r="A44" s="32" t="s">
        <v>73</v>
      </c>
      <c r="B44" s="33" t="s">
        <v>113</v>
      </c>
    </row>
    <row r="45" spans="1:8">
      <c r="A45" s="32" t="s">
        <v>74</v>
      </c>
      <c r="B45" s="33" t="s">
        <v>114</v>
      </c>
    </row>
    <row r="46" spans="1:8">
      <c r="A46" s="34" t="s">
        <v>192</v>
      </c>
      <c r="B46" s="35" t="s">
        <v>193</v>
      </c>
    </row>
    <row r="47" spans="1:8">
      <c r="A47" s="34"/>
      <c r="B47" s="35"/>
    </row>
    <row r="48" spans="1:8">
      <c r="A48" s="34"/>
      <c r="B48" s="35"/>
    </row>
    <row r="49" spans="1:2">
      <c r="A49" s="34"/>
      <c r="B49" s="35"/>
    </row>
    <row r="50" spans="1:2">
      <c r="A50" s="34"/>
      <c r="B50" s="35"/>
    </row>
    <row r="51" spans="1:2">
      <c r="A51" s="34"/>
      <c r="B51" s="35"/>
    </row>
    <row r="52" spans="1:2">
      <c r="A52" s="34"/>
      <c r="B52" s="35"/>
    </row>
    <row r="53" spans="1:2">
      <c r="A53" s="34"/>
      <c r="B53" s="35"/>
    </row>
    <row r="54" spans="1:2">
      <c r="A54" s="34"/>
      <c r="B54" s="35"/>
    </row>
    <row r="55" spans="1:2">
      <c r="A55" s="34"/>
      <c r="B55" s="35"/>
    </row>
    <row r="56" spans="1:2">
      <c r="A56" s="34"/>
      <c r="B56" s="35"/>
    </row>
    <row r="57" spans="1:2">
      <c r="A57" s="34"/>
      <c r="B57" s="35"/>
    </row>
    <row r="58" spans="1:2">
      <c r="A58" s="34"/>
      <c r="B58" s="35"/>
    </row>
    <row r="59" spans="1:2">
      <c r="A59" s="34"/>
      <c r="B59" s="35"/>
    </row>
    <row r="60" spans="1:2">
      <c r="A60" s="34"/>
      <c r="B60" s="35"/>
    </row>
    <row r="61" spans="1:2">
      <c r="A61" s="34"/>
      <c r="B61" s="35"/>
    </row>
    <row r="62" spans="1:2">
      <c r="A62" s="34"/>
      <c r="B62" s="35"/>
    </row>
    <row r="63" spans="1:2">
      <c r="A63" s="34"/>
      <c r="B63" s="35"/>
    </row>
    <row r="64" spans="1:2">
      <c r="A64" s="34"/>
      <c r="B64" s="35"/>
    </row>
    <row r="65" spans="1:2">
      <c r="A65" s="34"/>
      <c r="B65" s="35"/>
    </row>
    <row r="66" spans="1:2">
      <c r="A66" s="34"/>
      <c r="B66" s="35"/>
    </row>
    <row r="67" spans="1:2">
      <c r="A67" s="34"/>
      <c r="B67" s="35"/>
    </row>
    <row r="68" spans="1:2">
      <c r="A68" s="34"/>
      <c r="B68" s="35"/>
    </row>
    <row r="69" spans="1:2">
      <c r="A69" s="34"/>
      <c r="B69" s="35"/>
    </row>
    <row r="70" spans="1:2">
      <c r="A70" s="34"/>
      <c r="B70" s="35"/>
    </row>
    <row r="71" spans="1:2">
      <c r="A71" s="34"/>
      <c r="B71" s="35"/>
    </row>
    <row r="72" spans="1:2">
      <c r="A72" s="34"/>
      <c r="B72" s="35"/>
    </row>
    <row r="73" spans="1:2">
      <c r="A73" s="34"/>
      <c r="B73" s="35"/>
    </row>
    <row r="74" spans="1:2">
      <c r="A74" s="34"/>
      <c r="B74" s="35"/>
    </row>
    <row r="75" spans="1:2">
      <c r="A75" s="34"/>
      <c r="B75" s="35"/>
    </row>
    <row r="76" spans="1:2">
      <c r="A76" s="34"/>
      <c r="B76" s="35"/>
    </row>
    <row r="77" spans="1:2">
      <c r="A77" s="34"/>
      <c r="B77" s="35"/>
    </row>
    <row r="78" spans="1:2">
      <c r="A78" s="34"/>
      <c r="B78" s="35"/>
    </row>
    <row r="79" spans="1:2">
      <c r="A79" s="34"/>
      <c r="B79" s="35"/>
    </row>
    <row r="80" spans="1:2">
      <c r="A80" s="34"/>
      <c r="B80" s="35"/>
    </row>
    <row r="81" spans="1:2">
      <c r="A81" s="34"/>
      <c r="B81" s="35"/>
    </row>
    <row r="82" spans="1:2">
      <c r="A82" s="34"/>
      <c r="B82" s="35"/>
    </row>
    <row r="83" spans="1:2">
      <c r="A83" s="34"/>
      <c r="B83" s="35"/>
    </row>
    <row r="84" spans="1:2">
      <c r="A84" s="34"/>
      <c r="B84" s="35"/>
    </row>
    <row r="85" spans="1:2">
      <c r="A85" s="34"/>
      <c r="B85" s="35"/>
    </row>
    <row r="86" spans="1:2">
      <c r="A86" s="34"/>
      <c r="B86" s="35"/>
    </row>
    <row r="87" spans="1:2">
      <c r="A87" s="34"/>
      <c r="B87" s="35"/>
    </row>
    <row r="88" spans="1:2">
      <c r="A88" s="34"/>
      <c r="B88" s="35"/>
    </row>
    <row r="89" spans="1:2">
      <c r="A89" s="34"/>
      <c r="B89" s="35"/>
    </row>
    <row r="90" spans="1:2">
      <c r="A90" s="34"/>
      <c r="B90" s="35"/>
    </row>
    <row r="91" spans="1:2">
      <c r="A91" s="34"/>
      <c r="B91" s="35"/>
    </row>
    <row r="92" spans="1:2">
      <c r="A92" s="34"/>
      <c r="B92" s="35"/>
    </row>
    <row r="93" spans="1:2">
      <c r="A93" s="34"/>
      <c r="B93" s="35"/>
    </row>
    <row r="94" spans="1:2">
      <c r="A94" s="34"/>
      <c r="B94" s="35"/>
    </row>
    <row r="95" spans="1:2">
      <c r="A95" s="34"/>
      <c r="B95" s="35"/>
    </row>
    <row r="96" spans="1:2">
      <c r="A96" s="34"/>
      <c r="B96" s="35"/>
    </row>
    <row r="97" spans="1:2">
      <c r="A97" s="34"/>
      <c r="B97" s="35"/>
    </row>
    <row r="98" spans="1:2">
      <c r="A98" s="34"/>
      <c r="B98" s="35"/>
    </row>
    <row r="99" spans="1:2">
      <c r="A99" s="34"/>
      <c r="B99" s="35"/>
    </row>
    <row r="100" spans="1:2">
      <c r="A100" s="34"/>
      <c r="B100" s="35"/>
    </row>
    <row r="101" spans="1:2">
      <c r="A101" s="34"/>
      <c r="B101" s="35"/>
    </row>
    <row r="102" spans="1:2">
      <c r="A102" s="34"/>
      <c r="B102" s="35"/>
    </row>
    <row r="103" spans="1:2">
      <c r="A103" s="34"/>
      <c r="B103" s="35"/>
    </row>
    <row r="104" spans="1:2" ht="17.25" thickBot="1">
      <c r="A104" s="36"/>
      <c r="B104" s="37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5</vt:i4>
      </vt:variant>
    </vt:vector>
  </HeadingPairs>
  <TitlesOfParts>
    <vt:vector size="7" baseType="lpstr">
      <vt:lpstr>Order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SCM</cp:lastModifiedBy>
  <cp:lastPrinted>2014-05-01T13:42:50Z</cp:lastPrinted>
  <dcterms:created xsi:type="dcterms:W3CDTF">2014-04-29T09:00:29Z</dcterms:created>
  <dcterms:modified xsi:type="dcterms:W3CDTF">2024-07-02T01:50:21Z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
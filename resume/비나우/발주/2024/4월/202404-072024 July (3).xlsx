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55.100\Nutricia\99. Sales\김영훈\뉴트리시아\직구\발주\"/>
    </mc:Choice>
  </mc:AlternateContent>
  <xr:revisionPtr revIDLastSave="0" documentId="13_ncr:1_{F39DAEBF-3C3F-4A4B-ADE2-FADE70539C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Order!$A$16:$M$36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0" i="1" l="1"/>
  <c r="I40" i="1"/>
  <c r="J39" i="1"/>
  <c r="I39" i="1"/>
  <c r="F40" i="1" l="1"/>
  <c r="F39" i="1"/>
  <c r="E40" i="1"/>
  <c r="E39" i="1"/>
  <c r="J38" i="1"/>
  <c r="I38" i="1"/>
  <c r="J37" i="1"/>
  <c r="I37" i="1"/>
  <c r="F38" i="1" l="1"/>
  <c r="F37" i="1"/>
  <c r="E38" i="1"/>
  <c r="E37" i="1"/>
  <c r="I26" i="1"/>
  <c r="I27" i="1"/>
  <c r="I28" i="1"/>
  <c r="I29" i="1"/>
  <c r="I24" i="1" l="1"/>
  <c r="I25" i="1"/>
  <c r="I2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J30" i="1" l="1"/>
  <c r="J32" i="1"/>
  <c r="J31" i="1"/>
  <c r="I36" i="1" l="1"/>
  <c r="I35" i="1"/>
  <c r="I34" i="1"/>
  <c r="I33" i="1"/>
  <c r="I32" i="1"/>
  <c r="I31" i="1"/>
  <c r="I30" i="1"/>
  <c r="J36" i="1"/>
  <c r="J35" i="1"/>
  <c r="J34" i="1"/>
  <c r="J33" i="1"/>
  <c r="M36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F17" i="1"/>
  <c r="E18" i="1"/>
  <c r="E19" i="1"/>
  <c r="E17" i="1"/>
  <c r="M22" i="1"/>
  <c r="M30" i="1"/>
  <c r="M32" i="1"/>
  <c r="M33" i="1"/>
  <c r="M34" i="1"/>
  <c r="M19" i="1"/>
  <c r="M21" i="1" l="1"/>
  <c r="M35" i="1"/>
  <c r="M31" i="1"/>
  <c r="M18" i="1"/>
  <c r="M20" i="1"/>
  <c r="F19" i="1"/>
  <c r="F18" i="1"/>
  <c r="F22" i="1"/>
  <c r="F21" i="1"/>
  <c r="E21" i="1"/>
  <c r="F20" i="1"/>
  <c r="E20" i="1"/>
  <c r="M17" i="1" l="1"/>
</calcChain>
</file>

<file path=xl/sharedStrings.xml><?xml version="1.0" encoding="utf-8"?>
<sst xmlns="http://schemas.openxmlformats.org/spreadsheetml/2006/main" count="296" uniqueCount="258">
  <si>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</si>
  <si>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</si>
  <si>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</si>
  <si>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</si>
  <si>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</si>
  <si>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</si>
  <si>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</si>
  <si>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</si>
  <si>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</si>
  <si>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</si>
  <si>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</si>
  <si>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</si>
  <si>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</si>
  <si>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</si>
  <si>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</si>
  <si>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</si>
  <si>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</si>
  <si>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</si>
  <si>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</si>
  <si>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</si>
  <si>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</si>
  <si>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</si>
  <si>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</si>
  <si>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</si>
  <si>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</si>
  <si>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</si>
  <si>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</si>
  <si>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</si>
  <si>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</si>
  <si>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</si>
  <si>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</si>
  <si>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</si>
  <si>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</si>
  <si>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</si>
  <si>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</si>
  <si>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</si>
  <si>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</si>
  <si>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</si>
  <si>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</si>
  <si>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</si>
  <si>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</si>
  <si>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</si>
  <si>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</si>
  <si>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</si>
  <si>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</si>
  <si>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</si>
  <si>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</si>
  <si>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</si>
  <si>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</si>
  <si>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</si>
  <si>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</si>
  <si>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</si>
  <si>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</si>
  <si>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</si>
  <si>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</si>
  <si>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</si>
  <si>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</si>
  <si>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</si>
  <si>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</si>
  <si>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</si>
  <si>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</si>
  <si>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</si>
  <si>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</si>
  <si>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</si>
  <si>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</si>
  <si>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</si>
  <si>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</si>
  <si>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</si>
  <si>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</si>
  <si>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</si>
  <si>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</si>
  <si>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</si>
  <si>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</si>
  <si>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</si>
  <si>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</si>
  <si>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</si>
  <si>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</si>
  <si>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</si>
  <si>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</si>
  <si>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</si>
  <si>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</si>
  <si>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</si>
  <si>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</si>
  <si>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</si>
  <si>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</si>
  <si>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</si>
  <si>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</si>
  <si>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</si>
  <si>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</si>
  <si>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</si>
  <si>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</si>
  <si>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</si>
  <si>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</si>
  <si>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</si>
  <si>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</si>
  <si>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</si>
  <si>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</si>
  <si>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</si>
  <si>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</si>
  <si>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</si>
  <si>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</si>
  <si>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</si>
  <si>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</si>
  <si>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</si>
  <si>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</si>
  <si>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</si>
  <si>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</si>
  <si>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</si>
  <si>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</si>
  <si>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</si>
  <si>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</si>
  <si>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</si>
  <si>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</si>
  <si>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</si>
  <si>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</si>
  <si>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</si>
  <si>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</si>
  <si>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</si>
  <si>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</si>
  <si>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</si>
  <si>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</si>
  <si>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</si>
  <si>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</si>
  <si>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</si>
  <si>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</si>
  <si>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</si>
  <si>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</si>
  <si>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</si>
  <si>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</si>
  <si>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</si>
  <si>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</si>
  <si>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</si>
  <si>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</si>
  <si>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</si>
  <si>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</si>
  <si>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</si>
  <si>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</si>
  <si>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</si>
  <si>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</si>
  <si>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</si>
  <si>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</si>
  <si>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</si>
  <si>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</si>
  <si>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</si>
  <si>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</si>
  <si>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</si>
  <si>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</si>
  <si>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</si>
  <si>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</si>
  <si>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</si>
  <si>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</si>
  <si>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</si>
  <si>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</si>
  <si>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</si>
  <si>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</si>
  <si>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</si>
  <si>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</si>
  <si>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</si>
  <si>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</si>
  <si>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</si>
  <si>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</si>
  <si>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</si>
  <si>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</si>
  <si>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</si>
  <si>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</si>
  <si>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</si>
  <si>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</si>
  <si>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</si>
  <si>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</si>
  <si>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</si>
  <si>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</si>
  <si>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</si>
  <si>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</si>
  <si>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</si>
  <si>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</si>
  <si>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</si>
  <si>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</si>
  <si>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</si>
  <si>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</si>
  <si>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</si>
  <si>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</si>
  <si>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</si>
  <si>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</si>
  <si>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</si>
  <si>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</si>
  <si>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</si>
  <si>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</si>
  <si>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</si>
  <si>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</si>
  <si>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</si>
  <si>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</si>
  <si>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</si>
  <si>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</si>
  <si>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</si>
  <si>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</si>
  <si>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</si>
  <si>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</si>
  <si>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</si>
  <si>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</si>
  <si>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</si>
  <si>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</si>
  <si>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</si>
  <si>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</si>
  <si>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</si>
  <si>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</si>
  <si>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</si>
  <si>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</si>
  <si>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</si>
  <si>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</si>
  <si>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</si>
  <si>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</si>
  <si>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</si>
  <si>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</si>
  <si>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</si>
  <si>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</si>
  <si>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</si>
  <si>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</si>
  <si>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</si>
  <si>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</si>
  <si>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</si>
  <si>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</si>
  <si>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</si>
  <si>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</si>
  <si>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</si>
  <si>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</si>
  <si>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</si>
  <si>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</si>
  <si>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</si>
  <si>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</si>
  <si>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</si>
  <si>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</si>
  <si>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</si>
  <si>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</si>
  <si>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</si>
  <si>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</si>
  <si>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</si>
  <si>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</si>
  <si>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</si>
  <si>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</si>
  <si>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</si>
  <si>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</si>
  <si>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</si>
  <si>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</si>
  <si>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</si>
  <si>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</si>
  <si>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</si>
  <si>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</si>
  <si>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</si>
  <si>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</si>
  <si>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</si>
  <si>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</si>
  <si>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</si>
  <si>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 xml:space="preserve">Krone - South Korea </t>
  </si>
  <si>
    <t>APTAMIL AR 1 ENG 24X400G</t>
  </si>
  <si>
    <t>APTAMIL COMF 1 ESC 24X400GEXPORT</t>
  </si>
  <si>
    <t>07/26/2024</t>
  </si>
  <si>
    <t>July</t>
  </si>
  <si>
    <t>W/F/07/2024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</si>
</sst>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41" fontId="0" fillId="2" borderId="0" xfId="0" applyNumberFormat="1" applyFill="1"/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zoomScale="70" zoomScaleNormal="70" workbookViewId="0">
      <selection activeCell="K26" sqref="K26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6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19" ht="17.25">
      <c r="A1" s="29" t="s">
        <v>252</v>
      </c>
      <c r="B1" s="18"/>
    </row>
    <row r="2" spans="1:19">
      <c r="A2" s="39" t="s">
        <v>28</v>
      </c>
      <c r="B2" s="39" t="s">
        <v>192</v>
      </c>
    </row>
    <row r="3" spans="1:19">
      <c r="A3" s="2" t="s">
        <v>0</v>
      </c>
      <c r="B3" s="32">
        <v>72858</v>
      </c>
    </row>
    <row r="4" spans="1:19">
      <c r="A4" s="2" t="s">
        <v>16</v>
      </c>
      <c r="B4" s="19" t="s">
        <v>17</v>
      </c>
    </row>
    <row r="5" spans="1:19">
      <c r="A5" s="2" t="s">
        <v>30</v>
      </c>
      <c r="B5" s="57" t="s">
        <v>255</v>
      </c>
    </row>
    <row r="6" spans="1:19">
      <c r="A6" s="2" t="s">
        <v>1</v>
      </c>
      <c r="B6" s="17" t="s">
        <v>256</v>
      </c>
      <c r="C6" s="9"/>
    </row>
    <row r="7" spans="1:19">
      <c r="A7" s="2" t="s">
        <v>2</v>
      </c>
      <c r="B7" s="19" t="s">
        <v>257</v>
      </c>
      <c r="C7"/>
    </row>
    <row r="8" spans="1:19">
      <c r="A8" s="2" t="s">
        <v>3</v>
      </c>
      <c r="B8" s="20" t="s">
        <v>12</v>
      </c>
    </row>
    <row r="9" spans="1:19">
      <c r="A9" s="2" t="s">
        <v>4</v>
      </c>
      <c r="B9" s="21" t="s">
        <v>24</v>
      </c>
    </row>
    <row r="10" spans="1:19">
      <c r="A10" s="2" t="s">
        <v>5</v>
      </c>
      <c r="B10" s="20" t="s">
        <v>18</v>
      </c>
    </row>
    <row r="11" spans="1:19">
      <c r="A11" s="2" t="s">
        <v>11</v>
      </c>
      <c r="B11" s="15" t="s">
        <v>25</v>
      </c>
    </row>
    <row r="12" spans="1:19">
      <c r="A12" s="10" t="s">
        <v>15</v>
      </c>
      <c r="B12" s="25">
        <v>1</v>
      </c>
    </row>
    <row r="13" spans="1:19">
      <c r="A13" s="10" t="s">
        <v>21</v>
      </c>
      <c r="B13" s="24">
        <v>1</v>
      </c>
      <c r="C13"/>
    </row>
    <row r="14" spans="1:19">
      <c r="A14" s="11"/>
    </row>
    <row r="15" spans="1:19" ht="17.25" thickBot="1"/>
    <row r="16" spans="1:19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4" t="s">
        <v>31</v>
      </c>
      <c r="F16" s="44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O16" s="72" t="s">
        <v>209</v>
      </c>
      <c r="P16" s="73" t="s">
        <v>210</v>
      </c>
      <c r="Q16" s="73" t="s">
        <v>211</v>
      </c>
      <c r="R16" s="73" t="s">
        <v>212</v>
      </c>
      <c r="S16" s="73" t="s">
        <v>213</v>
      </c>
    </row>
    <row r="17" spans="1:19" ht="17.25" thickBot="1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/>
      <c r="J17" s="52">
        <f t="shared" ref="J17:J29" si="0">IF(G17="","",K17/G17)</f>
        <v>0</v>
      </c>
      <c r="K17" s="52"/>
      <c r="L17" s="11"/>
      <c r="M17" s="1">
        <f t="shared" ref="M17:M19" si="1">K17*24</f>
        <v>0</v>
      </c>
      <c r="O17" s="82" t="s">
        <v>214</v>
      </c>
      <c r="P17" s="74" t="s">
        <v>215</v>
      </c>
      <c r="Q17" s="75" t="s">
        <v>216</v>
      </c>
      <c r="R17" s="75" t="s">
        <v>217</v>
      </c>
      <c r="S17" s="75" t="s">
        <v>218</v>
      </c>
    </row>
    <row r="18" spans="1:19" ht="17.25" thickBot="1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/>
      <c r="J18" s="52">
        <f t="shared" si="0"/>
        <v>0</v>
      </c>
      <c r="K18" s="52"/>
      <c r="L18" s="13"/>
      <c r="M18" s="1">
        <f t="shared" si="1"/>
        <v>0</v>
      </c>
      <c r="O18" s="83"/>
      <c r="P18" s="74" t="s">
        <v>219</v>
      </c>
      <c r="Q18" s="75" t="s">
        <v>220</v>
      </c>
      <c r="R18" s="75" t="s">
        <v>221</v>
      </c>
      <c r="S18" s="75" t="s">
        <v>222</v>
      </c>
    </row>
    <row r="19" spans="1:19" ht="17.25" thickBot="1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/>
      <c r="J19" s="52">
        <f t="shared" si="0"/>
        <v>0</v>
      </c>
      <c r="K19" s="52"/>
      <c r="M19" s="1">
        <f t="shared" si="1"/>
        <v>0</v>
      </c>
      <c r="O19" s="83"/>
      <c r="P19" s="74" t="s">
        <v>223</v>
      </c>
      <c r="Q19" s="75" t="s">
        <v>224</v>
      </c>
      <c r="R19" s="75" t="s">
        <v>225</v>
      </c>
      <c r="S19" s="75" t="s">
        <v>226</v>
      </c>
    </row>
    <row r="20" spans="1:19" ht="17.25" thickBot="1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/>
      <c r="I20" s="27"/>
      <c r="J20" s="52">
        <f t="shared" si="0"/>
        <v>0</v>
      </c>
      <c r="K20" s="52"/>
      <c r="M20" s="1">
        <f t="shared" ref="M20:M30" si="2">K20*7</f>
        <v>0</v>
      </c>
      <c r="O20" s="83"/>
      <c r="P20" s="74" t="s">
        <v>227</v>
      </c>
      <c r="Q20" s="75" t="s">
        <v>228</v>
      </c>
      <c r="R20" s="75" t="s">
        <v>229</v>
      </c>
      <c r="S20" s="75" t="s">
        <v>230</v>
      </c>
    </row>
    <row r="21" spans="1:19" ht="17.25" thickBot="1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/>
      <c r="I21" s="27"/>
      <c r="J21" s="52">
        <f t="shared" si="0"/>
        <v>0</v>
      </c>
      <c r="K21" s="52"/>
      <c r="M21" s="1">
        <f t="shared" si="2"/>
        <v>0</v>
      </c>
      <c r="O21" s="84"/>
      <c r="P21" s="74" t="s">
        <v>231</v>
      </c>
      <c r="Q21" s="75" t="s">
        <v>232</v>
      </c>
      <c r="R21" s="75" t="s">
        <v>233</v>
      </c>
      <c r="S21" s="75" t="s">
        <v>234</v>
      </c>
    </row>
    <row r="22" spans="1:19" ht="17.25" thickBot="1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/>
      <c r="J22" s="52">
        <f t="shared" si="0"/>
        <v>0</v>
      </c>
      <c r="K22" s="52"/>
      <c r="L22"/>
      <c r="M22" s="1">
        <f t="shared" si="2"/>
        <v>0</v>
      </c>
      <c r="O22" s="82" t="s">
        <v>235</v>
      </c>
      <c r="P22" s="76" t="s">
        <v>236</v>
      </c>
      <c r="Q22" s="75" t="s">
        <v>248</v>
      </c>
      <c r="R22" s="75" t="s">
        <v>249</v>
      </c>
      <c r="S22" s="75" t="s">
        <v>234</v>
      </c>
    </row>
    <row r="23" spans="1:19" ht="17.25" thickBot="1">
      <c r="A23" s="63">
        <v>677044</v>
      </c>
      <c r="B23" s="63" t="s">
        <v>202</v>
      </c>
      <c r="C23" s="64">
        <v>800</v>
      </c>
      <c r="D23" s="64" t="s">
        <v>173</v>
      </c>
      <c r="E23" s="65" t="str">
        <f>VLOOKUP($D23,'[1]Lookup info'!$D:$H,2,FALSE)</f>
        <v>0120</v>
      </c>
      <c r="F23" s="65" t="str">
        <f>VLOOKUP($D23,'[1]Lookup info'!$D:$H,5,FALSE)</f>
        <v>F</v>
      </c>
      <c r="G23" s="69">
        <v>96</v>
      </c>
      <c r="H23" s="27">
        <v>38</v>
      </c>
      <c r="I23" s="27">
        <f>H23*G23</f>
        <v>3648</v>
      </c>
      <c r="J23" s="52">
        <f t="shared" si="0"/>
        <v>10</v>
      </c>
      <c r="K23" s="52">
        <v>960</v>
      </c>
      <c r="L23"/>
      <c r="O23" s="83"/>
      <c r="P23" s="76" t="s">
        <v>237</v>
      </c>
      <c r="Q23" s="75" t="s">
        <v>248</v>
      </c>
      <c r="R23" s="75" t="s">
        <v>249</v>
      </c>
      <c r="S23" s="75" t="s">
        <v>234</v>
      </c>
    </row>
    <row r="24" spans="1:19" ht="17.25" thickBot="1">
      <c r="A24" s="63">
        <v>677045</v>
      </c>
      <c r="B24" s="63" t="s">
        <v>203</v>
      </c>
      <c r="C24" s="64">
        <v>800</v>
      </c>
      <c r="D24" s="64" t="s">
        <v>173</v>
      </c>
      <c r="E24" s="65" t="str">
        <f>VLOOKUP($D24,'[1]Lookup info'!$D:$H,2,FALSE)</f>
        <v>0120</v>
      </c>
      <c r="F24" s="65" t="str">
        <f>VLOOKUP($D24,'[1]Lookup info'!$D:$H,5,FALSE)</f>
        <v>F</v>
      </c>
      <c r="G24" s="69">
        <v>96</v>
      </c>
      <c r="H24" s="27">
        <v>42</v>
      </c>
      <c r="I24" s="27">
        <f t="shared" ref="I24:I29" si="3">H24*G24</f>
        <v>4032</v>
      </c>
      <c r="J24" s="52">
        <f t="shared" si="0"/>
        <v>26</v>
      </c>
      <c r="K24" s="52">
        <v>2496</v>
      </c>
      <c r="L24"/>
      <c r="O24" s="83"/>
      <c r="P24" s="76" t="s">
        <v>238</v>
      </c>
      <c r="Q24" s="75" t="s">
        <v>239</v>
      </c>
      <c r="R24" s="75" t="s">
        <v>240</v>
      </c>
      <c r="S24" s="75" t="s">
        <v>241</v>
      </c>
    </row>
    <row r="25" spans="1:19" ht="17.25" thickBot="1">
      <c r="A25" s="63">
        <v>677047</v>
      </c>
      <c r="B25" s="63" t="s">
        <v>204</v>
      </c>
      <c r="C25" s="64">
        <v>800</v>
      </c>
      <c r="D25" s="64" t="s">
        <v>173</v>
      </c>
      <c r="E25" s="65" t="str">
        <f>VLOOKUP($D25,'[1]Lookup info'!$D:$H,2,FALSE)</f>
        <v>0120</v>
      </c>
      <c r="F25" s="65" t="str">
        <f>VLOOKUP($D25,'[1]Lookup info'!$D:$H,5,FALSE)</f>
        <v>F</v>
      </c>
      <c r="G25" s="69">
        <v>96</v>
      </c>
      <c r="H25" s="27"/>
      <c r="I25" s="27">
        <f t="shared" si="3"/>
        <v>0</v>
      </c>
      <c r="J25" s="52">
        <f t="shared" si="0"/>
        <v>30</v>
      </c>
      <c r="K25" s="52">
        <v>2880</v>
      </c>
      <c r="L25"/>
      <c r="O25" s="84"/>
      <c r="P25" s="76" t="s">
        <v>231</v>
      </c>
      <c r="Q25" s="75" t="s">
        <v>242</v>
      </c>
      <c r="R25" s="75" t="s">
        <v>243</v>
      </c>
      <c r="S25" s="75" t="s">
        <v>244</v>
      </c>
    </row>
    <row r="26" spans="1:19" ht="17.25" thickBot="1">
      <c r="A26" s="63">
        <v>673676</v>
      </c>
      <c r="B26" s="63" t="s">
        <v>205</v>
      </c>
      <c r="C26" s="64">
        <v>800</v>
      </c>
      <c r="D26" s="64" t="s">
        <v>169</v>
      </c>
      <c r="E26" s="65" t="str">
        <f>VLOOKUP($D26,'[1]Lookup info'!$D:$H,2,FALSE)</f>
        <v>0023</v>
      </c>
      <c r="F26" s="65" t="str">
        <f>VLOOKUP($D26,'[1]Lookup info'!$D:$H,5,FALSE)</f>
        <v>W</v>
      </c>
      <c r="G26" s="69">
        <v>45</v>
      </c>
      <c r="H26" s="27"/>
      <c r="I26" s="27">
        <f t="shared" si="3"/>
        <v>0</v>
      </c>
      <c r="J26" s="52">
        <f t="shared" si="0"/>
        <v>0</v>
      </c>
      <c r="K26" s="52"/>
      <c r="L26"/>
      <c r="N26" s="71"/>
      <c r="O26" s="70"/>
      <c r="P26" s="70"/>
      <c r="Q26" s="77" t="s">
        <v>245</v>
      </c>
      <c r="R26" s="75" t="s">
        <v>246</v>
      </c>
      <c r="S26" s="75" t="s">
        <v>247</v>
      </c>
    </row>
    <row r="27" spans="1:19">
      <c r="A27" s="63">
        <v>673674</v>
      </c>
      <c r="B27" s="63" t="s">
        <v>206</v>
      </c>
      <c r="C27" s="64">
        <v>800</v>
      </c>
      <c r="D27" s="64" t="s">
        <v>169</v>
      </c>
      <c r="E27" s="65" t="str">
        <f>VLOOKUP($D27,'[1]Lookup info'!$D:$H,2,FALSE)</f>
        <v>0023</v>
      </c>
      <c r="F27" s="65" t="str">
        <f>VLOOKUP($D27,'[1]Lookup info'!$D:$H,5,FALSE)</f>
        <v>W</v>
      </c>
      <c r="G27" s="69">
        <v>45</v>
      </c>
      <c r="H27" s="27"/>
      <c r="I27" s="27">
        <f t="shared" si="3"/>
        <v>0</v>
      </c>
      <c r="J27" s="52">
        <f t="shared" si="0"/>
        <v>0</v>
      </c>
      <c r="K27" s="52"/>
      <c r="L27"/>
      <c r="O27" s="70"/>
      <c r="P27" s="70"/>
      <c r="Q27" s="70"/>
      <c r="R27" s="70"/>
      <c r="S27" s="70"/>
    </row>
    <row r="28" spans="1:19">
      <c r="A28" s="66">
        <v>673672</v>
      </c>
      <c r="B28" s="66" t="s">
        <v>207</v>
      </c>
      <c r="C28" s="67">
        <v>800</v>
      </c>
      <c r="D28" s="67" t="s">
        <v>169</v>
      </c>
      <c r="E28" s="68" t="str">
        <f>VLOOKUP($D28,'[1]Lookup info'!$D:$H,2,FALSE)</f>
        <v>0023</v>
      </c>
      <c r="F28" s="68" t="str">
        <f>VLOOKUP($D28,'[1]Lookup info'!$D:$H,5,FALSE)</f>
        <v>W</v>
      </c>
      <c r="G28" s="69">
        <v>45</v>
      </c>
      <c r="H28" s="27"/>
      <c r="I28" s="27">
        <f t="shared" si="3"/>
        <v>0</v>
      </c>
      <c r="J28" s="52">
        <f t="shared" si="0"/>
        <v>22</v>
      </c>
      <c r="K28" s="52">
        <v>990</v>
      </c>
      <c r="L28"/>
    </row>
    <row r="29" spans="1:19">
      <c r="A29" s="66">
        <v>673641</v>
      </c>
      <c r="B29" s="66" t="s">
        <v>208</v>
      </c>
      <c r="C29" s="67">
        <v>800</v>
      </c>
      <c r="D29" s="67" t="s">
        <v>169</v>
      </c>
      <c r="E29" s="68" t="str">
        <f>VLOOKUP($D29,'[1]Lookup info'!$D:$H,2,FALSE)</f>
        <v>0023</v>
      </c>
      <c r="F29" s="68" t="str">
        <f>VLOOKUP($D29,'[1]Lookup info'!$D:$H,5,FALSE)</f>
        <v>W</v>
      </c>
      <c r="G29" s="69">
        <v>45</v>
      </c>
      <c r="H29" s="27"/>
      <c r="I29" s="27">
        <f t="shared" si="3"/>
        <v>0</v>
      </c>
      <c r="J29" s="52">
        <f t="shared" si="0"/>
        <v>0</v>
      </c>
      <c r="K29" s="52"/>
      <c r="L29"/>
    </row>
    <row r="30" spans="1:19">
      <c r="A30" s="58" t="s">
        <v>194</v>
      </c>
      <c r="B30" s="58" t="s">
        <v>188</v>
      </c>
      <c r="C30" s="59">
        <v>800</v>
      </c>
      <c r="D30" s="59" t="s">
        <v>169</v>
      </c>
      <c r="E30" s="60" t="str">
        <f>VLOOKUP($D30,'Lookup info'!$D:$H,2,FALSE)</f>
        <v>0023</v>
      </c>
      <c r="F30" s="60" t="str">
        <f>VLOOKUP($D30,'Lookup info'!$D:$H,5,FALSE)</f>
        <v>W</v>
      </c>
      <c r="G30" s="61">
        <v>144</v>
      </c>
      <c r="H30" s="62"/>
      <c r="I30" s="62">
        <f t="shared" ref="I30:I36" si="4">H30*G30</f>
        <v>0</v>
      </c>
      <c r="J30" s="52">
        <f t="shared" ref="J30" si="5">IF(G30="","",K30/G30)</f>
        <v>0</v>
      </c>
      <c r="K30" s="52"/>
      <c r="L30" s="14"/>
      <c r="M30" s="14">
        <f t="shared" si="2"/>
        <v>0</v>
      </c>
      <c r="O30" s="56"/>
    </row>
    <row r="31" spans="1:19">
      <c r="A31" s="58" t="s">
        <v>195</v>
      </c>
      <c r="B31" s="58" t="s">
        <v>189</v>
      </c>
      <c r="C31" s="59">
        <v>800</v>
      </c>
      <c r="D31" s="59" t="s">
        <v>169</v>
      </c>
      <c r="E31" s="60" t="str">
        <f>VLOOKUP($D31,'Lookup info'!$D:$H,2,FALSE)</f>
        <v>0023</v>
      </c>
      <c r="F31" s="60" t="str">
        <f>VLOOKUP($D31,'Lookup info'!$D:$H,5,FALSE)</f>
        <v>W</v>
      </c>
      <c r="G31" s="61">
        <v>144</v>
      </c>
      <c r="H31" s="62"/>
      <c r="I31" s="62">
        <f t="shared" si="4"/>
        <v>0</v>
      </c>
      <c r="J31" s="52">
        <f t="shared" ref="J31:J32" si="6">IF(G31="","",K31/G31)</f>
        <v>0</v>
      </c>
      <c r="K31" s="52"/>
      <c r="M31" s="1">
        <f>K31*5</f>
        <v>0</v>
      </c>
      <c r="O31" s="56"/>
    </row>
    <row r="32" spans="1:19">
      <c r="A32" s="58" t="s">
        <v>196</v>
      </c>
      <c r="B32" s="58" t="s">
        <v>190</v>
      </c>
      <c r="C32" s="59">
        <v>800</v>
      </c>
      <c r="D32" s="59" t="s">
        <v>169</v>
      </c>
      <c r="E32" s="60" t="str">
        <f>VLOOKUP($D32,'Lookup info'!$D:$H,2,FALSE)</f>
        <v>0023</v>
      </c>
      <c r="F32" s="60" t="str">
        <f>VLOOKUP($D32,'Lookup info'!$D:$H,5,FALSE)</f>
        <v>W</v>
      </c>
      <c r="G32" s="61">
        <v>144</v>
      </c>
      <c r="H32" s="62"/>
      <c r="I32" s="62">
        <f t="shared" si="4"/>
        <v>0</v>
      </c>
      <c r="J32" s="52">
        <f t="shared" si="6"/>
        <v>0</v>
      </c>
      <c r="K32" s="52"/>
      <c r="L32" s="11"/>
      <c r="M32" s="1">
        <f t="shared" ref="M32:M35" si="7">K32*4</f>
        <v>0</v>
      </c>
      <c r="O32" s="56"/>
    </row>
    <row r="33" spans="1:13">
      <c r="A33" s="58" t="s">
        <v>197</v>
      </c>
      <c r="B33" s="58" t="s">
        <v>185</v>
      </c>
      <c r="C33" s="59">
        <v>800</v>
      </c>
      <c r="D33" s="59" t="s">
        <v>168</v>
      </c>
      <c r="E33" s="60" t="str">
        <f>VLOOKUP($D33,'Lookup info'!$D:$H,2,FALSE)</f>
        <v>0002</v>
      </c>
      <c r="F33" s="60" t="str">
        <f>VLOOKUP($D33,'Lookup info'!$D:$H,5,FALSE)</f>
        <v>C</v>
      </c>
      <c r="G33" s="61">
        <v>96</v>
      </c>
      <c r="H33" s="62"/>
      <c r="I33" s="62">
        <f t="shared" si="4"/>
        <v>0</v>
      </c>
      <c r="J33" s="52">
        <f t="shared" ref="J33:J36" si="8">IF(G33="","",K33/G33)</f>
        <v>0</v>
      </c>
      <c r="K33" s="52">
        <v>0</v>
      </c>
      <c r="L33" s="13"/>
      <c r="M33" s="1">
        <f t="shared" si="7"/>
        <v>0</v>
      </c>
    </row>
    <row r="34" spans="1:13">
      <c r="A34" s="58" t="s">
        <v>198</v>
      </c>
      <c r="B34" s="58" t="s">
        <v>186</v>
      </c>
      <c r="C34" s="59">
        <v>800</v>
      </c>
      <c r="D34" s="59" t="s">
        <v>168</v>
      </c>
      <c r="E34" s="60" t="str">
        <f>VLOOKUP($D34,'Lookup info'!$D:$H,2,FALSE)</f>
        <v>0002</v>
      </c>
      <c r="F34" s="60" t="str">
        <f>VLOOKUP($D34,'Lookup info'!$D:$H,5,FALSE)</f>
        <v>C</v>
      </c>
      <c r="G34" s="61">
        <v>96</v>
      </c>
      <c r="H34" s="62"/>
      <c r="I34" s="62">
        <f t="shared" si="4"/>
        <v>0</v>
      </c>
      <c r="J34" s="52">
        <f t="shared" si="8"/>
        <v>0</v>
      </c>
      <c r="K34" s="52">
        <v>0</v>
      </c>
      <c r="M34" s="1">
        <f t="shared" si="7"/>
        <v>0</v>
      </c>
    </row>
    <row r="35" spans="1:13">
      <c r="A35" s="58" t="s">
        <v>199</v>
      </c>
      <c r="B35" s="58" t="s">
        <v>187</v>
      </c>
      <c r="C35" s="59">
        <v>800</v>
      </c>
      <c r="D35" s="59" t="s">
        <v>168</v>
      </c>
      <c r="E35" s="60" t="str">
        <f>VLOOKUP($D35,'Lookup info'!$D:$H,2,FALSE)</f>
        <v>0002</v>
      </c>
      <c r="F35" s="60" t="str">
        <f>VLOOKUP($D35,'Lookup info'!$D:$H,5,FALSE)</f>
        <v>C</v>
      </c>
      <c r="G35" s="61">
        <v>96</v>
      </c>
      <c r="H35" s="62"/>
      <c r="I35" s="62">
        <f t="shared" si="4"/>
        <v>0</v>
      </c>
      <c r="J35" s="52">
        <f t="shared" si="8"/>
        <v>0</v>
      </c>
      <c r="K35" s="52">
        <v>0</v>
      </c>
      <c r="M35" s="1">
        <f t="shared" si="7"/>
        <v>0</v>
      </c>
    </row>
    <row r="36" spans="1:13">
      <c r="A36" s="58" t="s">
        <v>200</v>
      </c>
      <c r="B36" s="58" t="s">
        <v>201</v>
      </c>
      <c r="C36" s="59">
        <v>800</v>
      </c>
      <c r="D36" s="59" t="s">
        <v>168</v>
      </c>
      <c r="E36" s="60" t="str">
        <f>VLOOKUP($D36,'Lookup info'!$D:$H,2,FALSE)</f>
        <v>0002</v>
      </c>
      <c r="F36" s="60" t="str">
        <f>VLOOKUP($D36,'Lookup info'!$D:$H,5,FALSE)</f>
        <v>C</v>
      </c>
      <c r="G36" s="61">
        <v>96</v>
      </c>
      <c r="H36" s="62">
        <v>0</v>
      </c>
      <c r="I36" s="62">
        <f t="shared" si="4"/>
        <v>0</v>
      </c>
      <c r="J36" s="52">
        <f t="shared" si="8"/>
        <v>0</v>
      </c>
      <c r="K36" s="52">
        <v>0</v>
      </c>
      <c r="M36" s="1">
        <f t="shared" ref="M36" si="9">K36*4</f>
        <v>0</v>
      </c>
    </row>
    <row r="37" spans="1:13">
      <c r="A37" s="78">
        <v>698408</v>
      </c>
      <c r="B37" s="78" t="s">
        <v>250</v>
      </c>
      <c r="C37" s="79">
        <v>800</v>
      </c>
      <c r="D37" s="79" t="s">
        <v>173</v>
      </c>
      <c r="E37" s="80" t="str">
        <f>VLOOKUP($D37,'Lookup info'!$D:$H,2,FALSE)</f>
        <v>0120</v>
      </c>
      <c r="F37" s="80" t="str">
        <f>VLOOKUP($D37,'Lookup info'!$D:$H,5,FALSE)</f>
        <v>F</v>
      </c>
      <c r="G37" s="81">
        <v>96</v>
      </c>
      <c r="H37" s="62">
        <v>8</v>
      </c>
      <c r="I37" s="62">
        <f t="shared" ref="I37:I38" si="10">H37*G37</f>
        <v>768</v>
      </c>
      <c r="J37" s="52">
        <f t="shared" ref="J37:J38" si="11">IF(G37="","",K37/G37)</f>
        <v>0</v>
      </c>
      <c r="K37" s="52">
        <v>0</v>
      </c>
    </row>
    <row r="38" spans="1:13">
      <c r="A38" s="78">
        <v>698409</v>
      </c>
      <c r="B38" s="78" t="s">
        <v>251</v>
      </c>
      <c r="C38" s="79">
        <v>800</v>
      </c>
      <c r="D38" s="79" t="s">
        <v>173</v>
      </c>
      <c r="E38" s="80" t="str">
        <f>VLOOKUP($D38,'Lookup info'!$D:$H,2,FALSE)</f>
        <v>0120</v>
      </c>
      <c r="F38" s="80" t="str">
        <f>VLOOKUP($D38,'Lookup info'!$D:$H,5,FALSE)</f>
        <v>F</v>
      </c>
      <c r="G38" s="81">
        <v>96</v>
      </c>
      <c r="H38" s="62"/>
      <c r="I38" s="62">
        <f t="shared" si="10"/>
        <v>0</v>
      </c>
      <c r="J38" s="52">
        <f t="shared" si="11"/>
        <v>0</v>
      </c>
      <c r="K38" s="52">
        <v>0</v>
      </c>
    </row>
    <row r="39" spans="1:13">
      <c r="A39" s="78">
        <v>653156</v>
      </c>
      <c r="B39" s="78" t="s">
        <v>253</v>
      </c>
      <c r="C39" s="79">
        <v>400</v>
      </c>
      <c r="D39" s="79" t="s">
        <v>168</v>
      </c>
      <c r="E39" s="80" t="str">
        <f>VLOOKUP($D39,'Lookup info'!$D:$H,2,FALSE)</f>
        <v>0002</v>
      </c>
      <c r="F39" s="80" t="str">
        <f>VLOOKUP($D39,'Lookup info'!$D:$H,5,FALSE)</f>
        <v>C</v>
      </c>
      <c r="G39" s="81">
        <v>42</v>
      </c>
      <c r="H39" s="62">
        <v>2</v>
      </c>
      <c r="I39" s="62">
        <f t="shared" ref="I39:I40" si="12">H39*G39</f>
        <v>84</v>
      </c>
      <c r="J39" s="52">
        <f t="shared" ref="J39:J40" si="13">IF(G39="","",K39/G39)</f>
        <v>3</v>
      </c>
      <c r="K39" s="52">
        <v>126</v>
      </c>
    </row>
    <row r="40" spans="1:13">
      <c r="A40" s="78">
        <v>653299</v>
      </c>
      <c r="B40" s="78" t="s">
        <v>254</v>
      </c>
      <c r="C40" s="79">
        <v>400</v>
      </c>
      <c r="D40" s="79" t="s">
        <v>168</v>
      </c>
      <c r="E40" s="80" t="str">
        <f>VLOOKUP($D40,'Lookup info'!$D:$H,2,FALSE)</f>
        <v>0002</v>
      </c>
      <c r="F40" s="80" t="str">
        <f>VLOOKUP($D40,'Lookup info'!$D:$H,5,FALSE)</f>
        <v>C</v>
      </c>
      <c r="G40" s="81">
        <v>42</v>
      </c>
      <c r="H40" s="62"/>
      <c r="I40" s="62">
        <f t="shared" si="12"/>
        <v>0</v>
      </c>
      <c r="J40" s="52">
        <f t="shared" si="13"/>
        <v>1</v>
      </c>
      <c r="K40" s="52">
        <v>42</v>
      </c>
    </row>
    <row r="41" spans="1:13">
      <c r="A41" s="8"/>
      <c r="B41" s="3"/>
      <c r="C41" s="3"/>
      <c r="D41" s="3"/>
      <c r="E41" s="3"/>
      <c r="F41" s="3"/>
      <c r="G41" s="3"/>
      <c r="J41" s="55"/>
      <c r="K41" s="3"/>
    </row>
    <row r="42" spans="1:13">
      <c r="A42" s="8"/>
      <c r="B42" s="8"/>
      <c r="C42" s="3"/>
      <c r="J42" s="8" t="s">
        <v>19</v>
      </c>
      <c r="K42" s="3"/>
    </row>
    <row r="43" spans="1:13">
      <c r="A43" s="8"/>
      <c r="B43" s="8"/>
      <c r="C43" s="3"/>
      <c r="J43" s="8" t="s">
        <v>20</v>
      </c>
      <c r="K43" s="28"/>
    </row>
    <row r="44" spans="1:13">
      <c r="A44" s="11"/>
      <c r="B44" s="11"/>
    </row>
    <row r="46" spans="1:13">
      <c r="A46"/>
      <c r="B46"/>
      <c r="C46"/>
      <c r="D46"/>
      <c r="E46"/>
      <c r="F46"/>
      <c r="G46"/>
      <c r="H46"/>
      <c r="I46"/>
      <c r="J46" s="22"/>
    </row>
    <row r="47" spans="1:13">
      <c r="A47"/>
      <c r="B47"/>
      <c r="C47"/>
      <c r="D47"/>
      <c r="E47"/>
      <c r="F47"/>
      <c r="G47"/>
      <c r="H47"/>
      <c r="I47"/>
      <c r="J47" s="22"/>
    </row>
    <row r="48" spans="1:13">
      <c r="A48"/>
      <c r="B48"/>
      <c r="C48"/>
      <c r="D48"/>
      <c r="E48"/>
      <c r="F48"/>
      <c r="G48"/>
      <c r="H48"/>
      <c r="I48"/>
      <c r="J48" s="22"/>
    </row>
    <row r="49" spans="1:10">
      <c r="A49"/>
      <c r="B49"/>
      <c r="C49"/>
      <c r="D49"/>
      <c r="E49"/>
      <c r="F49"/>
      <c r="G49"/>
      <c r="H49"/>
      <c r="I49"/>
      <c r="J49" s="22"/>
    </row>
    <row r="50" spans="1:10">
      <c r="A50"/>
      <c r="B50"/>
      <c r="C50"/>
      <c r="D50"/>
      <c r="E50"/>
      <c r="F50"/>
      <c r="G50"/>
      <c r="H50"/>
      <c r="I50"/>
      <c r="J50" s="22"/>
    </row>
    <row r="51" spans="1:10">
      <c r="A51" s="23"/>
      <c r="B51"/>
      <c r="C51"/>
      <c r="D51"/>
      <c r="E51"/>
      <c r="F51"/>
      <c r="G51"/>
      <c r="H51"/>
      <c r="I51"/>
      <c r="J51" s="22"/>
    </row>
    <row r="52" spans="1:10">
      <c r="A52"/>
      <c r="B52"/>
      <c r="C52"/>
      <c r="D52"/>
      <c r="E52"/>
      <c r="F52"/>
      <c r="G52"/>
      <c r="H52"/>
      <c r="I52" s="54"/>
      <c r="J52" s="22"/>
    </row>
    <row r="53" spans="1:10">
      <c r="A53"/>
      <c r="B53"/>
      <c r="C53"/>
      <c r="D53"/>
      <c r="E53"/>
      <c r="F53"/>
      <c r="G53"/>
      <c r="H53"/>
      <c r="I53" s="53"/>
      <c r="J53" s="22"/>
    </row>
    <row r="54" spans="1:10">
      <c r="A54"/>
      <c r="B54"/>
      <c r="C54"/>
      <c r="D54"/>
      <c r="E54"/>
      <c r="F54"/>
      <c r="G54"/>
      <c r="H54"/>
      <c r="I54" s="53"/>
      <c r="J54" s="22"/>
    </row>
    <row r="55" spans="1:10">
      <c r="I55"/>
    </row>
    <row r="56" spans="1:10">
      <c r="I56"/>
    </row>
    <row r="57" spans="1:10">
      <c r="I57"/>
    </row>
    <row r="58" spans="1:10">
      <c r="I58"/>
    </row>
    <row r="59" spans="1:10">
      <c r="I59"/>
    </row>
    <row r="60" spans="1:10">
      <c r="I60"/>
    </row>
  </sheetData>
  <autoFilter ref="A16:M36" xr:uid="{00000000-0001-0000-0000-000000000000}"/>
  <mergeCells count="2">
    <mergeCell ref="O17:O21"/>
    <mergeCell ref="O22:O25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D17:D22 D30:D36 D39:D40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85" t="s">
        <v>28</v>
      </c>
      <c r="B3" s="86"/>
      <c r="D3" s="87" t="s">
        <v>152</v>
      </c>
      <c r="E3" s="88"/>
      <c r="F3" s="88"/>
      <c r="G3" s="88"/>
      <c r="H3" s="89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2024-04-30T04:25:30Z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
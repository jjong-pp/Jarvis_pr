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55.100\Nutricia\99. Sales\김영훈\뉴트리시아\발주\발주서\"/>
    </mc:Choice>
  </mc:AlternateContent>
  <xr:revisionPtr revIDLastSave="0" documentId="13_ncr:1_{67A4B2AC-6A79-4D4D-A135-91C63BEFE4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Order!$A$16:$M$29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7" i="1" l="1"/>
  <c r="J20" i="1" l="1"/>
  <c r="J21" i="1"/>
  <c r="J23" i="1"/>
  <c r="J22" i="1"/>
  <c r="J19" i="1"/>
  <c r="J24" i="1"/>
  <c r="J18" i="1"/>
  <c r="J26" i="1"/>
  <c r="J25" i="1"/>
  <c r="I30" i="1" l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J30" i="1"/>
  <c r="J29" i="1"/>
  <c r="J28" i="1"/>
  <c r="J27" i="1"/>
  <c r="M23" i="1"/>
  <c r="F23" i="1"/>
  <c r="E23" i="1"/>
  <c r="M30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2" i="1" s="1"/>
  <c r="F17" i="1"/>
  <c r="E18" i="1"/>
  <c r="E19" i="1"/>
  <c r="E17" i="1"/>
  <c r="M22" i="1"/>
  <c r="M24" i="1"/>
  <c r="M26" i="1"/>
  <c r="M27" i="1"/>
  <c r="M28" i="1"/>
  <c r="M19" i="1"/>
  <c r="M21" i="1" l="1"/>
  <c r="M29" i="1"/>
  <c r="M25" i="1"/>
  <c r="M18" i="1"/>
  <c r="M20" i="1"/>
  <c r="F19" i="1"/>
  <c r="F18" i="1"/>
  <c r="F22" i="1"/>
  <c r="F21" i="1"/>
  <c r="E21" i="1"/>
  <c r="F20" i="1"/>
  <c r="E20" i="1"/>
  <c r="M17" i="1" l="1"/>
</calcChain>
</file>

<file path=xl/sharedStrings.xml><?xml version="1.0" encoding="utf-8"?>
<sst xmlns="http://schemas.openxmlformats.org/spreadsheetml/2006/main" count="230" uniqueCount="206">
  <si>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</si>
  <si>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</si>
  <si>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</si>
  <si>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</si>
  <si>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</si>
  <si>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</si>
  <si>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</si>
  <si>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</si>
  <si>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</si>
  <si>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</si>
  <si>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</si>
  <si>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</si>
  <si>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</si>
  <si>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</si>
  <si>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</si>
  <si>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</si>
  <si>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</si>
  <si>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</si>
  <si>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</si>
  <si>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</si>
  <si>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</si>
  <si>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</si>
  <si>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</si>
  <si>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</si>
  <si>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</si>
  <si>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</si>
  <si>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</si>
  <si>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</si>
  <si>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</si>
  <si>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</si>
  <si>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</si>
  <si>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</si>
  <si>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</si>
  <si>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</si>
  <si>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</si>
  <si>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</si>
  <si>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</si>
  <si>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</si>
  <si>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</si>
  <si>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</si>
  <si>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</si>
  <si>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</si>
  <si>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</si>
  <si>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</si>
  <si>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</si>
  <si>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</si>
  <si>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</si>
  <si>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</si>
  <si>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</si>
  <si>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</si>
  <si>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</si>
  <si>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</si>
  <si>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</si>
  <si>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</si>
  <si>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</si>
  <si>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</si>
  <si>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</si>
  <si>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</si>
  <si>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</si>
  <si>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</si>
  <si>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</si>
  <si>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</si>
  <si>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</si>
  <si>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</si>
  <si>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</si>
  <si>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</si>
  <si>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</si>
  <si>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</si>
  <si>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</si>
  <si>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</si>
  <si>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</si>
  <si>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</si>
  <si>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</si>
  <si>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</si>
  <si>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</si>
  <si>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</si>
  <si>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</si>
  <si>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</si>
  <si>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</si>
  <si>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</si>
  <si>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</si>
  <si>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</si>
  <si>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</si>
  <si>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</si>
  <si>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</si>
  <si>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</si>
  <si>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</si>
  <si>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</si>
  <si>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</si>
  <si>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</si>
  <si>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</si>
  <si>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</si>
  <si>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</si>
  <si>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</si>
  <si>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</si>
  <si>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</si>
  <si>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</si>
  <si>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</si>
  <si>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</si>
  <si>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</si>
  <si>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</si>
  <si>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</si>
  <si>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</si>
  <si>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</si>
  <si>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</si>
  <si>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</si>
  <si>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</si>
  <si>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</si>
  <si>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</si>
  <si>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</si>
  <si>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</si>
  <si>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</si>
  <si>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</si>
  <si>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</si>
  <si>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</si>
  <si>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</si>
  <si>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</si>
  <si>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</si>
  <si>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</si>
  <si>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</si>
  <si>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</si>
  <si>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</si>
  <si>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</si>
  <si>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</si>
  <si>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</si>
  <si>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</si>
  <si>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</si>
  <si>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</si>
  <si>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</si>
  <si>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</si>
  <si>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</si>
  <si>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</si>
  <si>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</si>
  <si>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</si>
  <si>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</si>
  <si>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</si>
  <si>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</si>
  <si>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</si>
  <si>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</si>
  <si>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</si>
  <si>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</si>
  <si>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</si>
  <si>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</si>
  <si>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</si>
  <si>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</si>
  <si>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</si>
  <si>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</si>
  <si>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</si>
  <si>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</si>
  <si>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</si>
  <si>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</si>
  <si>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</si>
  <si>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</si>
  <si>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</si>
  <si>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</si>
  <si>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</si>
  <si>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</si>
  <si>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</si>
  <si>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</si>
  <si>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</si>
  <si>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</si>
  <si>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</si>
  <si>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</si>
  <si>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</si>
  <si>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</si>
  <si>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</si>
  <si>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</si>
  <si>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</si>
  <si>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</si>
  <si>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</si>
  <si>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</si>
  <si>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</si>
  <si>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</si>
  <si>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</si>
  <si>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</si>
  <si>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</si>
  <si>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</si>
  <si>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</si>
  <si>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</si>
  <si>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</si>
  <si>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</si>
  <si>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</si>
  <si>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</si>
  <si>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</si>
  <si>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</si>
  <si>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</si>
  <si>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</si>
  <si>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</si>
  <si>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</si>
  <si>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</si>
  <si>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</si>
  <si>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</si>
  <si>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</si>
  <si>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</si>
  <si>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</si>
  <si>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</si>
  <si>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</si>
  <si>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</si>
  <si>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</si>
  <si>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</si>
  <si>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</si>
  <si>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</si>
  <si>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</si>
  <si>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07/26/2024</t>
  </si>
  <si>
    <t>July</t>
  </si>
  <si>
    <t>W/H/07/2024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</si>
</sst>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="70" zoomScaleNormal="70" workbookViewId="0">
      <selection activeCell="T16" sqref="T16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3" ht="17.25">
      <c r="A1" s="29" t="s">
        <v>194</v>
      </c>
      <c r="B1" s="18"/>
    </row>
    <row r="2" spans="1:13">
      <c r="A2" s="39" t="s">
        <v>28</v>
      </c>
      <c r="B2" s="39" t="s">
        <v>192</v>
      </c>
    </row>
    <row r="3" spans="1:13">
      <c r="A3" s="2" t="s">
        <v>0</v>
      </c>
      <c r="B3" s="32">
        <v>72851</v>
      </c>
    </row>
    <row r="4" spans="1:13">
      <c r="A4" s="2" t="s">
        <v>16</v>
      </c>
      <c r="B4" s="19" t="s">
        <v>17</v>
      </c>
    </row>
    <row r="5" spans="1:13">
      <c r="A5" s="2" t="s">
        <v>30</v>
      </c>
      <c r="B5" s="58" t="s">
        <v>203</v>
      </c>
    </row>
    <row r="6" spans="1:13">
      <c r="A6" s="2" t="s">
        <v>1</v>
      </c>
      <c r="B6" s="17" t="s">
        <v>204</v>
      </c>
      <c r="C6" s="9"/>
    </row>
    <row r="7" spans="1:13">
      <c r="A7" s="2" t="s">
        <v>2</v>
      </c>
      <c r="B7" s="19" t="s">
        <v>205</v>
      </c>
      <c r="C7"/>
    </row>
    <row r="8" spans="1:13">
      <c r="A8" s="2" t="s">
        <v>3</v>
      </c>
      <c r="B8" s="20" t="s">
        <v>12</v>
      </c>
    </row>
    <row r="9" spans="1:13">
      <c r="A9" s="2" t="s">
        <v>4</v>
      </c>
      <c r="B9" s="21" t="s">
        <v>24</v>
      </c>
    </row>
    <row r="10" spans="1:13">
      <c r="A10" s="2" t="s">
        <v>5</v>
      </c>
      <c r="B10" s="20" t="s">
        <v>18</v>
      </c>
    </row>
    <row r="11" spans="1:13">
      <c r="A11" s="2" t="s">
        <v>11</v>
      </c>
      <c r="B11" s="15" t="s">
        <v>25</v>
      </c>
    </row>
    <row r="12" spans="1:13">
      <c r="A12" s="10" t="s">
        <v>15</v>
      </c>
      <c r="B12" s="25">
        <v>1</v>
      </c>
    </row>
    <row r="13" spans="1:13">
      <c r="A13" s="10" t="s">
        <v>21</v>
      </c>
      <c r="B13" s="24">
        <v>1</v>
      </c>
      <c r="C13"/>
    </row>
    <row r="14" spans="1:13">
      <c r="A14" s="11"/>
    </row>
    <row r="15" spans="1:13" ht="17.25" thickBot="1"/>
    <row r="16" spans="1:13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4" t="s">
        <v>31</v>
      </c>
      <c r="F16" s="44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</row>
    <row r="17" spans="1:18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/>
      <c r="I17" s="27">
        <f>H17*G17</f>
        <v>0</v>
      </c>
      <c r="J17" s="52">
        <f t="shared" ref="J17" si="0">IF(G17="","",K17/G17)</f>
        <v>0</v>
      </c>
      <c r="K17" s="52"/>
      <c r="L17" s="11"/>
      <c r="M17" s="1">
        <f t="shared" ref="M17:M19" si="1">K17*24</f>
        <v>0</v>
      </c>
    </row>
    <row r="18" spans="1:18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>
        <f t="shared" ref="I18:I21" si="2">H18*G18</f>
        <v>0</v>
      </c>
      <c r="J18" s="52">
        <f t="shared" ref="J18" si="3">IF(G18="","",K18/G18)</f>
        <v>0</v>
      </c>
      <c r="K18" s="52"/>
      <c r="L18" s="13"/>
      <c r="M18" s="1">
        <f t="shared" si="1"/>
        <v>0</v>
      </c>
    </row>
    <row r="19" spans="1:18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 t="shared" si="2"/>
        <v>0</v>
      </c>
      <c r="J19" s="52">
        <f t="shared" ref="J19:J23" si="4">IF(G19="","",K19/G19)</f>
        <v>0</v>
      </c>
      <c r="K19" s="52"/>
      <c r="M19" s="1">
        <f t="shared" si="1"/>
        <v>0</v>
      </c>
    </row>
    <row r="20" spans="1:18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/>
      <c r="I20" s="27">
        <f t="shared" si="2"/>
        <v>0</v>
      </c>
      <c r="J20" s="52">
        <f t="shared" si="4"/>
        <v>57</v>
      </c>
      <c r="K20" s="52">
        <v>5472</v>
      </c>
      <c r="M20" s="1">
        <f t="shared" ref="M20:M24" si="5">K20*7</f>
        <v>38304</v>
      </c>
    </row>
    <row r="21" spans="1:18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>
        <v>52</v>
      </c>
      <c r="I21" s="27">
        <f t="shared" si="2"/>
        <v>4992</v>
      </c>
      <c r="J21" s="52">
        <f t="shared" si="4"/>
        <v>48</v>
      </c>
      <c r="K21" s="52">
        <v>4608</v>
      </c>
      <c r="M21" s="1">
        <f t="shared" si="5"/>
        <v>32256</v>
      </c>
    </row>
    <row r="22" spans="1:18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20</v>
      </c>
      <c r="I22" s="27">
        <f>H22*G22</f>
        <v>1920</v>
      </c>
      <c r="J22" s="52">
        <f t="shared" si="4"/>
        <v>15</v>
      </c>
      <c r="K22" s="52">
        <v>1440</v>
      </c>
      <c r="L22"/>
      <c r="M22" s="1">
        <f t="shared" si="5"/>
        <v>10080</v>
      </c>
    </row>
    <row r="23" spans="1:18">
      <c r="A23" s="15">
        <v>658159</v>
      </c>
      <c r="B23" s="15" t="s">
        <v>202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ref="I23:I30" si="6">H23*G23</f>
        <v>0</v>
      </c>
      <c r="J23" s="52">
        <f t="shared" si="4"/>
        <v>0</v>
      </c>
      <c r="K23" s="52"/>
      <c r="M23" s="1">
        <f t="shared" ref="M23" si="7">K23*4</f>
        <v>0</v>
      </c>
      <c r="R23" s="56"/>
    </row>
    <row r="24" spans="1:18">
      <c r="A24" s="15" t="s">
        <v>195</v>
      </c>
      <c r="B24" s="15" t="s">
        <v>188</v>
      </c>
      <c r="C24" s="16">
        <v>800</v>
      </c>
      <c r="D24" s="16" t="s">
        <v>169</v>
      </c>
      <c r="E24" s="30" t="str">
        <f>VLOOKUP($D24,'Lookup info'!$D:$H,2,FALSE)</f>
        <v>0023</v>
      </c>
      <c r="F24" s="30" t="str">
        <f>VLOOKUP($D24,'Lookup info'!$D:$H,5,FALSE)</f>
        <v>W</v>
      </c>
      <c r="G24" s="26">
        <v>144</v>
      </c>
      <c r="H24" s="27"/>
      <c r="I24" s="27">
        <f t="shared" si="6"/>
        <v>0</v>
      </c>
      <c r="J24" s="52">
        <f t="shared" ref="J24" si="8">IF(G24="","",K24/G24)</f>
        <v>0</v>
      </c>
      <c r="K24" s="52">
        <v>0</v>
      </c>
      <c r="L24" s="14"/>
      <c r="M24" s="14">
        <f t="shared" si="5"/>
        <v>0</v>
      </c>
      <c r="O24" s="57"/>
    </row>
    <row r="25" spans="1:18">
      <c r="A25" s="15" t="s">
        <v>196</v>
      </c>
      <c r="B25" s="15" t="s">
        <v>189</v>
      </c>
      <c r="C25" s="16">
        <v>800</v>
      </c>
      <c r="D25" s="16" t="s">
        <v>169</v>
      </c>
      <c r="E25" s="30" t="str">
        <f>VLOOKUP($D25,'Lookup info'!$D:$H,2,FALSE)</f>
        <v>0023</v>
      </c>
      <c r="F25" s="30" t="str">
        <f>VLOOKUP($D25,'Lookup info'!$D:$H,5,FALSE)</f>
        <v>W</v>
      </c>
      <c r="G25" s="26">
        <v>144</v>
      </c>
      <c r="H25" s="27"/>
      <c r="I25" s="27">
        <f t="shared" si="6"/>
        <v>0</v>
      </c>
      <c r="J25" s="52">
        <f t="shared" ref="J25:J26" si="9">IF(G25="","",K25/G25)</f>
        <v>0</v>
      </c>
      <c r="K25" s="52">
        <v>0</v>
      </c>
      <c r="M25" s="1">
        <f>K25*5</f>
        <v>0</v>
      </c>
      <c r="O25" s="57"/>
    </row>
    <row r="26" spans="1:18">
      <c r="A26" s="15" t="s">
        <v>197</v>
      </c>
      <c r="B26" s="15" t="s">
        <v>190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si="9"/>
        <v>0</v>
      </c>
      <c r="K26" s="52">
        <v>0</v>
      </c>
      <c r="L26" s="11"/>
      <c r="M26" s="1">
        <f t="shared" ref="M26:M29" si="10">K26*4</f>
        <v>0</v>
      </c>
      <c r="O26" s="57"/>
    </row>
    <row r="27" spans="1:18">
      <c r="A27" s="15" t="s">
        <v>198</v>
      </c>
      <c r="B27" s="15" t="s">
        <v>185</v>
      </c>
      <c r="C27" s="16">
        <v>800</v>
      </c>
      <c r="D27" s="16" t="s">
        <v>168</v>
      </c>
      <c r="E27" s="30" t="str">
        <f>VLOOKUP($D27,'Lookup info'!$D:$H,2,FALSE)</f>
        <v>0002</v>
      </c>
      <c r="F27" s="30" t="str">
        <f>VLOOKUP($D27,'Lookup info'!$D:$H,5,FALSE)</f>
        <v>C</v>
      </c>
      <c r="G27" s="26">
        <v>96</v>
      </c>
      <c r="H27" s="27">
        <v>0</v>
      </c>
      <c r="I27" s="27">
        <f t="shared" si="6"/>
        <v>0</v>
      </c>
      <c r="J27" s="52">
        <f t="shared" ref="J27:J30" si="11">IF(G27="","",K27/G27)</f>
        <v>0</v>
      </c>
      <c r="K27" s="52">
        <v>0</v>
      </c>
      <c r="L27" s="13"/>
      <c r="M27" s="1">
        <f t="shared" si="10"/>
        <v>0</v>
      </c>
    </row>
    <row r="28" spans="1:18">
      <c r="A28" s="15" t="s">
        <v>199</v>
      </c>
      <c r="B28" s="15" t="s">
        <v>186</v>
      </c>
      <c r="C28" s="16">
        <v>800</v>
      </c>
      <c r="D28" s="16" t="s">
        <v>168</v>
      </c>
      <c r="E28" s="30" t="str">
        <f>VLOOKUP($D28,'Lookup info'!$D:$H,2,FALSE)</f>
        <v>0002</v>
      </c>
      <c r="F28" s="30" t="str">
        <f>VLOOKUP($D28,'Lookup info'!$D:$H,5,FALSE)</f>
        <v>C</v>
      </c>
      <c r="G28" s="26">
        <v>96</v>
      </c>
      <c r="H28" s="27">
        <v>0</v>
      </c>
      <c r="I28" s="27">
        <f t="shared" si="6"/>
        <v>0</v>
      </c>
      <c r="J28" s="52">
        <f t="shared" si="11"/>
        <v>0</v>
      </c>
      <c r="K28" s="52">
        <v>0</v>
      </c>
      <c r="M28" s="1">
        <f t="shared" si="10"/>
        <v>0</v>
      </c>
    </row>
    <row r="29" spans="1:18">
      <c r="A29" s="15" t="s">
        <v>200</v>
      </c>
      <c r="B29" s="15" t="s">
        <v>187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6"/>
        <v>0</v>
      </c>
      <c r="J29" s="52">
        <f t="shared" si="11"/>
        <v>0</v>
      </c>
      <c r="K29" s="52">
        <v>0</v>
      </c>
      <c r="M29" s="1">
        <f t="shared" si="10"/>
        <v>0</v>
      </c>
    </row>
    <row r="30" spans="1:18">
      <c r="A30" s="15" t="s">
        <v>201</v>
      </c>
      <c r="B30" s="15" t="s">
        <v>202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6"/>
        <v>0</v>
      </c>
      <c r="J30" s="52">
        <f t="shared" si="11"/>
        <v>0</v>
      </c>
      <c r="K30" s="52">
        <v>0</v>
      </c>
      <c r="M30" s="1">
        <f t="shared" ref="M30" si="12">K30*4</f>
        <v>0</v>
      </c>
    </row>
    <row r="31" spans="1:18">
      <c r="A31" s="8"/>
      <c r="B31" s="3"/>
      <c r="C31" s="3"/>
      <c r="D31" s="3"/>
      <c r="E31" s="3"/>
      <c r="F31" s="3"/>
      <c r="G31" s="3"/>
      <c r="J31" s="55"/>
      <c r="K31" s="3"/>
    </row>
    <row r="32" spans="1:18">
      <c r="A32" s="8"/>
      <c r="B32" s="8"/>
      <c r="C32" s="3"/>
      <c r="J32" s="8" t="s">
        <v>19</v>
      </c>
      <c r="K32" s="3"/>
    </row>
    <row r="33" spans="1:11">
      <c r="A33" s="8"/>
      <c r="B33" s="8"/>
      <c r="C33" s="3"/>
      <c r="J33" s="8" t="s">
        <v>20</v>
      </c>
      <c r="K33" s="28"/>
    </row>
    <row r="34" spans="1:11">
      <c r="A34" s="11"/>
      <c r="B34" s="11"/>
    </row>
    <row r="36" spans="1:11">
      <c r="A36"/>
      <c r="B36"/>
      <c r="C36"/>
      <c r="D36"/>
      <c r="E36"/>
      <c r="F36"/>
      <c r="G36"/>
      <c r="H36"/>
      <c r="I36"/>
      <c r="J36" s="22"/>
    </row>
    <row r="37" spans="1:11">
      <c r="A37"/>
      <c r="B37"/>
      <c r="C37"/>
      <c r="D37"/>
      <c r="E37"/>
      <c r="F37"/>
      <c r="G37"/>
      <c r="H37"/>
      <c r="I37"/>
      <c r="J37" s="22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 s="23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 s="54"/>
      <c r="J42" s="22"/>
    </row>
    <row r="43" spans="1:11">
      <c r="A43"/>
      <c r="B43"/>
      <c r="C43"/>
      <c r="D43"/>
      <c r="E43"/>
      <c r="F43"/>
      <c r="G43"/>
      <c r="H43"/>
      <c r="I43" s="53"/>
      <c r="J43" s="22"/>
    </row>
    <row r="44" spans="1:11">
      <c r="A44"/>
      <c r="B44"/>
      <c r="C44"/>
      <c r="D44"/>
      <c r="E44"/>
      <c r="F44"/>
      <c r="G44"/>
      <c r="H44"/>
      <c r="I44" s="53"/>
      <c r="J44" s="22"/>
    </row>
    <row r="45" spans="1:11">
      <c r="I45"/>
    </row>
    <row r="46" spans="1:11">
      <c r="I46"/>
    </row>
    <row r="47" spans="1:11">
      <c r="I47"/>
    </row>
    <row r="48" spans="1:11">
      <c r="I48"/>
    </row>
    <row r="49" spans="9:9">
      <c r="I49"/>
    </row>
    <row r="50" spans="9:9">
      <c r="I50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59" t="s">
        <v>28</v>
      </c>
      <c r="B3" s="60"/>
      <c r="D3" s="61" t="s">
        <v>152</v>
      </c>
      <c r="E3" s="62"/>
      <c r="F3" s="62"/>
      <c r="G3" s="62"/>
      <c r="H3" s="63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2024-04-25T08:58:37Z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
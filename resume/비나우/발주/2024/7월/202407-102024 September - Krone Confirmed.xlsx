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Z:\Nutricia\99. Sales\박효진\발주\7월\"/>
    </mc:Choice>
  </mc:AlternateContent>
  <xr:revisionPtr revIDLastSave="0" documentId="13_ncr:1_{F101DAEC-CCD5-4CE9-8D88-4CC82AA227C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Order" sheetId="1" r:id="rId1"/>
    <sheet name="Lookup info" sheetId="3" r:id="rId2"/>
  </sheets>
  <externalReferences>
    <externalReference r:id="rId3"/>
  </externalReferences>
  <definedNames>
    <definedName name="_xlnm._FilterDatabase" localSheetId="0" hidden="1">Order!$A$16:$M$37</definedName>
    <definedName name="ExactAddinConnection" hidden="1">"001"</definedName>
    <definedName name="ExactAddinConnection.001" hidden="1">"WFRPARNLB062.nead.danet\\EXACTPROD;001;BARBOSFA;1"</definedName>
    <definedName name="ExactAddinReport1.Area" localSheetId="1" hidden="1">'Lookup info'!$A$4</definedName>
    <definedName name="ExactAddinReport1.Data" localSheetId="1" hidden="1">"Table=ordsel;Column1.Name=selcode;Column1.Sort=1;Column1.Filter=0;Column1.Value=;Column2.Name=oms30_0;Column2.Sort=0;Column2.Filter=0;Column2.Value=;System.Company=001;System.New=0;System.Wizard=Table;System.Update=-1"</definedName>
    <definedName name="ExactAddinReport2.Area" localSheetId="1" hidden="1">'Lookup info'!$E$4</definedName>
    <definedName name="ExactAddinReport2.Data" localSheetId="1" hidden="1">"Table=magaz;Column1.Name=magcode;Column1.Sort=1;Column1.Filter=0;Column1.Value=;Column2.Name=naam;Column2.Sort=0;Column2.Filter=0;Column2.Value=;Column3.Name=adr_AddressLine2;Column3.Sort=0;Column3.Filter=2;Column3.Value=23-4-2020;Column4.Name=adr_Add"</definedName>
    <definedName name="ExactAddinReport2.Data.2" localSheetId="1" hidden="1">"ressLine3;Column4.Sort=0;Column4.Filter=0;Column4.Value=;System.Company=001;System.New=0;System.Wizard=Table;System.Update=-1"</definedName>
    <definedName name="ExactAddinReport3.Area" localSheetId="1" hidden="1">'Lookup info'!#REF!</definedName>
    <definedName name="ExactAddinReport3.Data" localSheetId="1" hidden="1">"Table=magaz;Column1.Name=magcode;Column1.Sort=1;Column1.Filter=0;Column1.Value=;Column2.Name=naam;Column2.Sort=0;Column2.Filter=0;Column2.Value=;Column3.Name=adr_City;Column3.Sort=0;Column3.Filter=0;Column3.Value=;System.Company=001;System.New=0;Syste"</definedName>
    <definedName name="ExactAddinReport3.Data.2" localSheetId="1" hidden="1">"m.Wizard=Table;System.Update=-1"</definedName>
    <definedName name="ExactAddinReport4.Area" localSheetId="1" hidden="1">'Lookup info'!#REF!</definedName>
    <definedName name="ExactAddinReport4.Data" localSheetId="1" hidden="1">"Table=magaz;Column1.Name=magcode;Column1.Sort=0;Column1.Filter=0;Column1.Value=;Column2.Name=naam;Column2.Sort=0;Column2.Filter=0;Column2.Value=;Column3.Name=adr_AddressLine2;Column3.Sort=1;Column3.Filter=2;Column3.Value=;Column4.Name=adr_AddressLine3"</definedName>
    <definedName name="ExactAddinReport4.Data.2" localSheetId="1" hidden="1">";Column4.Sort=0;Column4.Filter=0;Column4.Value=;System.Company=001;System.New=0;System.Wizard=Table;System.Update=-1"</definedName>
    <definedName name="ExactAddinReports" hidden="1">4</definedName>
    <definedName name="_xlnm.Print_Area" localSheetId="0">Order!$A$1:$K$44</definedName>
    <definedName name="Report1.Header">'Lookup info'!$A$4:$B$4</definedName>
    <definedName name="Report1.Range">'Lookup info'!$A$5:$B$45</definedName>
    <definedName name="Report2.Header">'Lookup info'!$E$4:$H$4</definedName>
    <definedName name="Report2.Range">'Lookup info'!$E$5:$H$20</definedName>
    <definedName name="Report3.Header">'Lookup info'!#REF!</definedName>
    <definedName name="Report3.Range">'Lookup info'!#REF!</definedName>
    <definedName name="Report4.Header">'Lookup info'!#REF!</definedName>
    <definedName name="Report4.Range">'Lookup info'!#REF!</definedName>
  </definedNames>
  <calcPr calcId="181029"/>
</workbook>
</file>

<file path=xl/calcChain.xml><?xml version="1.0" encoding="utf-8"?>
<calcChain xmlns="http://schemas.openxmlformats.org/spreadsheetml/2006/main">
  <c r="J23" i="1" l="1"/>
  <c r="F23" i="1"/>
  <c r="E23" i="1"/>
  <c r="K21" i="1" l="1"/>
  <c r="K20" i="1"/>
  <c r="K41" i="1"/>
  <c r="J41" i="1" s="1"/>
  <c r="K40" i="1"/>
  <c r="J40" i="1" s="1"/>
  <c r="K39" i="1"/>
  <c r="I27" i="1"/>
  <c r="I41" i="1"/>
  <c r="I40" i="1"/>
  <c r="J39" i="1" l="1"/>
  <c r="I39" i="1"/>
  <c r="J38" i="1"/>
  <c r="I38" i="1"/>
  <c r="I28" i="1" l="1"/>
  <c r="I29" i="1"/>
  <c r="I30" i="1"/>
  <c r="I25" i="1" l="1"/>
  <c r="I26" i="1"/>
  <c r="I24" i="1"/>
  <c r="J30" i="1"/>
  <c r="J29" i="1"/>
  <c r="J28" i="1"/>
  <c r="J26" i="1"/>
  <c r="J25" i="1"/>
  <c r="J24" i="1"/>
  <c r="J22" i="1"/>
  <c r="J21" i="1"/>
  <c r="J20" i="1"/>
  <c r="J19" i="1"/>
  <c r="J18" i="1"/>
  <c r="J17" i="1"/>
  <c r="F30" i="1"/>
  <c r="E30" i="1"/>
  <c r="F29" i="1"/>
  <c r="E29" i="1"/>
  <c r="F28" i="1"/>
  <c r="E28" i="1"/>
  <c r="F27" i="1"/>
  <c r="E27" i="1"/>
  <c r="F26" i="1"/>
  <c r="E26" i="1"/>
  <c r="F25" i="1"/>
  <c r="E25" i="1"/>
  <c r="F24" i="1"/>
  <c r="E24" i="1"/>
  <c r="J31" i="1" l="1"/>
  <c r="J33" i="1"/>
  <c r="J32" i="1"/>
  <c r="I37" i="1" l="1"/>
  <c r="I36" i="1"/>
  <c r="I35" i="1"/>
  <c r="I34" i="1"/>
  <c r="I33" i="1"/>
  <c r="I32" i="1"/>
  <c r="I31" i="1"/>
  <c r="J37" i="1"/>
  <c r="J36" i="1"/>
  <c r="J35" i="1"/>
  <c r="J34" i="1"/>
  <c r="M37" i="1"/>
  <c r="E36" i="1"/>
  <c r="F34" i="1"/>
  <c r="E34" i="1"/>
  <c r="D6" i="3"/>
  <c r="D7" i="3"/>
  <c r="F32" i="1" s="1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5" i="3"/>
  <c r="M22" i="1"/>
  <c r="M31" i="1"/>
  <c r="M33" i="1"/>
  <c r="M34" i="1"/>
  <c r="M35" i="1"/>
  <c r="M19" i="1"/>
  <c r="E32" i="1" l="1"/>
  <c r="E18" i="1"/>
  <c r="F17" i="1"/>
  <c r="E19" i="1"/>
  <c r="F36" i="1"/>
  <c r="E22" i="1"/>
  <c r="F41" i="1"/>
  <c r="F40" i="1"/>
  <c r="E41" i="1"/>
  <c r="E40" i="1"/>
  <c r="F39" i="1"/>
  <c r="F38" i="1"/>
  <c r="E39" i="1"/>
  <c r="E38" i="1"/>
  <c r="E33" i="1"/>
  <c r="E37" i="1"/>
  <c r="F33" i="1"/>
  <c r="F37" i="1"/>
  <c r="E31" i="1"/>
  <c r="E35" i="1"/>
  <c r="E17" i="1"/>
  <c r="F31" i="1"/>
  <c r="F35" i="1"/>
  <c r="M21" i="1"/>
  <c r="M36" i="1"/>
  <c r="M32" i="1"/>
  <c r="M18" i="1"/>
  <c r="M20" i="1"/>
  <c r="F19" i="1"/>
  <c r="F18" i="1"/>
  <c r="F22" i="1"/>
  <c r="F21" i="1"/>
  <c r="E21" i="1"/>
  <c r="F20" i="1"/>
  <c r="E20" i="1"/>
  <c r="M17" i="1" l="1"/>
  <c r="J27" i="1" l="1"/>
</calcChain>
</file>

<file path=xl/sharedStrings.xml><?xml version="1.0" encoding="utf-8"?>
<sst xmlns="http://schemas.openxmlformats.org/spreadsheetml/2006/main" count="298" uniqueCount="262">
  <si>
    <t>Debtor number</t>
  </si>
  <si>
    <t xml:space="preserve">Order Proposal </t>
  </si>
  <si>
    <t>Order / PF number</t>
  </si>
  <si>
    <t>Loading</t>
  </si>
  <si>
    <t>Size / Type</t>
  </si>
  <si>
    <t>Transport</t>
  </si>
  <si>
    <t>PRODUCT DESCRIPTION</t>
  </si>
  <si>
    <t>CORPORATE CODE</t>
  </si>
  <si>
    <t>SUGGESTED ORDER QUANTITY IN PALLETS</t>
  </si>
  <si>
    <t>CONFIRMED ORDER QUANTITY IN PALLETS</t>
  </si>
  <si>
    <t>CONFIRMED ORDER QUANTITY IN TU</t>
  </si>
  <si>
    <t xml:space="preserve">Combined with </t>
  </si>
  <si>
    <t>Palletized</t>
  </si>
  <si>
    <t>Comments:</t>
  </si>
  <si>
    <t>Cus</t>
  </si>
  <si>
    <t>Planned utilization</t>
  </si>
  <si>
    <t>Pre-payment customer</t>
  </si>
  <si>
    <t>No</t>
  </si>
  <si>
    <t>Sea</t>
  </si>
  <si>
    <t>TOTAL CONFIRMED TU:</t>
  </si>
  <si>
    <t>TOTAL CONFIRMED PALLETS:</t>
  </si>
  <si>
    <t>Target utilization</t>
  </si>
  <si>
    <t>Grams</t>
  </si>
  <si>
    <t>Supply Point</t>
  </si>
  <si>
    <t xml:space="preserve">40FT </t>
  </si>
  <si>
    <t>no</t>
  </si>
  <si>
    <t>Otmuchow</t>
  </si>
  <si>
    <t>SUGGESTED ORDER QUANTITY IN TU</t>
    <phoneticPr fontId="12" type="noConversion"/>
  </si>
  <si>
    <t>Initials</t>
  </si>
  <si>
    <t>AP</t>
  </si>
  <si>
    <t>PO/SO fulfillment date</t>
  </si>
  <si>
    <t>WAREHOUSE CODE</t>
  </si>
  <si>
    <t>0002</t>
  </si>
  <si>
    <t>0944</t>
  </si>
  <si>
    <t>Selection code</t>
  </si>
  <si>
    <t>Description (1)</t>
  </si>
  <si>
    <t>AA</t>
  </si>
  <si>
    <t>AG</t>
  </si>
  <si>
    <t>BA</t>
  </si>
  <si>
    <t>BC</t>
  </si>
  <si>
    <t>BK</t>
  </si>
  <si>
    <t>CA</t>
  </si>
  <si>
    <t>CN</t>
  </si>
  <si>
    <t>DN</t>
  </si>
  <si>
    <t>EN</t>
  </si>
  <si>
    <t>EP</t>
  </si>
  <si>
    <t>FG</t>
  </si>
  <si>
    <t>GS</t>
  </si>
  <si>
    <t>IK</t>
  </si>
  <si>
    <t>IO</t>
  </si>
  <si>
    <t>IS</t>
  </si>
  <si>
    <t>JC</t>
  </si>
  <si>
    <t>JE</t>
  </si>
  <si>
    <t>JK</t>
  </si>
  <si>
    <t>JN</t>
  </si>
  <si>
    <t>KP</t>
  </si>
  <si>
    <t>KS</t>
  </si>
  <si>
    <t>LB</t>
  </si>
  <si>
    <t>MB</t>
  </si>
  <si>
    <t>ME</t>
  </si>
  <si>
    <t>MJ</t>
  </si>
  <si>
    <t>MM</t>
  </si>
  <si>
    <t>MZ</t>
  </si>
  <si>
    <t>NA</t>
  </si>
  <si>
    <t>NS</t>
  </si>
  <si>
    <t>NU</t>
  </si>
  <si>
    <t>NV</t>
  </si>
  <si>
    <t>PK</t>
  </si>
  <si>
    <t>RP</t>
  </si>
  <si>
    <t>TB</t>
  </si>
  <si>
    <t>TK</t>
  </si>
  <si>
    <t>VG</t>
  </si>
  <si>
    <t>VS</t>
  </si>
  <si>
    <t>XX</t>
  </si>
  <si>
    <t>YC</t>
  </si>
  <si>
    <t>ANNA ALEKSANDROVA</t>
  </si>
  <si>
    <t>AGUSTINA GABIOUD</t>
  </si>
  <si>
    <t>ANTON PRYKHODKO</t>
  </si>
  <si>
    <t>BALKAN COUNTRIES</t>
  </si>
  <si>
    <t>BARBARA CANGA RICARTE</t>
  </si>
  <si>
    <t>BOTAKUZI AKEERBIEKE</t>
  </si>
  <si>
    <t>CAROLINA ROTGERS</t>
  </si>
  <si>
    <t>CAROLINE NAUTA</t>
  </si>
  <si>
    <t>DINA NURMAGAMBETOVA</t>
  </si>
  <si>
    <t>ELINA NIKOLOVA</t>
  </si>
  <si>
    <t>EVELIEN PARDOEN</t>
  </si>
  <si>
    <t>FRANCISO GIL LOPEZ</t>
  </si>
  <si>
    <t>GHISLAINE SMITS</t>
  </si>
  <si>
    <t>INNA KOCHUMA</t>
  </si>
  <si>
    <t>ITSASO ORTIGOSA ARRAIAGO</t>
  </si>
  <si>
    <t>IRINA STRIZHEVSKA</t>
  </si>
  <si>
    <t>JULIJA CARJOVA</t>
  </si>
  <si>
    <t>JANAIKA ELDERS</t>
  </si>
  <si>
    <t>JANA KAUMANN</t>
  </si>
  <si>
    <t>JACK NIAMA</t>
  </si>
  <si>
    <t>KATERINA PALMOU</t>
  </si>
  <si>
    <t>KSENIA SANINOVA</t>
  </si>
  <si>
    <t>LUBA BISCHOT</t>
  </si>
  <si>
    <t>MARCELLA BUERGER</t>
  </si>
  <si>
    <t>MIRJAM EKDOM</t>
  </si>
  <si>
    <t>MIRIAM JIMENEZ RUBIA</t>
  </si>
  <si>
    <t>MAXIM MURASHKOV</t>
  </si>
  <si>
    <t>MALIN ZIZALA</t>
  </si>
  <si>
    <t>NORTH AFRICA COUNTRIES</t>
  </si>
  <si>
    <t>NATALIIA SLEZNEVA</t>
  </si>
  <si>
    <t>Not used</t>
  </si>
  <si>
    <t>NATALLIA VISHNYAKOVA</t>
  </si>
  <si>
    <t>PETRA KORTEKAAS</t>
  </si>
  <si>
    <t>RHINTANY PUTRI</t>
  </si>
  <si>
    <t>TAL VAN DE BERG</t>
  </si>
  <si>
    <t>TATIANA KARAZHAKOVA</t>
  </si>
  <si>
    <t>VALENTINA GURINOVICH</t>
  </si>
  <si>
    <t>VIVIANE STORM</t>
  </si>
  <si>
    <t>NOT USED</t>
  </si>
  <si>
    <t>YARELI CONTRERAS</t>
  </si>
  <si>
    <t>BM</t>
  </si>
  <si>
    <t>Bob Minion</t>
  </si>
  <si>
    <t>Warehouse code</t>
  </si>
  <si>
    <t>Name</t>
  </si>
  <si>
    <t>0001</t>
  </si>
  <si>
    <t>0023</t>
  </si>
  <si>
    <t>0057</t>
  </si>
  <si>
    <t>0074</t>
  </si>
  <si>
    <t>0089</t>
  </si>
  <si>
    <t>0091</t>
  </si>
  <si>
    <t>0120</t>
  </si>
  <si>
    <t>0146</t>
  </si>
  <si>
    <t>0190</t>
  </si>
  <si>
    <t>0510</t>
  </si>
  <si>
    <t>0518</t>
  </si>
  <si>
    <t>0904</t>
  </si>
  <si>
    <t>0991</t>
  </si>
  <si>
    <t>0994</t>
  </si>
  <si>
    <t>NV NUTRICIA</t>
  </si>
  <si>
    <t>NUTRICIA CUIJK B.V.</t>
  </si>
  <si>
    <t>NUTRICIA INFANT NUTRITION LTD</t>
  </si>
  <si>
    <t>P.T. NUTRICIA INDONESIA</t>
  </si>
  <si>
    <t>NUTRICIA POLSKA</t>
  </si>
  <si>
    <t>NUTRICIA LLC</t>
  </si>
  <si>
    <t>SHS INTERNATIONAL LTD</t>
  </si>
  <si>
    <t>MILUPA GMBH &amp; CO</t>
  </si>
  <si>
    <t>KASDORF S.A.</t>
  </si>
  <si>
    <t>Nutricia Pharmaceutical (Wuxi)</t>
  </si>
  <si>
    <t>BLEDINA - STEENVOORDE</t>
  </si>
  <si>
    <t>BLEDINA - VILLEFRANCHE</t>
  </si>
  <si>
    <t>KRUEGER</t>
  </si>
  <si>
    <t>GRUPA OTMUCHOW</t>
  </si>
  <si>
    <t>THIRD PARTY SUPPLIERS</t>
  </si>
  <si>
    <t>WUXI</t>
  </si>
  <si>
    <t>Supply Point disc. Letter</t>
  </si>
  <si>
    <t>C</t>
  </si>
  <si>
    <t>O</t>
  </si>
  <si>
    <t>Warehouse information</t>
  </si>
  <si>
    <t>Istra</t>
  </si>
  <si>
    <t>Z</t>
  </si>
  <si>
    <t>W</t>
  </si>
  <si>
    <t>P</t>
  </si>
  <si>
    <t>I</t>
  </si>
  <si>
    <t>L</t>
  </si>
  <si>
    <t>F</t>
  </si>
  <si>
    <t>K</t>
  </si>
  <si>
    <t>WX</t>
  </si>
  <si>
    <t>S</t>
  </si>
  <si>
    <t>V</t>
  </si>
  <si>
    <t>KR</t>
  </si>
  <si>
    <t>OT</t>
  </si>
  <si>
    <t>3P</t>
  </si>
  <si>
    <t>Zoetermeer</t>
  </si>
  <si>
    <t>Haps</t>
  </si>
  <si>
    <t>Wexford</t>
  </si>
  <si>
    <t>PTNIS</t>
  </si>
  <si>
    <t>Opole</t>
  </si>
  <si>
    <t>Liverpool</t>
  </si>
  <si>
    <t>Fulda</t>
  </si>
  <si>
    <t>Kasdorf</t>
  </si>
  <si>
    <t>Wuxi</t>
  </si>
  <si>
    <t>Steenvoorde</t>
  </si>
  <si>
    <t>Villefranche</t>
  </si>
  <si>
    <t>Krueger</t>
  </si>
  <si>
    <t>Medical Logistics (3PS)</t>
  </si>
  <si>
    <t>Address line 2</t>
  </si>
  <si>
    <t>Address line 3</t>
  </si>
  <si>
    <t>Wuxi (Nutricia Pharmaceutical)</t>
  </si>
  <si>
    <t>Planner name</t>
  </si>
  <si>
    <t>Note, these schedules are downloads from exact, don't change them manually</t>
  </si>
  <si>
    <t>APTAMIL PROFUTURA 1  4X800G KOR</t>
  </si>
  <si>
    <t>APTAMIL PROFUTURA 2  4X800G KOR</t>
  </si>
  <si>
    <t>APTAMIL PROFUTURA 3  4X800G KOR</t>
  </si>
  <si>
    <t>APTAMIL 1 KOR 4X800G</t>
  </si>
  <si>
    <t>APTAMIL 2 KOR  4X800G</t>
  </si>
  <si>
    <t>APTAMIL 3 KOR 4X800G</t>
  </si>
  <si>
    <t>Tu's per pallet</t>
    <phoneticPr fontId="12" type="noConversion"/>
  </si>
  <si>
    <t>FS</t>
  </si>
  <si>
    <t>FABIANA DE SANCTIS</t>
  </si>
  <si>
    <t>676366D</t>
  </si>
  <si>
    <t>676367D</t>
  </si>
  <si>
    <t>676369D</t>
  </si>
  <si>
    <t>677211D</t>
  </si>
  <si>
    <t>677200D</t>
  </si>
  <si>
    <t>677281D</t>
  </si>
  <si>
    <t>658159D</t>
  </si>
  <si>
    <t>APTAMIL 3, KOR 6X800G</t>
  </si>
  <si>
    <t>APT PROFUTURA PRE, KOR 4X800G</t>
  </si>
  <si>
    <t>APT PROFUTURA 1, KOR 4X800G</t>
  </si>
  <si>
    <t>APT PROFUTURA 2, KOR 4X800G</t>
  </si>
  <si>
    <t>APTAMIL PRE 6X800G CR/SL</t>
  </si>
  <si>
    <t>APTAMIL 1 6X800G CR/SL</t>
  </si>
  <si>
    <t>APTAMIL 2 6X800G CR/SL</t>
  </si>
  <si>
    <t>APTAMIL 3 6X800G CR/SL</t>
  </si>
  <si>
    <t> Factory </t>
  </si>
  <si>
    <t> SKU </t>
  </si>
  <si>
    <t> Order (TU) </t>
  </si>
  <si>
    <t> Order (CU) </t>
  </si>
  <si>
    <t> Pallets </t>
  </si>
  <si>
    <t> WEXFORD </t>
  </si>
  <si>
    <t> PN Stage pre </t>
  </si>
  <si>
    <t xml:space="preserve">              576 </t>
  </si>
  <si>
    <t xml:space="preserve">           2,304 </t>
  </si>
  <si>
    <t xml:space="preserve">        4.0 </t>
  </si>
  <si>
    <t> PN Stage 1 </t>
  </si>
  <si>
    <t xml:space="preserve">              432 </t>
  </si>
  <si>
    <t xml:space="preserve">           1,728 </t>
  </si>
  <si>
    <t xml:space="preserve">        3.0 </t>
  </si>
  <si>
    <t> PN Stage 2 </t>
  </si>
  <si>
    <t xml:space="preserve">              720 </t>
  </si>
  <si>
    <t xml:space="preserve">           2,880 </t>
  </si>
  <si>
    <t xml:space="preserve">        5.0 </t>
  </si>
  <si>
    <t> PN Stage 3 </t>
  </si>
  <si>
    <t xml:space="preserve">              144 </t>
  </si>
  <si>
    <t xml:space="preserve">             576 </t>
  </si>
  <si>
    <t xml:space="preserve">        1.0 </t>
  </si>
  <si>
    <t> Total </t>
  </si>
  <si>
    <t xml:space="preserve">           1,872 </t>
  </si>
  <si>
    <t xml:space="preserve">           7,488 </t>
  </si>
  <si>
    <t xml:space="preserve">       13.0 </t>
  </si>
  <si>
    <t> FULDA </t>
  </si>
  <si>
    <t> PF Stage pre </t>
  </si>
  <si>
    <t> PF Stage 1 </t>
  </si>
  <si>
    <t> PF Stage 2 </t>
  </si>
  <si>
    <t xml:space="preserve">           1,632 </t>
  </si>
  <si>
    <t xml:space="preserve">           6,528 </t>
  </si>
  <si>
    <t xml:space="preserve">       17.0 </t>
  </si>
  <si>
    <t xml:space="preserve">           4,128 </t>
  </si>
  <si>
    <t xml:space="preserve">         16,512 </t>
  </si>
  <si>
    <t xml:space="preserve">       43.0 </t>
  </si>
  <si>
    <t> Grand total </t>
  </si>
  <si>
    <t xml:space="preserve">         24,000 </t>
  </si>
  <si>
    <t xml:space="preserve">         56 </t>
  </si>
  <si>
    <t xml:space="preserve">           1,248 </t>
  </si>
  <si>
    <t xml:space="preserve">           4,992 </t>
  </si>
  <si>
    <t>APTAMIL PF DUO YCF1+, 4X800G KOR</t>
  </si>
  <si>
    <t>APTAMIL PF DUO YCF2+, 4X800G KOR</t>
  </si>
  <si>
    <t>APTAMIL AR 1 ENG 24X400G</t>
  </si>
  <si>
    <t>APTAMIL COMF 1 ESC 24X400GEXPORT</t>
  </si>
  <si>
    <t xml:space="preserve">Krone - South Korea </t>
    <phoneticPr fontId="12" type="noConversion"/>
  </si>
  <si>
    <t>10/25/2024</t>
  </si>
  <si>
    <t>October</t>
  </si>
  <si>
    <t>W/F/10/2024</t>
  </si>
  <si>
    <t>APTAMIL PRONUTRA 1 3X1200G</t>
  </si>
  <si>
    <t>APTAMIL PRONUTRA 2 3X1200G</t>
  </si>
  <si>
    <t>APT TAB IF 4X(105 X4.6G)IT</t>
  </si>
  <si>
    <t>APT TAB FO NWW 4X(105X4.8G) 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</si>
</sst>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3">
    <numFmt numFmtId="41" formatCode="_-* #,##0_-;\-* #,##0_-;_-* &quot;-&quot;_-;_-@_-"/>
    <numFmt numFmtId="43" formatCode="_-* #,##0.00_-;\-* #,##0.00_-;_-* &quot;-&quot;??_-;_-@_-"/>
    <numFmt numFmtId="176" formatCode="_(&quot;$&quot;* #,##0.00_);_(&quot;$&quot;* \(#,##0.00\);_(&quot;$&quot;* &quot;-&quot;??_);_(@_)"/>
    <numFmt numFmtId="177" formatCode="_ &quot;€&quot;\ * #,##0.00_ ;_ &quot;€&quot;\ * \-#,##0.00_ ;_ &quot;€&quot;\ * &quot;-&quot;??_ ;_ @_ "/>
    <numFmt numFmtId="178" formatCode="_ * #,##0.00_ ;_ * \-#,##0.00_ ;_ * &quot;-&quot;??_ ;_ @_ "/>
    <numFmt numFmtId="179" formatCode="_-* #,##0.00_-;_-* #,##0.00\-;_-* &quot;-&quot;??_-;_-@_-"/>
    <numFmt numFmtId="180" formatCode="_(* #,##0.00_);_(* \(\ #,##0.00\ \);_(* &quot;-&quot;??_);_(\ @_ \)"/>
    <numFmt numFmtId="181" formatCode="_ * #,##0.00_)\ [$€-1]_ ;_ * \(#,##0.00\)\ [$€-1]_ ;_ * &quot;-&quot;??_)\ [$€-1]_ "/>
    <numFmt numFmtId="182" formatCode="_ [$€-2]\ * #,##0.00_ ;_ [$€-2]\ * \-#,##0.00_ ;_ [$€-2]\ * &quot;-&quot;??_ "/>
    <numFmt numFmtId="183" formatCode="_-* #,##0.00\ [$€]_-;\-* #,##0.00\ [$€]_-;_-* &quot;-&quot;??\ [$€]_-;_-@_-"/>
    <numFmt numFmtId="184" formatCode="###,000"/>
    <numFmt numFmtId="185" formatCode="0_);[Red]\(0\)"/>
    <numFmt numFmtId="186" formatCode="_-* #,##0.0_-;\-* #,##0.0_-;_-* &quot;-&quot;_-;_-@_-"/>
  </numFmts>
  <fonts count="29">
    <font>
      <sz val="11"/>
      <color theme="1"/>
      <name val="맑은 고딕"/>
      <family val="2"/>
      <scheme val="minor"/>
    </font>
    <font>
      <sz val="10"/>
      <color theme="1"/>
      <name val="맑은 고딕"/>
      <family val="2"/>
      <scheme val="minor"/>
    </font>
    <font>
      <b/>
      <sz val="10"/>
      <color theme="1"/>
      <name val="맑은 고딕"/>
      <family val="2"/>
      <scheme val="minor"/>
    </font>
    <font>
      <b/>
      <sz val="9"/>
      <color theme="0"/>
      <name val="맑은 고딕"/>
      <family val="2"/>
      <scheme val="minor"/>
    </font>
    <font>
      <sz val="8"/>
      <color rgb="FFFF0000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10"/>
      <name val="맑은 고딕"/>
      <family val="2"/>
      <scheme val="minor"/>
    </font>
    <font>
      <b/>
      <sz val="10"/>
      <name val="맑은 고딕"/>
      <family val="2"/>
      <scheme val="minor"/>
    </font>
    <font>
      <sz val="11"/>
      <name val="맑은 고딕"/>
      <family val="2"/>
      <scheme val="minor"/>
    </font>
    <font>
      <b/>
      <sz val="12"/>
      <name val="맑은 고딕"/>
      <family val="2"/>
      <scheme val="minor"/>
    </font>
    <font>
      <sz val="10"/>
      <color indexed="8"/>
      <name val="Calibri"/>
      <family val="2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9"/>
      <name val="맑은 고딕"/>
      <family val="2"/>
      <scheme val="minor"/>
    </font>
    <font>
      <b/>
      <sz val="11"/>
      <color rgb="FFFF0000"/>
      <name val="맑은 고딕"/>
      <family val="2"/>
      <scheme val="minor"/>
    </font>
    <font>
      <sz val="10"/>
      <name val="Arial"/>
      <family val="2"/>
    </font>
    <font>
      <sz val="10"/>
      <name val="Tahoma"/>
      <family val="2"/>
    </font>
    <font>
      <sz val="11"/>
      <color indexed="8"/>
      <name val="Calibri"/>
      <family val="2"/>
    </font>
    <font>
      <sz val="11"/>
      <color rgb="FF9C6500"/>
      <name val="맑은 고딕"/>
      <family val="2"/>
      <scheme val="minor"/>
    </font>
    <font>
      <sz val="10"/>
      <name val="Tahoma"/>
      <family val="2"/>
      <charset val="238"/>
    </font>
    <font>
      <sz val="10"/>
      <name val="Arial Cyr"/>
      <charset val="204"/>
    </font>
    <font>
      <sz val="10"/>
      <name val="Helv"/>
      <charset val="204"/>
    </font>
    <font>
      <sz val="10"/>
      <color theme="1"/>
      <name val="Arial"/>
      <family val="2"/>
    </font>
    <font>
      <sz val="8"/>
      <color rgb="FF1F497D"/>
      <name val="Verdana"/>
      <family val="2"/>
    </font>
    <font>
      <sz val="10"/>
      <color theme="3"/>
      <name val="맑은 고딕"/>
      <family val="2"/>
      <scheme val="minor"/>
    </font>
    <font>
      <b/>
      <sz val="10"/>
      <color theme="3"/>
      <name val="맑은 고딕"/>
      <family val="2"/>
      <scheme val="minor"/>
    </font>
    <font>
      <sz val="10"/>
      <color theme="1"/>
      <name val="Times New Roman"/>
      <family val="1"/>
    </font>
    <font>
      <sz val="11"/>
      <color rgb="FF000000"/>
      <name val="Calibri"/>
      <family val="2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8B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EB9C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92D05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58">
    <xf numFmtId="0" fontId="0" fillId="0" borderId="0"/>
    <xf numFmtId="41" fontId="11" fillId="0" borderId="0" applyFont="0" applyFill="0" applyBorder="0" applyAlignment="0" applyProtection="0">
      <alignment vertical="center"/>
    </xf>
    <xf numFmtId="179" fontId="11" fillId="0" borderId="0" applyFont="0" applyFill="0" applyBorder="0" applyAlignment="0" applyProtection="0"/>
    <xf numFmtId="179" fontId="11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16" fillId="0" borderId="0"/>
    <xf numFmtId="9" fontId="16" fillId="0" borderId="0" applyFont="0" applyFill="0" applyBorder="0" applyAlignment="0" applyProtection="0"/>
    <xf numFmtId="0" fontId="17" fillId="0" borderId="0"/>
    <xf numFmtId="9" fontId="18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9" fillId="11" borderId="0" applyNumberFormat="0" applyBorder="0" applyAlignment="0" applyProtection="0"/>
    <xf numFmtId="0" fontId="20" fillId="0" borderId="0"/>
    <xf numFmtId="177" fontId="11" fillId="0" borderId="0" applyFont="0" applyFill="0" applyBorder="0" applyAlignment="0" applyProtection="0"/>
    <xf numFmtId="179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7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81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21" fillId="0" borderId="0"/>
    <xf numFmtId="0" fontId="17" fillId="0" borderId="0"/>
    <xf numFmtId="0" fontId="16" fillId="0" borderId="0"/>
    <xf numFmtId="0" fontId="22" fillId="0" borderId="0"/>
    <xf numFmtId="0" fontId="16" fillId="0" borderId="0"/>
    <xf numFmtId="0" fontId="23" fillId="0" borderId="0"/>
    <xf numFmtId="177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8" fontId="16" fillId="0" borderId="0" applyFont="0" applyFill="0" applyBorder="0" applyAlignment="0" applyProtection="0"/>
    <xf numFmtId="177" fontId="11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1" fillId="0" borderId="0" applyFont="0" applyFill="0" applyBorder="0" applyAlignment="0" applyProtection="0"/>
    <xf numFmtId="177" fontId="11" fillId="0" borderId="0" applyFont="0" applyFill="0" applyBorder="0" applyAlignment="0" applyProtection="0"/>
    <xf numFmtId="0" fontId="11" fillId="0" borderId="0"/>
    <xf numFmtId="182" fontId="16" fillId="0" borderId="0" applyFont="0" applyFill="0" applyBorder="0" applyAlignment="0" applyProtection="0"/>
    <xf numFmtId="183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0" fontId="16" fillId="0" borderId="0"/>
    <xf numFmtId="9" fontId="16" fillId="0" borderId="0" applyFont="0" applyFill="0" applyBorder="0" applyAlignment="0" applyProtection="0"/>
    <xf numFmtId="0" fontId="11" fillId="0" borderId="0"/>
    <xf numFmtId="9" fontId="18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23" fillId="0" borderId="0"/>
    <xf numFmtId="41" fontId="11" fillId="0" borderId="0" applyFont="0" applyFill="0" applyBorder="0" applyAlignment="0" applyProtection="0">
      <alignment vertical="center"/>
    </xf>
    <xf numFmtId="0" fontId="16" fillId="0" borderId="0"/>
    <xf numFmtId="184" fontId="24" fillId="0" borderId="17" applyNumberFormat="0" applyProtection="0">
      <alignment horizontal="right" vertical="center"/>
    </xf>
    <xf numFmtId="179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8" fontId="16" fillId="0" borderId="0" applyFont="0" applyFill="0" applyBorder="0" applyAlignment="0" applyProtection="0"/>
    <xf numFmtId="179" fontId="11" fillId="0" borderId="0" applyFont="0" applyFill="0" applyBorder="0" applyAlignment="0" applyProtection="0"/>
    <xf numFmtId="179" fontId="11" fillId="0" borderId="0" applyFont="0" applyFill="0" applyBorder="0" applyAlignment="0" applyProtection="0"/>
  </cellStyleXfs>
  <cellXfs count="94">
    <xf numFmtId="0" fontId="0" fillId="0" borderId="0" xfId="0"/>
    <xf numFmtId="0" fontId="0" fillId="2" borderId="0" xfId="0" applyFill="1"/>
    <xf numFmtId="0" fontId="1" fillId="2" borderId="1" xfId="0" applyFont="1" applyFill="1" applyBorder="1"/>
    <xf numFmtId="0" fontId="1" fillId="2" borderId="0" xfId="0" applyFont="1" applyFill="1"/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2" fillId="2" borderId="0" xfId="0" applyFont="1" applyFill="1"/>
    <xf numFmtId="0" fontId="4" fillId="2" borderId="0" xfId="0" applyFont="1" applyFill="1"/>
    <xf numFmtId="0" fontId="0" fillId="2" borderId="1" xfId="0" applyFill="1" applyBorder="1"/>
    <xf numFmtId="0" fontId="5" fillId="2" borderId="0" xfId="0" applyFont="1" applyFill="1"/>
    <xf numFmtId="0" fontId="5" fillId="2" borderId="0" xfId="0" applyFont="1" applyFill="1" applyAlignment="1">
      <alignment vertical="center"/>
    </xf>
    <xf numFmtId="0" fontId="5" fillId="0" borderId="0" xfId="0" applyFont="1"/>
    <xf numFmtId="0" fontId="8" fillId="2" borderId="0" xfId="0" applyFont="1" applyFill="1"/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6" fillId="0" borderId="1" xfId="0" applyFont="1" applyBorder="1" applyAlignment="1">
      <alignment horizontal="left"/>
    </xf>
    <xf numFmtId="0" fontId="1" fillId="2" borderId="0" xfId="0" applyFont="1" applyFill="1" applyAlignment="1">
      <alignment horizontal="left"/>
    </xf>
    <xf numFmtId="49" fontId="1" fillId="0" borderId="1" xfId="0" applyNumberFormat="1" applyFont="1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  <xf numFmtId="0" fontId="8" fillId="0" borderId="0" xfId="0" applyFont="1"/>
    <xf numFmtId="0" fontId="0" fillId="0" borderId="0" xfId="0" applyAlignment="1">
      <alignment horizontal="left"/>
    </xf>
    <xf numFmtId="9" fontId="0" fillId="2" borderId="1" xfId="0" applyNumberFormat="1" applyFill="1" applyBorder="1" applyAlignment="1">
      <alignment horizontal="left"/>
    </xf>
    <xf numFmtId="9" fontId="0" fillId="0" borderId="1" xfId="0" applyNumberFormat="1" applyBorder="1" applyAlignment="1">
      <alignment horizontal="left"/>
    </xf>
    <xf numFmtId="41" fontId="6" fillId="0" borderId="2" xfId="1" applyFont="1" applyFill="1" applyBorder="1" applyAlignment="1"/>
    <xf numFmtId="41" fontId="13" fillId="0" borderId="2" xfId="1" applyFont="1" applyFill="1" applyBorder="1" applyAlignment="1"/>
    <xf numFmtId="41" fontId="1" fillId="2" borderId="0" xfId="0" applyNumberFormat="1" applyFont="1" applyFill="1"/>
    <xf numFmtId="0" fontId="9" fillId="4" borderId="6" xfId="0" applyFont="1" applyFill="1" applyBorder="1"/>
    <xf numFmtId="0" fontId="1" fillId="0" borderId="2" xfId="0" quotePrefix="1" applyFont="1" applyBorder="1"/>
    <xf numFmtId="0" fontId="14" fillId="5" borderId="4" xfId="0" applyFont="1" applyFill="1" applyBorder="1" applyAlignment="1">
      <alignment horizontal="center" vertical="center" wrapText="1"/>
    </xf>
    <xf numFmtId="49" fontId="0" fillId="2" borderId="7" xfId="0" applyNumberFormat="1" applyFill="1" applyBorder="1"/>
    <xf numFmtId="49" fontId="0" fillId="2" borderId="8" xfId="0" applyNumberFormat="1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0" fillId="5" borderId="1" xfId="0" applyFill="1" applyBorder="1"/>
    <xf numFmtId="49" fontId="0" fillId="2" borderId="0" xfId="0" applyNumberFormat="1" applyFill="1"/>
    <xf numFmtId="0" fontId="0" fillId="2" borderId="13" xfId="0" applyFill="1" applyBorder="1"/>
    <xf numFmtId="0" fontId="5" fillId="8" borderId="11" xfId="0" applyFont="1" applyFill="1" applyBorder="1"/>
    <xf numFmtId="0" fontId="5" fillId="8" borderId="12" xfId="0" applyFont="1" applyFill="1" applyBorder="1"/>
    <xf numFmtId="0" fontId="14" fillId="9" borderId="4" xfId="0" applyFont="1" applyFill="1" applyBorder="1" applyAlignment="1">
      <alignment horizontal="center" vertical="center" wrapText="1"/>
    </xf>
    <xf numFmtId="49" fontId="0" fillId="2" borderId="15" xfId="0" applyNumberFormat="1" applyFill="1" applyBorder="1"/>
    <xf numFmtId="49" fontId="0" fillId="2" borderId="16" xfId="0" applyNumberFormat="1" applyFill="1" applyBorder="1"/>
    <xf numFmtId="0" fontId="0" fillId="2" borderId="14" xfId="0" applyFill="1" applyBorder="1"/>
    <xf numFmtId="0" fontId="5" fillId="7" borderId="7" xfId="0" applyFont="1" applyFill="1" applyBorder="1"/>
    <xf numFmtId="0" fontId="5" fillId="7" borderId="0" xfId="0" applyFont="1" applyFill="1"/>
    <xf numFmtId="0" fontId="5" fillId="7" borderId="8" xfId="0" applyFont="1" applyFill="1" applyBorder="1"/>
    <xf numFmtId="0" fontId="15" fillId="2" borderId="0" xfId="0" applyFont="1" applyFill="1"/>
    <xf numFmtId="41" fontId="7" fillId="5" borderId="2" xfId="1" applyFont="1" applyFill="1" applyBorder="1" applyAlignment="1"/>
    <xf numFmtId="41" fontId="0" fillId="0" borderId="0" xfId="0" applyNumberFormat="1"/>
    <xf numFmtId="41" fontId="0" fillId="0" borderId="0" xfId="1" applyFont="1" applyFill="1" applyAlignment="1"/>
    <xf numFmtId="41" fontId="6" fillId="2" borderId="0" xfId="0" applyNumberFormat="1" applyFont="1" applyFill="1"/>
    <xf numFmtId="41" fontId="0" fillId="2" borderId="0" xfId="1" applyFont="1" applyFill="1" applyAlignment="1"/>
    <xf numFmtId="49" fontId="1" fillId="2" borderId="1" xfId="0" applyNumberFormat="1" applyFont="1" applyFill="1" applyBorder="1" applyAlignment="1">
      <alignment horizontal="left"/>
    </xf>
    <xf numFmtId="0" fontId="25" fillId="0" borderId="1" xfId="0" applyFont="1" applyBorder="1" applyAlignment="1">
      <alignment horizontal="left"/>
    </xf>
    <xf numFmtId="0" fontId="25" fillId="0" borderId="1" xfId="0" applyFont="1" applyBorder="1"/>
    <xf numFmtId="0" fontId="25" fillId="0" borderId="2" xfId="0" quotePrefix="1" applyFont="1" applyBorder="1"/>
    <xf numFmtId="41" fontId="25" fillId="0" borderId="2" xfId="1" applyFont="1" applyFill="1" applyBorder="1" applyAlignment="1"/>
    <xf numFmtId="41" fontId="26" fillId="0" borderId="2" xfId="1" applyFont="1" applyFill="1" applyBorder="1" applyAlignment="1"/>
    <xf numFmtId="0" fontId="1" fillId="12" borderId="1" xfId="0" applyFont="1" applyFill="1" applyBorder="1" applyAlignment="1">
      <alignment horizontal="left"/>
    </xf>
    <xf numFmtId="0" fontId="1" fillId="12" borderId="1" xfId="0" applyFont="1" applyFill="1" applyBorder="1"/>
    <xf numFmtId="0" fontId="1" fillId="12" borderId="2" xfId="0" quotePrefix="1" applyFont="1" applyFill="1" applyBorder="1"/>
    <xf numFmtId="0" fontId="6" fillId="12" borderId="1" xfId="0" applyFont="1" applyFill="1" applyBorder="1" applyAlignment="1">
      <alignment horizontal="left"/>
    </xf>
    <xf numFmtId="0" fontId="6" fillId="12" borderId="1" xfId="0" applyFont="1" applyFill="1" applyBorder="1"/>
    <xf numFmtId="0" fontId="6" fillId="12" borderId="2" xfId="0" quotePrefix="1" applyFont="1" applyFill="1" applyBorder="1"/>
    <xf numFmtId="41" fontId="6" fillId="12" borderId="2" xfId="1" applyFont="1" applyFill="1" applyBorder="1" applyAlignment="1"/>
    <xf numFmtId="0" fontId="27" fillId="0" borderId="0" xfId="0" applyFont="1" applyAlignment="1">
      <alignment vertical="center"/>
    </xf>
    <xf numFmtId="41" fontId="0" fillId="2" borderId="0" xfId="0" applyNumberFormat="1" applyFill="1"/>
    <xf numFmtId="0" fontId="28" fillId="13" borderId="18" xfId="0" applyFont="1" applyFill="1" applyBorder="1" applyAlignment="1">
      <alignment horizontal="center" vertical="center"/>
    </xf>
    <xf numFmtId="0" fontId="28" fillId="13" borderId="12" xfId="0" applyFont="1" applyFill="1" applyBorder="1" applyAlignment="1">
      <alignment horizontal="center" vertical="center"/>
    </xf>
    <xf numFmtId="0" fontId="28" fillId="14" borderId="10" xfId="0" applyFont="1" applyFill="1" applyBorder="1" applyAlignment="1">
      <alignment horizontal="center" vertical="center"/>
    </xf>
    <xf numFmtId="0" fontId="28" fillId="0" borderId="10" xfId="0" applyFont="1" applyBorder="1" applyAlignment="1">
      <alignment horizontal="center" vertical="center"/>
    </xf>
    <xf numFmtId="0" fontId="28" fillId="15" borderId="10" xfId="0" applyFont="1" applyFill="1" applyBorder="1" applyAlignment="1">
      <alignment horizontal="center" vertical="center"/>
    </xf>
    <xf numFmtId="0" fontId="28" fillId="16" borderId="19" xfId="0" applyFont="1" applyFill="1" applyBorder="1" applyAlignment="1">
      <alignment horizontal="center" vertical="center"/>
    </xf>
    <xf numFmtId="0" fontId="25" fillId="12" borderId="1" xfId="0" applyFont="1" applyFill="1" applyBorder="1" applyAlignment="1">
      <alignment horizontal="left"/>
    </xf>
    <xf numFmtId="0" fontId="25" fillId="12" borderId="1" xfId="0" applyFont="1" applyFill="1" applyBorder="1"/>
    <xf numFmtId="0" fontId="25" fillId="12" borderId="2" xfId="0" quotePrefix="1" applyFont="1" applyFill="1" applyBorder="1"/>
    <xf numFmtId="41" fontId="25" fillId="12" borderId="2" xfId="1" applyFont="1" applyFill="1" applyBorder="1" applyAlignment="1"/>
    <xf numFmtId="0" fontId="10" fillId="17" borderId="1" xfId="0" quotePrefix="1" applyFont="1" applyFill="1" applyBorder="1" applyAlignment="1">
      <alignment horizontal="center"/>
    </xf>
    <xf numFmtId="185" fontId="28" fillId="0" borderId="10" xfId="0" applyNumberFormat="1" applyFont="1" applyBorder="1" applyAlignment="1">
      <alignment horizontal="center" vertical="center"/>
    </xf>
    <xf numFmtId="0" fontId="1" fillId="17" borderId="1" xfId="0" applyFont="1" applyFill="1" applyBorder="1" applyAlignment="1">
      <alignment horizontal="left"/>
    </xf>
    <xf numFmtId="41" fontId="7" fillId="17" borderId="2" xfId="1" applyFont="1" applyFill="1" applyBorder="1" applyAlignment="1"/>
    <xf numFmtId="0" fontId="28" fillId="0" borderId="21" xfId="0" applyFont="1" applyBorder="1" applyAlignment="1">
      <alignment horizontal="center" vertical="center"/>
    </xf>
    <xf numFmtId="0" fontId="28" fillId="0" borderId="20" xfId="0" applyFont="1" applyBorder="1" applyAlignment="1">
      <alignment horizontal="center" vertical="center"/>
    </xf>
    <xf numFmtId="0" fontId="28" fillId="0" borderId="19" xfId="0" applyFont="1" applyBorder="1" applyAlignment="1">
      <alignment horizontal="center" vertical="center"/>
    </xf>
    <xf numFmtId="0" fontId="5" fillId="6" borderId="11" xfId="0" applyFont="1" applyFill="1" applyBorder="1" applyAlignment="1">
      <alignment horizontal="center"/>
    </xf>
    <xf numFmtId="0" fontId="5" fillId="6" borderId="12" xfId="0" applyFont="1" applyFill="1" applyBorder="1" applyAlignment="1">
      <alignment horizontal="center"/>
    </xf>
    <xf numFmtId="0" fontId="5" fillId="10" borderId="14" xfId="0" applyFont="1" applyFill="1" applyBorder="1" applyAlignment="1">
      <alignment horizontal="center"/>
    </xf>
    <xf numFmtId="0" fontId="5" fillId="10" borderId="15" xfId="0" applyFont="1" applyFill="1" applyBorder="1" applyAlignment="1">
      <alignment horizontal="center"/>
    </xf>
    <xf numFmtId="0" fontId="5" fillId="10" borderId="16" xfId="0" applyFont="1" applyFill="1" applyBorder="1" applyAlignment="1">
      <alignment horizontal="center"/>
    </xf>
    <xf numFmtId="186" fontId="7" fillId="5" borderId="2" xfId="1" applyNumberFormat="1" applyFont="1" applyFill="1" applyBorder="1" applyAlignment="1"/>
  </cellXfs>
  <cellStyles count="58">
    <cellStyle name="Comma [0] 2" xfId="50" xr:uid="{0F06714B-857B-4D20-9FB4-35FC1437C6F1}"/>
    <cellStyle name="Comma 2" xfId="3" xr:uid="{E15A8ED3-31AD-4DB4-968B-6F877BED4EA9}"/>
    <cellStyle name="Comma 2 2" xfId="5" xr:uid="{B5A72B4C-F944-458F-8EA7-FBBC2D4EBC0E}"/>
    <cellStyle name="Comma 2 3" xfId="15" xr:uid="{63F02BF8-9FBE-4703-89E0-33C3CC23D25E}"/>
    <cellStyle name="Comma 2 3 2" xfId="31" xr:uid="{B633DAB1-18F9-40FC-B170-396B0814E238}"/>
    <cellStyle name="Comma 2 3 3" xfId="33" xr:uid="{FA3B658E-264A-4BE7-9E91-C9921D0D7C12}"/>
    <cellStyle name="Comma 2 3 4" xfId="55" xr:uid="{EDEDE662-2D7A-42DD-8A46-25F8587535F6}"/>
    <cellStyle name="Comma 3" xfId="2" xr:uid="{B1BDE74F-C80D-46C4-8F6C-8D55BD258D3E}"/>
    <cellStyle name="Comma 3 2" xfId="10" xr:uid="{E610DBF2-52B8-464E-84AC-80FEA2269943}"/>
    <cellStyle name="Comma 3 3" xfId="14" xr:uid="{466DBBCA-9D07-4107-9DD8-00103750C383}"/>
    <cellStyle name="Comma 4" xfId="17" xr:uid="{8B0FF04C-D21F-4588-AE52-2EB6F0F492B9}"/>
    <cellStyle name="Comma 5" xfId="18" xr:uid="{807DC355-2EC9-44E5-8CF6-5665EAA78DC3}"/>
    <cellStyle name="Comma 5 2" xfId="30" xr:uid="{F07689D4-D5FF-45B6-8DCA-A1B874A900A1}"/>
    <cellStyle name="Comma 5 3" xfId="34" xr:uid="{BE97AB8F-1861-42BB-A789-6B67BEFF1F08}"/>
    <cellStyle name="Comma 5 4" xfId="54" xr:uid="{E8035A63-0638-4CCE-8436-851EDC4E6549}"/>
    <cellStyle name="Comma 6" xfId="48" xr:uid="{C535B53D-AD56-4929-9211-5867D4C9E026}"/>
    <cellStyle name="Comma 7" xfId="53" xr:uid="{DD22B1B8-D9DE-4315-BFA8-0664BFD2CA62}"/>
    <cellStyle name="Comma 8" xfId="56" xr:uid="{95EAE90F-4AB8-481C-827F-42306628F3BF}"/>
    <cellStyle name="Comma 9" xfId="57" xr:uid="{C12ED619-1C88-41A5-B37D-B8A872E322F5}"/>
    <cellStyle name="Currency 2" xfId="13" xr:uid="{ECFC4656-477E-49E2-A76B-0A0D7E0A9233}"/>
    <cellStyle name="Currency 3" xfId="16" xr:uid="{969803A0-20FA-48A5-86FB-4F84D635E600}"/>
    <cellStyle name="Currency 4" xfId="29" xr:uid="{E5098B0A-D9B2-421A-9D82-9B5C22C5D8B1}"/>
    <cellStyle name="Currency 5" xfId="32" xr:uid="{FD17A329-3060-4C8C-A97A-BD54CA880163}"/>
    <cellStyle name="Currency 6" xfId="35" xr:uid="{98509F33-0DE6-496E-95B5-D55FB5E131F6}"/>
    <cellStyle name="Euro" xfId="19" xr:uid="{5E00DDBB-D6F9-4B34-8A83-42EA982C2D75}"/>
    <cellStyle name="Euro 2" xfId="38" xr:uid="{3849442D-EF2D-45E5-89D8-636F79848AF9}"/>
    <cellStyle name="Euro 3" xfId="39" xr:uid="{15FE426A-451B-48A2-8625-2B3ACFDC21EF}"/>
    <cellStyle name="Euro 4" xfId="40" xr:uid="{F254DBEC-00FA-4DBB-9FB8-1057D7288699}"/>
    <cellStyle name="Euro 5" xfId="41" xr:uid="{BF69F5CE-8F6E-4E01-BDC1-AC15A143342F}"/>
    <cellStyle name="Euro 6" xfId="42" xr:uid="{1B01D527-9CDB-4EAF-996C-EE5D0375F2A8}"/>
    <cellStyle name="Euro 7" xfId="43" xr:uid="{37F369E2-2C98-4E07-A91E-F337BBCF0409}"/>
    <cellStyle name="Euro 8" xfId="37" xr:uid="{475D2F7C-9828-4CFB-828A-6DCFD3EABEE5}"/>
    <cellStyle name="Hyperlink 2" xfId="12" xr:uid="{FC6E10F1-BA99-45EE-A7D3-8936D747FF47}"/>
    <cellStyle name="Milliers_NUTRICIA PROPOSAL07" xfId="20" xr:uid="{CDC2B405-D0A4-4E69-AC4D-A5124631C818}"/>
    <cellStyle name="Monétaire_p&amp;l sept 2009" xfId="21" xr:uid="{37229B2E-C379-4713-A7F1-9E1271A69F2D}"/>
    <cellStyle name="Neutral 2" xfId="11" xr:uid="{942C97C4-CE18-452A-8595-70F973DF375F}"/>
    <cellStyle name="Normal 11" xfId="22" xr:uid="{007766B4-5F7B-4909-9ABB-CA0D85B821AB}"/>
    <cellStyle name="Normal 2" xfId="4" xr:uid="{358FEBC6-4C7B-4401-A966-39B2C4AD3FE9}"/>
    <cellStyle name="Normal 2 2" xfId="23" xr:uid="{0E7FB1AE-5365-4D19-9C83-6573A49C6B8C}"/>
    <cellStyle name="Normal 2 2 2" xfId="44" xr:uid="{C9FCB0C3-620A-4000-BA3A-4510C7B4C425}"/>
    <cellStyle name="Normal 3" xfId="6" xr:uid="{478699C6-7854-4B50-81F5-2CFC187A7DBD}"/>
    <cellStyle name="Normal 3 2" xfId="24" xr:uid="{DC1F42E5-0FFB-46E2-9B19-3F51A4AEA989}"/>
    <cellStyle name="Normal 3 3" xfId="36" xr:uid="{494F5948-3B97-4A96-A777-9AC4A00467D7}"/>
    <cellStyle name="Normal 4" xfId="8" xr:uid="{4832817F-A053-4776-B9E2-0FFDEBDE71DC}"/>
    <cellStyle name="Normal 4 2" xfId="25" xr:uid="{F41D1935-7D34-4FF4-A7BE-75F3CACFC4B8}"/>
    <cellStyle name="Normal 5" xfId="28" xr:uid="{BB3F658E-3C1B-4D5C-AFFB-05FFD05A2382}"/>
    <cellStyle name="Normal 5 2" xfId="46" xr:uid="{9AF2D5A1-8630-4236-805D-DC7ABE084CFA}"/>
    <cellStyle name="Normal 6" xfId="49" xr:uid="{E39DFD03-EE4B-4693-A9EB-4F59D7442106}"/>
    <cellStyle name="Normal 6 2" xfId="51" xr:uid="{DD9C43A9-987F-4370-8831-A51A5F6F3E64}"/>
    <cellStyle name="Percent 2" xfId="7" xr:uid="{917C985A-4811-4EF4-A410-82F9B630C251}"/>
    <cellStyle name="Percent 3" xfId="9" xr:uid="{BE654A4C-4BE1-449D-B10F-44C8CC8E87D8}"/>
    <cellStyle name="Porcentaje 2" xfId="47" xr:uid="{5A2CE22A-2D3F-4DD8-95D6-12C818C39B8D}"/>
    <cellStyle name="Porcentual 2" xfId="45" xr:uid="{A304FF43-4EDA-4FF0-AE64-A9E07158F38E}"/>
    <cellStyle name="SAPDataCell" xfId="52" xr:uid="{E91045AB-551B-4E34-A676-2813FA80DE83}"/>
    <cellStyle name="Style 1" xfId="26" xr:uid="{6492BA25-83E3-418B-9BA7-EBDCED69257E}"/>
    <cellStyle name="Стиль 1" xfId="27" xr:uid="{45FD7090-FA79-4098-8B5B-E7A40E4094B9}"/>
    <cellStyle name="쉼표 [0]" xfId="1" builtinId="6"/>
    <cellStyle name="표준" xfId="0" builtinId="0"/>
  </cellStyles>
  <dxfs count="13">
    <dxf>
      <border>
        <top style="thin">
          <color theme="4" tint="0.79998168889431442"/>
        </top>
        <bottom style="thin">
          <color theme="4" tint="0.79998168889431442"/>
        </bottom>
      </border>
    </dxf>
    <dxf>
      <border>
        <top style="thin">
          <color theme="4" tint="0.79998168889431442"/>
        </top>
        <bottom style="thin">
          <color theme="4" tint="0.79998168889431442"/>
        </bottom>
      </border>
    </dxf>
    <dxf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/>
        </bottom>
      </border>
    </dxf>
    <dxf>
      <font>
        <color theme="0"/>
      </font>
      <fill>
        <patternFill patternType="solid">
          <fgColor theme="4" tint="0.39997558519241921"/>
          <bgColor theme="4" tint="0.39997558519241921"/>
        </patternFill>
      </fill>
      <border>
        <bottom style="thin">
          <color theme="4" tint="0.79998168889431442"/>
        </bottom>
        <horizontal style="thin">
          <color theme="4" tint="0.39997558519241921"/>
        </horizontal>
      </border>
    </dxf>
    <dxf>
      <border>
        <bottom style="thin">
          <color theme="4" tint="0.59999389629810485"/>
        </bottom>
      </border>
    </dxf>
    <dxf>
      <font>
        <b/>
        <color theme="1"/>
      </font>
      <fill>
        <patternFill patternType="solid">
          <fgColor theme="0" tint="-0.14999847407452621"/>
          <bgColor theme="0" tint="-0.14999847407452621"/>
        </patternFill>
      </fill>
    </dxf>
    <dxf>
      <font>
        <b/>
        <color theme="0"/>
      </font>
      <fill>
        <patternFill patternType="solid">
          <fgColor theme="4" tint="0.39997558519241921"/>
          <bgColor theme="4" tint="0.39997558519241921"/>
        </patternFill>
      </fill>
    </dxf>
    <dxf>
      <font>
        <b/>
        <color theme="0"/>
      </font>
    </dxf>
    <dxf>
      <border>
        <left style="thin">
          <color theme="4" tint="-0.249977111117893"/>
        </left>
        <right style="thin">
          <color theme="4" tint="-0.249977111117893"/>
        </right>
      </border>
    </dxf>
    <dxf>
      <border>
        <top style="thin">
          <color theme="4" tint="-0.249977111117893"/>
        </top>
        <bottom style="thin">
          <color theme="4" tint="-0.249977111117893"/>
        </bottom>
        <horizontal style="thin">
          <color theme="4" tint="-0.249977111117893"/>
        </horizontal>
      </border>
    </dxf>
    <dxf>
      <font>
        <b/>
        <i val="0"/>
        <color theme="0"/>
      </font>
      <fill>
        <patternFill>
          <fgColor theme="4"/>
          <bgColor rgb="FF002060"/>
        </patternFill>
      </fill>
      <border diagonalUp="0" diagonalDown="0">
        <left/>
        <right/>
        <top/>
        <bottom/>
        <vertical style="thin">
          <color theme="0"/>
        </vertical>
        <horizontal/>
      </border>
    </dxf>
    <dxf>
      <font>
        <b/>
        <i val="0"/>
        <color theme="0"/>
      </font>
      <fill>
        <patternFill patternType="solid">
          <fgColor rgb="FF002060"/>
          <bgColor rgb="FF002060"/>
        </patternFill>
      </fill>
      <border>
        <horizontal style="thin">
          <color theme="4" tint="-0.249977111117893"/>
        </horizontal>
      </border>
    </dxf>
    <dxf>
      <font>
        <color theme="1"/>
      </font>
      <border diagonalUp="0" diagonalDown="0">
        <left/>
        <right/>
        <top/>
        <bottom/>
        <vertical style="thin">
          <color theme="0"/>
        </vertical>
        <horizontal/>
      </border>
    </dxf>
  </dxfs>
  <tableStyles count="1" defaultTableStyle="TableStyleMedium2" defaultPivotStyle="PivotStyleLight16">
    <tableStyle name="PivotStyleNutriciaExport" table="0" count="13" xr9:uid="{8F5C09C5-59F9-4C35-BA45-E948A91228AA}">
      <tableStyleElement type="wholeTable" dxfId="12"/>
      <tableStyleElement type="headerRow" dxfId="11"/>
      <tableStyleElement type="totalRow" dxfId="10"/>
      <tableStyleElement type="firstRowStripe" dxfId="9"/>
      <tableStyleElement type="firstColumnStripe" dxfId="8"/>
      <tableStyleElement type="firstHeaderCell" dxfId="7"/>
      <tableStyleElement type="firstSubtotalRow" dxfId="6"/>
      <tableStyleElement type="secondSubtotalRow" dxfId="5"/>
      <tableStyleElement type="firstColumnSubheading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FFFF8B"/>
      <color rgb="FFFFFF6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402772</xdr:colOff>
      <xdr:row>7</xdr:row>
      <xdr:rowOff>89807</xdr:rowOff>
    </xdr:from>
    <xdr:to>
      <xdr:col>8</xdr:col>
      <xdr:colOff>815522</xdr:colOff>
      <xdr:row>14</xdr:row>
      <xdr:rowOff>117822</xdr:rowOff>
    </xdr:to>
    <xdr:sp macro="" textlink="">
      <xdr:nvSpPr>
        <xdr:cNvPr id="4" name="Down Arrow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8145236" y="1246414"/>
          <a:ext cx="412750" cy="136151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7</xdr:col>
      <xdr:colOff>973931</xdr:colOff>
      <xdr:row>3</xdr:row>
      <xdr:rowOff>16668</xdr:rowOff>
    </xdr:from>
    <xdr:to>
      <xdr:col>9</xdr:col>
      <xdr:colOff>138004</xdr:colOff>
      <xdr:row>6</xdr:row>
      <xdr:rowOff>169564</xdr:rowOff>
    </xdr:to>
    <xdr:sp macro="" textlink="">
      <xdr:nvSpPr>
        <xdr:cNvPr id="5" name="TextBox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9379744" y="600074"/>
          <a:ext cx="1307198" cy="724396"/>
        </a:xfrm>
        <a:prstGeom prst="rect">
          <a:avLst/>
        </a:prstGeom>
        <a:solidFill>
          <a:schemeClr val="bg1">
            <a:lumMod val="85000"/>
          </a:schemeClr>
        </a:solidFill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200"/>
            <a:t> Suggested  from</a:t>
          </a:r>
          <a:r>
            <a:rPr lang="es-ES" sz="1200" baseline="0"/>
            <a:t> NE</a:t>
          </a:r>
          <a:endParaRPr lang="es-ES" sz="1200"/>
        </a:p>
      </xdr:txBody>
    </xdr:sp>
    <xdr:clientData/>
  </xdr:twoCellAnchor>
  <xdr:twoCellAnchor>
    <xdr:from>
      <xdr:col>10</xdr:col>
      <xdr:colOff>200025</xdr:colOff>
      <xdr:row>6</xdr:row>
      <xdr:rowOff>152400</xdr:rowOff>
    </xdr:from>
    <xdr:to>
      <xdr:col>10</xdr:col>
      <xdr:colOff>612775</xdr:colOff>
      <xdr:row>13</xdr:row>
      <xdr:rowOff>180415</xdr:rowOff>
    </xdr:to>
    <xdr:sp macro="" textlink="">
      <xdr:nvSpPr>
        <xdr:cNvPr id="7" name="Down Arrow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14001750" y="1114425"/>
          <a:ext cx="412750" cy="136151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9</xdr:col>
      <xdr:colOff>1495425</xdr:colOff>
      <xdr:row>1</xdr:row>
      <xdr:rowOff>95250</xdr:rowOff>
    </xdr:from>
    <xdr:to>
      <xdr:col>11</xdr:col>
      <xdr:colOff>7035</xdr:colOff>
      <xdr:row>6</xdr:row>
      <xdr:rowOff>57646</xdr:rowOff>
    </xdr:to>
    <xdr:sp macro="" textlink="">
      <xdr:nvSpPr>
        <xdr:cNvPr id="9" name="TextBox 5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3563600" y="295275"/>
          <a:ext cx="1331010" cy="724396"/>
        </a:xfrm>
        <a:prstGeom prst="rect">
          <a:avLst/>
        </a:prstGeom>
        <a:solidFill>
          <a:schemeClr val="bg1">
            <a:lumMod val="85000"/>
          </a:schemeClr>
        </a:solidFill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200"/>
            <a:t>Final order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ead.danet\emea\BV-Export\Supply%20Chain\Countries\South%20Korea%20(DAMI)\Planning\Suggested%20order\DAMI_June%20Order%20CONFIRM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der"/>
      <sheetName val="Lookup info"/>
    </sheetNames>
    <sheetDataSet>
      <sheetData sheetId="0" refreshError="1"/>
      <sheetData sheetId="1" refreshError="1">
        <row r="3">
          <cell r="D3" t="str">
            <v>Warehouse information</v>
          </cell>
        </row>
        <row r="4">
          <cell r="D4" t="str">
            <v>Planner name</v>
          </cell>
          <cell r="E4" t="str">
            <v>Warehouse code</v>
          </cell>
          <cell r="F4" t="str">
            <v>Name</v>
          </cell>
          <cell r="G4" t="str">
            <v>Address line 2</v>
          </cell>
          <cell r="H4" t="str">
            <v>Address line 3</v>
          </cell>
        </row>
        <row r="5">
          <cell r="D5" t="str">
            <v>Zoetermeer</v>
          </cell>
          <cell r="E5" t="str">
            <v>0001</v>
          </cell>
          <cell r="F5" t="str">
            <v>NV NUTRICIA</v>
          </cell>
          <cell r="G5" t="str">
            <v>Zoetermeer</v>
          </cell>
          <cell r="H5" t="str">
            <v>Z</v>
          </cell>
        </row>
        <row r="6">
          <cell r="D6" t="str">
            <v>Haps</v>
          </cell>
          <cell r="E6" t="str">
            <v>0002</v>
          </cell>
          <cell r="F6" t="str">
            <v>NUTRICIA CUIJK B.V.</v>
          </cell>
          <cell r="G6" t="str">
            <v>Haps</v>
          </cell>
          <cell r="H6" t="str">
            <v>C</v>
          </cell>
        </row>
        <row r="7">
          <cell r="D7" t="str">
            <v>Wexford</v>
          </cell>
          <cell r="E7" t="str">
            <v>0023</v>
          </cell>
          <cell r="F7" t="str">
            <v>NUTRICIA INFANT NUTRITION LTD</v>
          </cell>
          <cell r="G7" t="str">
            <v>Wexford</v>
          </cell>
          <cell r="H7" t="str">
            <v>W</v>
          </cell>
        </row>
        <row r="8">
          <cell r="D8" t="str">
            <v>PTNIS</v>
          </cell>
          <cell r="E8" t="str">
            <v>0057</v>
          </cell>
          <cell r="F8" t="str">
            <v>P.T. NUTRICIA INDONESIA</v>
          </cell>
          <cell r="G8" t="str">
            <v>PTNIS</v>
          </cell>
          <cell r="H8" t="str">
            <v>P</v>
          </cell>
        </row>
        <row r="9">
          <cell r="D9" t="str">
            <v>Opole</v>
          </cell>
          <cell r="E9" t="str">
            <v>0074</v>
          </cell>
          <cell r="F9" t="str">
            <v>NUTRICIA POLSKA</v>
          </cell>
          <cell r="G9" t="str">
            <v>Opole</v>
          </cell>
          <cell r="H9" t="str">
            <v>O</v>
          </cell>
        </row>
        <row r="10">
          <cell r="D10" t="str">
            <v>Istra</v>
          </cell>
          <cell r="E10" t="str">
            <v>0089</v>
          </cell>
          <cell r="F10" t="str">
            <v>NUTRICIA LLC</v>
          </cell>
          <cell r="G10" t="str">
            <v>Istra</v>
          </cell>
          <cell r="H10" t="str">
            <v>I</v>
          </cell>
        </row>
        <row r="11">
          <cell r="D11" t="str">
            <v>Liverpool</v>
          </cell>
          <cell r="E11" t="str">
            <v>0091</v>
          </cell>
          <cell r="F11" t="str">
            <v>SHS INTERNATIONAL LTD</v>
          </cell>
          <cell r="G11" t="str">
            <v>Liverpool</v>
          </cell>
          <cell r="H11" t="str">
            <v>L</v>
          </cell>
        </row>
        <row r="12">
          <cell r="D12" t="str">
            <v>Fulda</v>
          </cell>
          <cell r="E12" t="str">
            <v>0120</v>
          </cell>
          <cell r="F12" t="str">
            <v>MILUPA GMBH &amp; CO</v>
          </cell>
          <cell r="G12" t="str">
            <v>Fulda</v>
          </cell>
          <cell r="H12" t="str">
            <v>F</v>
          </cell>
        </row>
        <row r="13">
          <cell r="D13" t="str">
            <v>Kasdorf</v>
          </cell>
          <cell r="E13" t="str">
            <v>0146</v>
          </cell>
          <cell r="F13" t="str">
            <v>KASDORF S.A.</v>
          </cell>
          <cell r="G13" t="str">
            <v>Kasdorf</v>
          </cell>
          <cell r="H13" t="str">
            <v>K</v>
          </cell>
        </row>
        <row r="14">
          <cell r="D14" t="str">
            <v>Wuxi (Nutricia Pharmaceutical)</v>
          </cell>
          <cell r="E14" t="str">
            <v>0190</v>
          </cell>
          <cell r="F14" t="str">
            <v>Nutricia Pharmaceutical (Wuxi)</v>
          </cell>
          <cell r="G14" t="str">
            <v>Wuxi (Nutricia Pharmaceutical)</v>
          </cell>
          <cell r="H14" t="str">
            <v>WX</v>
          </cell>
        </row>
        <row r="15">
          <cell r="D15" t="str">
            <v>Steenvoorde</v>
          </cell>
          <cell r="E15" t="str">
            <v>0510</v>
          </cell>
          <cell r="F15" t="str">
            <v>BLEDINA - STEENVOORDE</v>
          </cell>
          <cell r="G15" t="str">
            <v>Steenvoorde</v>
          </cell>
          <cell r="H15" t="str">
            <v>S</v>
          </cell>
        </row>
        <row r="16">
          <cell r="D16" t="str">
            <v>Villefranche</v>
          </cell>
          <cell r="E16" t="str">
            <v>0518</v>
          </cell>
          <cell r="F16" t="str">
            <v>BLEDINA - VILLEFRANCHE</v>
          </cell>
          <cell r="G16" t="str">
            <v>Villefranche</v>
          </cell>
          <cell r="H16" t="str">
            <v>V</v>
          </cell>
        </row>
        <row r="17">
          <cell r="D17" t="str">
            <v>Krueger</v>
          </cell>
          <cell r="E17" t="str">
            <v>0904</v>
          </cell>
          <cell r="F17" t="str">
            <v>KRUEGER</v>
          </cell>
          <cell r="G17" t="str">
            <v>Krueger</v>
          </cell>
          <cell r="H17" t="str">
            <v>KR</v>
          </cell>
        </row>
        <row r="18">
          <cell r="D18" t="str">
            <v>Otmuchow</v>
          </cell>
          <cell r="E18" t="str">
            <v>0944</v>
          </cell>
          <cell r="F18" t="str">
            <v>GRUPA OTMUCHOW</v>
          </cell>
          <cell r="G18" t="str">
            <v>Otmuchow</v>
          </cell>
          <cell r="H18" t="str">
            <v>OT</v>
          </cell>
        </row>
        <row r="19">
          <cell r="D19" t="str">
            <v>Medical Logistics (3PS)</v>
          </cell>
          <cell r="E19" t="str">
            <v>0991</v>
          </cell>
          <cell r="F19" t="str">
            <v>THIRD PARTY SUPPLIERS</v>
          </cell>
          <cell r="G19" t="str">
            <v>Medical Logistics (3PS)</v>
          </cell>
          <cell r="H19" t="str">
            <v>3P</v>
          </cell>
        </row>
        <row r="20">
          <cell r="D20" t="str">
            <v>Wuxi</v>
          </cell>
          <cell r="E20" t="str">
            <v>0994</v>
          </cell>
          <cell r="F20" t="str">
            <v>WUXI</v>
          </cell>
          <cell r="G20" t="str">
            <v>Wuxi</v>
          </cell>
          <cell r="H20" t="str">
            <v>WX</v>
          </cell>
        </row>
        <row r="21">
          <cell r="D21" t="str">
            <v>Cuijk</v>
          </cell>
          <cell r="E21" t="str">
            <v>0002</v>
          </cell>
          <cell r="F21" t="str">
            <v>NUTRICIA CUIJK B.V.</v>
          </cell>
          <cell r="G21" t="str">
            <v>Haps</v>
          </cell>
          <cell r="H21" t="str">
            <v>C</v>
          </cell>
        </row>
        <row r="22">
          <cell r="D22" t="str">
            <v/>
          </cell>
        </row>
        <row r="23">
          <cell r="D23" t="str">
            <v/>
          </cell>
        </row>
        <row r="24">
          <cell r="D24" t="str">
            <v/>
          </cell>
        </row>
        <row r="25">
          <cell r="D25" t="str">
            <v/>
          </cell>
        </row>
        <row r="26">
          <cell r="D26" t="str">
            <v/>
          </cell>
        </row>
        <row r="27">
          <cell r="D27" t="str">
            <v/>
          </cell>
        </row>
        <row r="28">
          <cell r="D28" t="str">
            <v/>
          </cell>
        </row>
        <row r="29">
          <cell r="D29" t="str">
            <v/>
          </cell>
        </row>
        <row r="30">
          <cell r="D30" t="str">
            <v/>
          </cell>
        </row>
        <row r="31">
          <cell r="D31" t="str">
            <v/>
          </cell>
        </row>
        <row r="32">
          <cell r="D32" t="str">
            <v/>
          </cell>
        </row>
        <row r="33">
          <cell r="D33" t="str">
            <v/>
          </cell>
        </row>
        <row r="34">
          <cell r="D34" t="str">
            <v/>
          </cell>
        </row>
        <row r="35">
          <cell r="D35" t="str">
            <v/>
          </cell>
        </row>
        <row r="36">
          <cell r="D36" t="str">
            <v/>
          </cell>
        </row>
        <row r="37">
          <cell r="D37" t="str">
            <v/>
          </cell>
        </row>
        <row r="38">
          <cell r="D38" t="str">
            <v/>
          </cell>
        </row>
        <row r="39">
          <cell r="D39" t="str">
            <v/>
          </cell>
        </row>
        <row r="40">
          <cell r="D40" t="str">
            <v/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1"/>
  <sheetViews>
    <sheetView tabSelected="1" zoomScale="80" zoomScaleNormal="80" workbookViewId="0"/>
  </sheetViews>
  <sheetFormatPr defaultColWidth="9.125" defaultRowHeight="16.5"/>
  <cols>
    <col min="1" max="1" width="24.5" style="1" bestFit="1" customWidth="1"/>
    <col min="2" max="2" width="40.875" style="1" customWidth="1"/>
    <col min="3" max="3" width="15.625" style="1" hidden="1" customWidth="1"/>
    <col min="4" max="4" width="20.5" style="1" bestFit="1" customWidth="1"/>
    <col min="5" max="5" width="9.875" style="1" bestFit="1" customWidth="1"/>
    <col min="6" max="6" width="9.875" style="1" customWidth="1"/>
    <col min="7" max="9" width="16.125" style="1" customWidth="1"/>
    <col min="10" max="10" width="17.875" style="14" customWidth="1"/>
    <col min="11" max="11" width="16.125" style="1" bestFit="1" customWidth="1"/>
    <col min="12" max="12" width="21.875" style="1" hidden="1" customWidth="1"/>
    <col min="13" max="13" width="0" style="1" hidden="1" customWidth="1"/>
    <col min="14" max="14" width="9.125" style="1"/>
    <col min="15" max="15" width="12.125" style="1" bestFit="1" customWidth="1"/>
    <col min="16" max="16" width="14.125" style="55" bestFit="1" customWidth="1"/>
    <col min="17" max="17" width="16.5" style="1" bestFit="1" customWidth="1"/>
    <col min="18" max="18" width="19.375" style="1" bestFit="1" customWidth="1"/>
    <col min="19" max="19" width="11.125" style="1" bestFit="1" customWidth="1"/>
    <col min="20" max="16384" width="9.125" style="1"/>
  </cols>
  <sheetData>
    <row r="1" spans="1:19" ht="17.25">
      <c r="A1" s="29" t="s">
        <v>254</v>
      </c>
      <c r="B1" s="18"/>
    </row>
    <row r="2" spans="1:19">
      <c r="A2" s="38" t="s">
        <v>28</v>
      </c>
      <c r="B2" s="38" t="s">
        <v>192</v>
      </c>
    </row>
    <row r="3" spans="1:19">
      <c r="A3" s="2" t="s">
        <v>0</v>
      </c>
      <c r="B3" s="81">
        <v>72852</v>
      </c>
    </row>
    <row r="4" spans="1:19">
      <c r="A4" s="2" t="s">
        <v>16</v>
      </c>
      <c r="B4" s="19" t="s">
        <v>17</v>
      </c>
    </row>
    <row r="5" spans="1:19">
      <c r="A5" s="2" t="s">
        <v>30</v>
      </c>
      <c r="B5" s="56" t="s">
        <v>255</v>
      </c>
    </row>
    <row r="6" spans="1:19">
      <c r="A6" s="2" t="s">
        <v>1</v>
      </c>
      <c r="B6" s="17" t="s">
        <v>256</v>
      </c>
      <c r="C6" s="9"/>
    </row>
    <row r="7" spans="1:19">
      <c r="A7" s="2" t="s">
        <v>2</v>
      </c>
      <c r="B7" s="19" t="s">
        <v>257</v>
      </c>
      <c r="C7"/>
    </row>
    <row r="8" spans="1:19">
      <c r="A8" s="2" t="s">
        <v>3</v>
      </c>
      <c r="B8" s="20" t="s">
        <v>12</v>
      </c>
    </row>
    <row r="9" spans="1:19">
      <c r="A9" s="2" t="s">
        <v>4</v>
      </c>
      <c r="B9" s="21" t="s">
        <v>24</v>
      </c>
    </row>
    <row r="10" spans="1:19">
      <c r="A10" s="2" t="s">
        <v>5</v>
      </c>
      <c r="B10" s="20" t="s">
        <v>18</v>
      </c>
    </row>
    <row r="11" spans="1:19">
      <c r="A11" s="2" t="s">
        <v>11</v>
      </c>
      <c r="B11" s="15" t="s">
        <v>25</v>
      </c>
    </row>
    <row r="12" spans="1:19">
      <c r="A12" s="10" t="s">
        <v>15</v>
      </c>
      <c r="B12" s="25">
        <v>1</v>
      </c>
    </row>
    <row r="13" spans="1:19">
      <c r="A13" s="10" t="s">
        <v>21</v>
      </c>
      <c r="B13" s="24">
        <v>1</v>
      </c>
      <c r="C13"/>
    </row>
    <row r="14" spans="1:19">
      <c r="A14" s="11"/>
    </row>
    <row r="15" spans="1:19" ht="17.25" thickBot="1"/>
    <row r="16" spans="1:19" ht="63" customHeight="1" thickBot="1">
      <c r="A16" s="4" t="s">
        <v>7</v>
      </c>
      <c r="B16" s="5" t="s">
        <v>6</v>
      </c>
      <c r="C16" s="5" t="s">
        <v>22</v>
      </c>
      <c r="D16" s="31" t="s">
        <v>23</v>
      </c>
      <c r="E16" s="43" t="s">
        <v>31</v>
      </c>
      <c r="F16" s="43" t="s">
        <v>149</v>
      </c>
      <c r="G16" s="6" t="s">
        <v>191</v>
      </c>
      <c r="H16" s="6" t="s">
        <v>8</v>
      </c>
      <c r="I16" s="6" t="s">
        <v>27</v>
      </c>
      <c r="J16" s="6" t="s">
        <v>9</v>
      </c>
      <c r="K16" s="7" t="s">
        <v>10</v>
      </c>
      <c r="L16" s="12" t="s">
        <v>13</v>
      </c>
      <c r="M16" s="1" t="s">
        <v>14</v>
      </c>
      <c r="O16" s="71" t="s">
        <v>209</v>
      </c>
      <c r="P16" s="72" t="s">
        <v>210</v>
      </c>
      <c r="Q16" s="72" t="s">
        <v>211</v>
      </c>
      <c r="R16" s="72" t="s">
        <v>212</v>
      </c>
      <c r="S16" s="72" t="s">
        <v>213</v>
      </c>
    </row>
    <row r="17" spans="1:19" ht="17.25" thickBot="1">
      <c r="A17" s="15">
        <v>676366</v>
      </c>
      <c r="B17" s="15" t="s">
        <v>188</v>
      </c>
      <c r="C17" s="16">
        <v>800</v>
      </c>
      <c r="D17" s="16" t="s">
        <v>169</v>
      </c>
      <c r="E17" s="30" t="str">
        <f>VLOOKUP($D17,'Lookup info'!$D:$H,2,FALSE)</f>
        <v>0023</v>
      </c>
      <c r="F17" s="30" t="str">
        <f>VLOOKUP($D17,'Lookup info'!$D:$H,5,FALSE)</f>
        <v>W</v>
      </c>
      <c r="G17" s="26">
        <v>144</v>
      </c>
      <c r="H17" s="27"/>
      <c r="I17" s="27"/>
      <c r="J17" s="51">
        <f t="shared" ref="J17:J30" si="0">IF(G17="","",K17/G17)</f>
        <v>0</v>
      </c>
      <c r="K17" s="51"/>
      <c r="L17" s="11"/>
      <c r="M17" s="1">
        <f t="shared" ref="M17:M19" si="1">K17*24</f>
        <v>0</v>
      </c>
      <c r="O17" s="85" t="s">
        <v>214</v>
      </c>
      <c r="P17" s="73" t="s">
        <v>215</v>
      </c>
      <c r="Q17" s="74" t="s">
        <v>216</v>
      </c>
      <c r="R17" s="74" t="s">
        <v>217</v>
      </c>
      <c r="S17" s="82" t="s">
        <v>218</v>
      </c>
    </row>
    <row r="18" spans="1:19" ht="17.25" thickBot="1">
      <c r="A18" s="15">
        <v>676367</v>
      </c>
      <c r="B18" s="15" t="s">
        <v>189</v>
      </c>
      <c r="C18" s="16">
        <v>800</v>
      </c>
      <c r="D18" s="16" t="s">
        <v>169</v>
      </c>
      <c r="E18" s="30" t="str">
        <f>VLOOKUP($D18,'Lookup info'!$D:$H,2,FALSE)</f>
        <v>0023</v>
      </c>
      <c r="F18" s="30" t="str">
        <f>VLOOKUP($D18,'Lookup info'!$D:$H,5,FALSE)</f>
        <v>W</v>
      </c>
      <c r="G18" s="26">
        <v>144</v>
      </c>
      <c r="H18" s="27"/>
      <c r="I18" s="27"/>
      <c r="J18" s="51">
        <f t="shared" si="0"/>
        <v>0</v>
      </c>
      <c r="K18" s="51"/>
      <c r="L18" s="13"/>
      <c r="M18" s="1">
        <f t="shared" si="1"/>
        <v>0</v>
      </c>
      <c r="O18" s="86"/>
      <c r="P18" s="73" t="s">
        <v>219</v>
      </c>
      <c r="Q18" s="74" t="s">
        <v>220</v>
      </c>
      <c r="R18" s="74" t="s">
        <v>221</v>
      </c>
      <c r="S18" s="82" t="s">
        <v>222</v>
      </c>
    </row>
    <row r="19" spans="1:19" ht="17.25" thickBot="1">
      <c r="A19" s="15">
        <v>676369</v>
      </c>
      <c r="B19" s="15" t="s">
        <v>190</v>
      </c>
      <c r="C19" s="16">
        <v>800</v>
      </c>
      <c r="D19" s="16" t="s">
        <v>169</v>
      </c>
      <c r="E19" s="30" t="str">
        <f>VLOOKUP($D19,'Lookup info'!$D:$H,2,FALSE)</f>
        <v>0023</v>
      </c>
      <c r="F19" s="30" t="str">
        <f>VLOOKUP($D19,'Lookup info'!$D:$H,5,FALSE)</f>
        <v>W</v>
      </c>
      <c r="G19" s="26">
        <v>144</v>
      </c>
      <c r="H19" s="27"/>
      <c r="I19" s="27"/>
      <c r="J19" s="51">
        <f t="shared" si="0"/>
        <v>0</v>
      </c>
      <c r="K19" s="51"/>
      <c r="M19" s="1">
        <f t="shared" si="1"/>
        <v>0</v>
      </c>
      <c r="O19" s="86"/>
      <c r="P19" s="73" t="s">
        <v>223</v>
      </c>
      <c r="Q19" s="74" t="s">
        <v>224</v>
      </c>
      <c r="R19" s="74" t="s">
        <v>225</v>
      </c>
      <c r="S19" s="82" t="s">
        <v>226</v>
      </c>
    </row>
    <row r="20" spans="1:19" ht="17.25" thickBot="1">
      <c r="A20" s="83">
        <v>703819</v>
      </c>
      <c r="B20" s="83" t="s">
        <v>258</v>
      </c>
      <c r="C20" s="16">
        <v>800</v>
      </c>
      <c r="D20" s="16" t="s">
        <v>171</v>
      </c>
      <c r="E20" s="30" t="str">
        <f>VLOOKUP($D20,'Lookup info'!$D:$H,2,FALSE)</f>
        <v>0074</v>
      </c>
      <c r="F20" s="30" t="str">
        <f>VLOOKUP($D20,'Lookup info'!$D:$H,5,FALSE)</f>
        <v>O</v>
      </c>
      <c r="G20" s="26">
        <v>128</v>
      </c>
      <c r="H20" s="27"/>
      <c r="I20" s="27"/>
      <c r="J20" s="84">
        <f t="shared" si="0"/>
        <v>13</v>
      </c>
      <c r="K20" s="84">
        <f>4992/3</f>
        <v>1664</v>
      </c>
      <c r="M20" s="1">
        <f t="shared" ref="M20:M31" si="2">K20*7</f>
        <v>11648</v>
      </c>
      <c r="O20" s="86"/>
      <c r="P20" s="73" t="s">
        <v>227</v>
      </c>
      <c r="Q20" s="74" t="s">
        <v>228</v>
      </c>
      <c r="R20" s="74" t="s">
        <v>229</v>
      </c>
      <c r="S20" s="82" t="s">
        <v>230</v>
      </c>
    </row>
    <row r="21" spans="1:19" ht="17.25" thickBot="1">
      <c r="A21" s="83">
        <v>703818</v>
      </c>
      <c r="B21" s="83" t="s">
        <v>259</v>
      </c>
      <c r="C21" s="16">
        <v>800</v>
      </c>
      <c r="D21" s="16" t="s">
        <v>171</v>
      </c>
      <c r="E21" s="30" t="str">
        <f>VLOOKUP($D21,'Lookup info'!$D:$H,2,FALSE)</f>
        <v>0074</v>
      </c>
      <c r="F21" s="30" t="str">
        <f>VLOOKUP($D21,'Lookup info'!$D:$H,5,FALSE)</f>
        <v>O</v>
      </c>
      <c r="G21" s="26">
        <v>128</v>
      </c>
      <c r="H21" s="27"/>
      <c r="I21" s="27"/>
      <c r="J21" s="84">
        <f t="shared" si="0"/>
        <v>13</v>
      </c>
      <c r="K21" s="84">
        <f>4992/3</f>
        <v>1664</v>
      </c>
      <c r="M21" s="1">
        <f t="shared" si="2"/>
        <v>11648</v>
      </c>
      <c r="O21" s="87"/>
      <c r="P21" s="73" t="s">
        <v>231</v>
      </c>
      <c r="Q21" s="74" t="s">
        <v>232</v>
      </c>
      <c r="R21" s="74" t="s">
        <v>233</v>
      </c>
      <c r="S21" s="82" t="s">
        <v>234</v>
      </c>
    </row>
    <row r="22" spans="1:19" ht="17.25" thickBot="1">
      <c r="A22" s="83">
        <v>704052</v>
      </c>
      <c r="B22" s="83" t="s">
        <v>260</v>
      </c>
      <c r="C22" s="16">
        <v>800</v>
      </c>
      <c r="D22" s="16" t="s">
        <v>169</v>
      </c>
      <c r="E22" s="30" t="str">
        <f>VLOOKUP($D22,'Lookup info'!$D:$H,2,FALSE)</f>
        <v>0023</v>
      </c>
      <c r="F22" s="30" t="str">
        <f>VLOOKUP($D22,'Lookup info'!$D:$H,5,FALSE)</f>
        <v>W</v>
      </c>
      <c r="G22" s="26">
        <v>90</v>
      </c>
      <c r="H22" s="27"/>
      <c r="I22" s="27"/>
      <c r="J22" s="84">
        <f t="shared" si="0"/>
        <v>5</v>
      </c>
      <c r="K22" s="84">
        <v>450</v>
      </c>
      <c r="L22"/>
      <c r="M22" s="1">
        <f t="shared" si="2"/>
        <v>3150</v>
      </c>
      <c r="O22" s="85" t="s">
        <v>235</v>
      </c>
      <c r="P22" s="75" t="s">
        <v>236</v>
      </c>
      <c r="Q22" s="74" t="s">
        <v>248</v>
      </c>
      <c r="R22" s="74" t="s">
        <v>249</v>
      </c>
      <c r="S22" s="74" t="s">
        <v>234</v>
      </c>
    </row>
    <row r="23" spans="1:19" ht="17.25" thickBot="1">
      <c r="A23" s="83">
        <v>704054</v>
      </c>
      <c r="B23" s="83" t="s">
        <v>261</v>
      </c>
      <c r="C23" s="16"/>
      <c r="D23" s="16" t="s">
        <v>169</v>
      </c>
      <c r="E23" s="30" t="str">
        <f>VLOOKUP($D23,'Lookup info'!$D:$H,2,FALSE)</f>
        <v>0023</v>
      </c>
      <c r="F23" s="30" t="str">
        <f>VLOOKUP($D23,'Lookup info'!$D:$H,5,FALSE)</f>
        <v>W</v>
      </c>
      <c r="G23" s="26">
        <v>90</v>
      </c>
      <c r="H23" s="27"/>
      <c r="I23" s="27"/>
      <c r="J23" s="84">
        <f t="shared" ref="J23" si="3">IF(G23="","",K23/G23)</f>
        <v>5</v>
      </c>
      <c r="K23" s="84">
        <v>450</v>
      </c>
      <c r="L23"/>
      <c r="O23" s="86"/>
      <c r="P23" s="75"/>
      <c r="Q23" s="74"/>
      <c r="R23" s="74"/>
      <c r="S23" s="74"/>
    </row>
    <row r="24" spans="1:19" ht="17.25" thickBot="1">
      <c r="A24" s="62">
        <v>677044</v>
      </c>
      <c r="B24" s="62" t="s">
        <v>202</v>
      </c>
      <c r="C24" s="63">
        <v>800</v>
      </c>
      <c r="D24" s="63" t="s">
        <v>173</v>
      </c>
      <c r="E24" s="64" t="str">
        <f>VLOOKUP($D24,'[1]Lookup info'!$D:$H,2,FALSE)</f>
        <v>0120</v>
      </c>
      <c r="F24" s="64" t="str">
        <f>VLOOKUP($D24,'[1]Lookup info'!$D:$H,5,FALSE)</f>
        <v>F</v>
      </c>
      <c r="G24" s="68">
        <v>96</v>
      </c>
      <c r="H24" s="27">
        <v>37</v>
      </c>
      <c r="I24" s="27">
        <f>H24*G24</f>
        <v>3552</v>
      </c>
      <c r="J24" s="51">
        <f t="shared" si="0"/>
        <v>3</v>
      </c>
      <c r="K24" s="51">
        <v>288</v>
      </c>
      <c r="L24"/>
      <c r="N24" s="70"/>
      <c r="O24" s="86"/>
      <c r="P24" s="75" t="s">
        <v>237</v>
      </c>
      <c r="Q24" s="74" t="s">
        <v>248</v>
      </c>
      <c r="R24" s="74" t="s">
        <v>249</v>
      </c>
      <c r="S24" s="74" t="s">
        <v>234</v>
      </c>
    </row>
    <row r="25" spans="1:19" ht="17.25" thickBot="1">
      <c r="A25" s="62">
        <v>677045</v>
      </c>
      <c r="B25" s="62" t="s">
        <v>203</v>
      </c>
      <c r="C25" s="63">
        <v>800</v>
      </c>
      <c r="D25" s="63" t="s">
        <v>173</v>
      </c>
      <c r="E25" s="64" t="str">
        <f>VLOOKUP($D25,'[1]Lookup info'!$D:$H,2,FALSE)</f>
        <v>0120</v>
      </c>
      <c r="F25" s="64" t="str">
        <f>VLOOKUP($D25,'[1]Lookup info'!$D:$H,5,FALSE)</f>
        <v>F</v>
      </c>
      <c r="G25" s="68">
        <v>96</v>
      </c>
      <c r="H25" s="27">
        <v>40</v>
      </c>
      <c r="I25" s="27">
        <f t="shared" ref="I25:I30" si="4">H25*G25</f>
        <v>3840</v>
      </c>
      <c r="J25" s="51">
        <f t="shared" si="0"/>
        <v>66</v>
      </c>
      <c r="K25" s="51">
        <v>6336</v>
      </c>
      <c r="L25"/>
      <c r="N25" s="70"/>
      <c r="O25" s="86"/>
      <c r="P25" s="75" t="s">
        <v>238</v>
      </c>
      <c r="Q25" s="74" t="s">
        <v>239</v>
      </c>
      <c r="R25" s="74" t="s">
        <v>240</v>
      </c>
      <c r="S25" s="74" t="s">
        <v>241</v>
      </c>
    </row>
    <row r="26" spans="1:19" ht="17.25" thickBot="1">
      <c r="A26" s="62">
        <v>677047</v>
      </c>
      <c r="B26" s="62" t="s">
        <v>204</v>
      </c>
      <c r="C26" s="63">
        <v>800</v>
      </c>
      <c r="D26" s="63" t="s">
        <v>173</v>
      </c>
      <c r="E26" s="64" t="str">
        <f>VLOOKUP($D26,'[1]Lookup info'!$D:$H,2,FALSE)</f>
        <v>0120</v>
      </c>
      <c r="F26" s="64" t="str">
        <f>VLOOKUP($D26,'[1]Lookup info'!$D:$H,5,FALSE)</f>
        <v>F</v>
      </c>
      <c r="G26" s="68">
        <v>96</v>
      </c>
      <c r="H26" s="27">
        <v>74</v>
      </c>
      <c r="I26" s="27">
        <f t="shared" si="4"/>
        <v>7104</v>
      </c>
      <c r="J26" s="51">
        <f t="shared" si="0"/>
        <v>54</v>
      </c>
      <c r="K26" s="51">
        <v>5184</v>
      </c>
      <c r="L26"/>
      <c r="N26" s="70"/>
      <c r="O26" s="87"/>
      <c r="P26" s="75" t="s">
        <v>231</v>
      </c>
      <c r="Q26" s="74" t="s">
        <v>242</v>
      </c>
      <c r="R26" s="74" t="s">
        <v>243</v>
      </c>
      <c r="S26" s="74" t="s">
        <v>244</v>
      </c>
    </row>
    <row r="27" spans="1:19" ht="17.25" thickBot="1">
      <c r="A27" s="62">
        <v>673676</v>
      </c>
      <c r="B27" s="62" t="s">
        <v>205</v>
      </c>
      <c r="C27" s="63">
        <v>800</v>
      </c>
      <c r="D27" s="63" t="s">
        <v>169</v>
      </c>
      <c r="E27" s="64" t="str">
        <f>VLOOKUP($D27,'[1]Lookup info'!$D:$H,2,FALSE)</f>
        <v>0023</v>
      </c>
      <c r="F27" s="64" t="str">
        <f>VLOOKUP($D27,'[1]Lookup info'!$D:$H,5,FALSE)</f>
        <v>W</v>
      </c>
      <c r="G27" s="68">
        <v>45</v>
      </c>
      <c r="H27" s="27"/>
      <c r="I27" s="27">
        <f t="shared" si="4"/>
        <v>0</v>
      </c>
      <c r="J27" s="93">
        <f t="shared" si="0"/>
        <v>12</v>
      </c>
      <c r="K27" s="51">
        <v>540</v>
      </c>
      <c r="L27"/>
      <c r="N27" s="70"/>
      <c r="O27" s="69"/>
      <c r="P27" s="69"/>
      <c r="Q27" s="76" t="s">
        <v>245</v>
      </c>
      <c r="R27" s="74" t="s">
        <v>246</v>
      </c>
      <c r="S27" s="74" t="s">
        <v>247</v>
      </c>
    </row>
    <row r="28" spans="1:19">
      <c r="A28" s="62">
        <v>673674</v>
      </c>
      <c r="B28" s="62" t="s">
        <v>206</v>
      </c>
      <c r="C28" s="63">
        <v>800</v>
      </c>
      <c r="D28" s="63" t="s">
        <v>169</v>
      </c>
      <c r="E28" s="64" t="str">
        <f>VLOOKUP($D28,'[1]Lookup info'!$D:$H,2,FALSE)</f>
        <v>0023</v>
      </c>
      <c r="F28" s="64" t="str">
        <f>VLOOKUP($D28,'[1]Lookup info'!$D:$H,5,FALSE)</f>
        <v>W</v>
      </c>
      <c r="G28" s="68">
        <v>45</v>
      </c>
      <c r="H28" s="27"/>
      <c r="I28" s="27">
        <f t="shared" si="4"/>
        <v>0</v>
      </c>
      <c r="J28" s="51">
        <f t="shared" si="0"/>
        <v>0</v>
      </c>
      <c r="K28" s="51"/>
      <c r="L28"/>
      <c r="N28" s="70"/>
      <c r="O28" s="69"/>
      <c r="P28" s="69"/>
      <c r="Q28" s="69"/>
      <c r="R28" s="69"/>
      <c r="S28" s="69"/>
    </row>
    <row r="29" spans="1:19">
      <c r="A29" s="65">
        <v>673672</v>
      </c>
      <c r="B29" s="65" t="s">
        <v>207</v>
      </c>
      <c r="C29" s="66">
        <v>800</v>
      </c>
      <c r="D29" s="66" t="s">
        <v>169</v>
      </c>
      <c r="E29" s="67" t="str">
        <f>VLOOKUP($D29,'[1]Lookup info'!$D:$H,2,FALSE)</f>
        <v>0023</v>
      </c>
      <c r="F29" s="67" t="str">
        <f>VLOOKUP($D29,'[1]Lookup info'!$D:$H,5,FALSE)</f>
        <v>W</v>
      </c>
      <c r="G29" s="68">
        <v>45</v>
      </c>
      <c r="H29" s="27"/>
      <c r="I29" s="27">
        <f t="shared" si="4"/>
        <v>0</v>
      </c>
      <c r="J29" s="51">
        <f t="shared" si="0"/>
        <v>0</v>
      </c>
      <c r="K29" s="51"/>
      <c r="L29"/>
      <c r="N29" s="70"/>
    </row>
    <row r="30" spans="1:19">
      <c r="A30" s="65">
        <v>673641</v>
      </c>
      <c r="B30" s="65" t="s">
        <v>208</v>
      </c>
      <c r="C30" s="66">
        <v>800</v>
      </c>
      <c r="D30" s="66" t="s">
        <v>169</v>
      </c>
      <c r="E30" s="67" t="str">
        <f>VLOOKUP($D30,'[1]Lookup info'!$D:$H,2,FALSE)</f>
        <v>0023</v>
      </c>
      <c r="F30" s="67" t="str">
        <f>VLOOKUP($D30,'[1]Lookup info'!$D:$H,5,FALSE)</f>
        <v>W</v>
      </c>
      <c r="G30" s="68">
        <v>45</v>
      </c>
      <c r="H30" s="27"/>
      <c r="I30" s="27">
        <f t="shared" si="4"/>
        <v>0</v>
      </c>
      <c r="J30" s="51">
        <f t="shared" si="0"/>
        <v>0</v>
      </c>
      <c r="K30" s="51"/>
      <c r="L30"/>
      <c r="Q30" s="70"/>
    </row>
    <row r="31" spans="1:19">
      <c r="A31" s="57" t="s">
        <v>194</v>
      </c>
      <c r="B31" s="57" t="s">
        <v>188</v>
      </c>
      <c r="C31" s="58">
        <v>800</v>
      </c>
      <c r="D31" s="58" t="s">
        <v>169</v>
      </c>
      <c r="E31" s="59" t="str">
        <f>VLOOKUP($D31,'Lookup info'!$D:$H,2,FALSE)</f>
        <v>0023</v>
      </c>
      <c r="F31" s="59" t="str">
        <f>VLOOKUP($D31,'Lookup info'!$D:$H,5,FALSE)</f>
        <v>W</v>
      </c>
      <c r="G31" s="60">
        <v>144</v>
      </c>
      <c r="H31" s="61"/>
      <c r="I31" s="61">
        <f t="shared" ref="I31:I37" si="5">H31*G31</f>
        <v>0</v>
      </c>
      <c r="J31" s="51">
        <f t="shared" ref="J31" si="6">IF(G31="","",K31/G31)</f>
        <v>0</v>
      </c>
      <c r="K31" s="51"/>
      <c r="L31" s="14"/>
      <c r="M31" s="14">
        <f t="shared" si="2"/>
        <v>0</v>
      </c>
      <c r="O31" s="55"/>
    </row>
    <row r="32" spans="1:19">
      <c r="A32" s="57" t="s">
        <v>195</v>
      </c>
      <c r="B32" s="57" t="s">
        <v>189</v>
      </c>
      <c r="C32" s="58">
        <v>800</v>
      </c>
      <c r="D32" s="58" t="s">
        <v>169</v>
      </c>
      <c r="E32" s="59" t="str">
        <f>VLOOKUP($D32,'Lookup info'!$D:$H,2,FALSE)</f>
        <v>0023</v>
      </c>
      <c r="F32" s="59" t="str">
        <f>VLOOKUP($D32,'Lookup info'!$D:$H,5,FALSE)</f>
        <v>W</v>
      </c>
      <c r="G32" s="60">
        <v>144</v>
      </c>
      <c r="H32" s="61"/>
      <c r="I32" s="61">
        <f t="shared" si="5"/>
        <v>0</v>
      </c>
      <c r="J32" s="51">
        <f t="shared" ref="J32:J33" si="7">IF(G32="","",K32/G32)</f>
        <v>0</v>
      </c>
      <c r="K32" s="51"/>
      <c r="M32" s="1">
        <f>K32*5</f>
        <v>0</v>
      </c>
      <c r="O32" s="55"/>
    </row>
    <row r="33" spans="1:15">
      <c r="A33" s="57" t="s">
        <v>196</v>
      </c>
      <c r="B33" s="57" t="s">
        <v>190</v>
      </c>
      <c r="C33" s="58">
        <v>800</v>
      </c>
      <c r="D33" s="58" t="s">
        <v>169</v>
      </c>
      <c r="E33" s="59" t="str">
        <f>VLOOKUP($D33,'Lookup info'!$D:$H,2,FALSE)</f>
        <v>0023</v>
      </c>
      <c r="F33" s="59" t="str">
        <f>VLOOKUP($D33,'Lookup info'!$D:$H,5,FALSE)</f>
        <v>W</v>
      </c>
      <c r="G33" s="60">
        <v>144</v>
      </c>
      <c r="H33" s="61"/>
      <c r="I33" s="61">
        <f t="shared" si="5"/>
        <v>0</v>
      </c>
      <c r="J33" s="51">
        <f t="shared" si="7"/>
        <v>0</v>
      </c>
      <c r="K33" s="51"/>
      <c r="L33" s="11"/>
      <c r="M33" s="1">
        <f t="shared" ref="M33:M36" si="8">K33*4</f>
        <v>0</v>
      </c>
      <c r="O33" s="55"/>
    </row>
    <row r="34" spans="1:15">
      <c r="A34" s="57" t="s">
        <v>197</v>
      </c>
      <c r="B34" s="57" t="s">
        <v>185</v>
      </c>
      <c r="C34" s="58">
        <v>800</v>
      </c>
      <c r="D34" s="58" t="s">
        <v>168</v>
      </c>
      <c r="E34" s="59" t="str">
        <f>VLOOKUP($D34,'Lookup info'!$D:$H,2,FALSE)</f>
        <v>0002</v>
      </c>
      <c r="F34" s="59" t="str">
        <f>VLOOKUP($D34,'Lookup info'!$D:$H,5,FALSE)</f>
        <v>C</v>
      </c>
      <c r="G34" s="60">
        <v>96</v>
      </c>
      <c r="H34" s="61"/>
      <c r="I34" s="61">
        <f t="shared" si="5"/>
        <v>0</v>
      </c>
      <c r="J34" s="51">
        <f t="shared" ref="J34:J37" si="9">IF(G34="","",K34/G34)</f>
        <v>0</v>
      </c>
      <c r="K34" s="51"/>
      <c r="L34" s="13"/>
      <c r="M34" s="1">
        <f t="shared" si="8"/>
        <v>0</v>
      </c>
    </row>
    <row r="35" spans="1:15">
      <c r="A35" s="57" t="s">
        <v>198</v>
      </c>
      <c r="B35" s="57" t="s">
        <v>186</v>
      </c>
      <c r="C35" s="58">
        <v>800</v>
      </c>
      <c r="D35" s="58" t="s">
        <v>168</v>
      </c>
      <c r="E35" s="59" t="str">
        <f>VLOOKUP($D35,'Lookup info'!$D:$H,2,FALSE)</f>
        <v>0002</v>
      </c>
      <c r="F35" s="59" t="str">
        <f>VLOOKUP($D35,'Lookup info'!$D:$H,5,FALSE)</f>
        <v>C</v>
      </c>
      <c r="G35" s="60">
        <v>96</v>
      </c>
      <c r="H35" s="61"/>
      <c r="I35" s="61">
        <f t="shared" si="5"/>
        <v>0</v>
      </c>
      <c r="J35" s="51">
        <f t="shared" si="9"/>
        <v>0</v>
      </c>
      <c r="K35" s="51"/>
      <c r="M35" s="1">
        <f t="shared" si="8"/>
        <v>0</v>
      </c>
    </row>
    <row r="36" spans="1:15">
      <c r="A36" s="57" t="s">
        <v>199</v>
      </c>
      <c r="B36" s="57" t="s">
        <v>187</v>
      </c>
      <c r="C36" s="58">
        <v>800</v>
      </c>
      <c r="D36" s="58" t="s">
        <v>168</v>
      </c>
      <c r="E36" s="59" t="str">
        <f>VLOOKUP($D36,'Lookup info'!$D:$H,2,FALSE)</f>
        <v>0002</v>
      </c>
      <c r="F36" s="59" t="str">
        <f>VLOOKUP($D36,'Lookup info'!$D:$H,5,FALSE)</f>
        <v>C</v>
      </c>
      <c r="G36" s="60">
        <v>96</v>
      </c>
      <c r="H36" s="61"/>
      <c r="I36" s="61">
        <f t="shared" si="5"/>
        <v>0</v>
      </c>
      <c r="J36" s="51">
        <f t="shared" si="9"/>
        <v>0</v>
      </c>
      <c r="K36" s="51"/>
      <c r="M36" s="1">
        <f t="shared" si="8"/>
        <v>0</v>
      </c>
    </row>
    <row r="37" spans="1:15">
      <c r="A37" s="57" t="s">
        <v>200</v>
      </c>
      <c r="B37" s="57" t="s">
        <v>201</v>
      </c>
      <c r="C37" s="58">
        <v>800</v>
      </c>
      <c r="D37" s="58" t="s">
        <v>168</v>
      </c>
      <c r="E37" s="59" t="str">
        <f>VLOOKUP($D37,'Lookup info'!$D:$H,2,FALSE)</f>
        <v>0002</v>
      </c>
      <c r="F37" s="59" t="str">
        <f>VLOOKUP($D37,'Lookup info'!$D:$H,5,FALSE)</f>
        <v>C</v>
      </c>
      <c r="G37" s="60">
        <v>96</v>
      </c>
      <c r="H37" s="61"/>
      <c r="I37" s="61">
        <f t="shared" si="5"/>
        <v>0</v>
      </c>
      <c r="J37" s="51">
        <f t="shared" si="9"/>
        <v>0</v>
      </c>
      <c r="K37" s="51"/>
      <c r="M37" s="1">
        <f t="shared" ref="M37" si="10">K37*4</f>
        <v>0</v>
      </c>
    </row>
    <row r="38" spans="1:15">
      <c r="A38" s="77">
        <v>698408</v>
      </c>
      <c r="B38" s="77" t="s">
        <v>250</v>
      </c>
      <c r="C38" s="78">
        <v>800</v>
      </c>
      <c r="D38" s="78" t="s">
        <v>173</v>
      </c>
      <c r="E38" s="79" t="str">
        <f>VLOOKUP($D38,'Lookup info'!$D:$H,2,FALSE)</f>
        <v>0120</v>
      </c>
      <c r="F38" s="79" t="str">
        <f>VLOOKUP($D38,'Lookup info'!$D:$H,5,FALSE)</f>
        <v>F</v>
      </c>
      <c r="G38" s="80">
        <v>96</v>
      </c>
      <c r="H38" s="61">
        <v>3</v>
      </c>
      <c r="I38" s="61">
        <f t="shared" ref="I38:I39" si="11">H38*G38</f>
        <v>288</v>
      </c>
      <c r="J38" s="51">
        <f t="shared" ref="J38:J39" si="12">IF(G38="","",K38/G38)</f>
        <v>9</v>
      </c>
      <c r="K38" s="51">
        <v>864</v>
      </c>
      <c r="N38" s="70"/>
    </row>
    <row r="39" spans="1:15">
      <c r="A39" s="77">
        <v>698409</v>
      </c>
      <c r="B39" s="77" t="s">
        <v>251</v>
      </c>
      <c r="C39" s="78">
        <v>800</v>
      </c>
      <c r="D39" s="78" t="s">
        <v>173</v>
      </c>
      <c r="E39" s="79" t="str">
        <f>VLOOKUP($D39,'Lookup info'!$D:$H,2,FALSE)</f>
        <v>0120</v>
      </c>
      <c r="F39" s="79" t="str">
        <f>VLOOKUP($D39,'Lookup info'!$D:$H,5,FALSE)</f>
        <v>F</v>
      </c>
      <c r="G39" s="80">
        <v>96</v>
      </c>
      <c r="H39" s="61"/>
      <c r="I39" s="61">
        <f t="shared" si="11"/>
        <v>0</v>
      </c>
      <c r="J39" s="51">
        <f t="shared" si="12"/>
        <v>0</v>
      </c>
      <c r="K39" s="51">
        <f>N39/4</f>
        <v>0</v>
      </c>
    </row>
    <row r="40" spans="1:15">
      <c r="A40" s="77">
        <v>653156</v>
      </c>
      <c r="B40" s="77" t="s">
        <v>252</v>
      </c>
      <c r="C40" s="78">
        <v>400</v>
      </c>
      <c r="D40" s="78" t="s">
        <v>168</v>
      </c>
      <c r="E40" s="79" t="str">
        <f>VLOOKUP($D40,'Lookup info'!$D:$H,2,FALSE)</f>
        <v>0002</v>
      </c>
      <c r="F40" s="79" t="str">
        <f>VLOOKUP($D40,'Lookup info'!$D:$H,5,FALSE)</f>
        <v>C</v>
      </c>
      <c r="G40" s="80">
        <v>42</v>
      </c>
      <c r="H40" s="61"/>
      <c r="I40" s="61">
        <f t="shared" ref="I40:I41" si="13">H40*G40</f>
        <v>0</v>
      </c>
      <c r="J40" s="51">
        <f t="shared" ref="J40:J41" si="14">IF(G40="","",K40/G40)</f>
        <v>0</v>
      </c>
      <c r="K40" s="51">
        <f>N40/4</f>
        <v>0</v>
      </c>
      <c r="N40" s="70"/>
    </row>
    <row r="41" spans="1:15">
      <c r="A41" s="77">
        <v>653299</v>
      </c>
      <c r="B41" s="77" t="s">
        <v>253</v>
      </c>
      <c r="C41" s="78">
        <v>400</v>
      </c>
      <c r="D41" s="78" t="s">
        <v>168</v>
      </c>
      <c r="E41" s="79" t="str">
        <f>VLOOKUP($D41,'Lookup info'!$D:$H,2,FALSE)</f>
        <v>0002</v>
      </c>
      <c r="F41" s="79" t="str">
        <f>VLOOKUP($D41,'Lookup info'!$D:$H,5,FALSE)</f>
        <v>C</v>
      </c>
      <c r="G41" s="80">
        <v>42</v>
      </c>
      <c r="H41" s="61"/>
      <c r="I41" s="61">
        <f t="shared" si="13"/>
        <v>0</v>
      </c>
      <c r="J41" s="51">
        <f t="shared" si="14"/>
        <v>0</v>
      </c>
      <c r="K41" s="51">
        <f>N41/4</f>
        <v>0</v>
      </c>
      <c r="N41" s="70"/>
    </row>
    <row r="42" spans="1:15">
      <c r="A42" s="8"/>
      <c r="B42" s="3"/>
      <c r="C42" s="3"/>
      <c r="D42" s="3"/>
      <c r="E42" s="3"/>
      <c r="F42" s="3"/>
      <c r="G42" s="3"/>
      <c r="J42" s="54"/>
      <c r="K42" s="3"/>
    </row>
    <row r="43" spans="1:15">
      <c r="A43" s="8"/>
      <c r="B43" s="8"/>
      <c r="C43" s="3"/>
      <c r="J43" s="8" t="s">
        <v>19</v>
      </c>
      <c r="K43" s="3"/>
    </row>
    <row r="44" spans="1:15">
      <c r="A44" s="8"/>
      <c r="B44" s="8"/>
      <c r="C44" s="3"/>
      <c r="J44" s="8" t="s">
        <v>20</v>
      </c>
      <c r="K44" s="28"/>
    </row>
    <row r="45" spans="1:15">
      <c r="A45" s="11"/>
      <c r="B45" s="11"/>
    </row>
    <row r="47" spans="1:15">
      <c r="A47"/>
      <c r="B47"/>
      <c r="C47"/>
      <c r="D47"/>
      <c r="E47"/>
      <c r="F47"/>
      <c r="G47"/>
      <c r="H47"/>
      <c r="I47"/>
      <c r="J47" s="22"/>
    </row>
    <row r="48" spans="1:15">
      <c r="A48"/>
      <c r="B48"/>
      <c r="C48"/>
      <c r="D48"/>
      <c r="E48"/>
      <c r="F48"/>
      <c r="G48"/>
      <c r="H48"/>
      <c r="I48"/>
      <c r="J48" s="22"/>
    </row>
    <row r="49" spans="1:10">
      <c r="A49"/>
      <c r="B49"/>
      <c r="C49"/>
      <c r="D49"/>
      <c r="E49"/>
      <c r="F49"/>
      <c r="G49"/>
      <c r="H49"/>
      <c r="I49"/>
      <c r="J49" s="22"/>
    </row>
    <row r="50" spans="1:10">
      <c r="A50"/>
      <c r="B50"/>
      <c r="C50"/>
      <c r="D50"/>
      <c r="E50"/>
      <c r="F50"/>
      <c r="G50"/>
      <c r="H50"/>
      <c r="I50"/>
      <c r="J50" s="22"/>
    </row>
    <row r="51" spans="1:10">
      <c r="A51"/>
      <c r="B51"/>
      <c r="C51"/>
      <c r="D51"/>
      <c r="E51"/>
      <c r="F51"/>
      <c r="G51"/>
      <c r="H51"/>
      <c r="I51"/>
      <c r="J51" s="22"/>
    </row>
    <row r="52" spans="1:10">
      <c r="A52" s="23"/>
      <c r="B52"/>
      <c r="C52"/>
      <c r="D52"/>
      <c r="E52"/>
      <c r="F52"/>
      <c r="G52"/>
      <c r="H52"/>
      <c r="I52"/>
      <c r="J52" s="22"/>
    </row>
    <row r="53" spans="1:10">
      <c r="A53"/>
      <c r="B53"/>
      <c r="C53"/>
      <c r="D53"/>
      <c r="E53"/>
      <c r="F53"/>
      <c r="G53"/>
      <c r="H53"/>
      <c r="I53" s="53"/>
      <c r="J53" s="22"/>
    </row>
    <row r="54" spans="1:10">
      <c r="A54"/>
      <c r="B54"/>
      <c r="C54"/>
      <c r="D54"/>
      <c r="E54"/>
      <c r="F54"/>
      <c r="G54"/>
      <c r="H54"/>
      <c r="I54" s="52"/>
      <c r="J54" s="22"/>
    </row>
    <row r="55" spans="1:10">
      <c r="A55"/>
      <c r="B55"/>
      <c r="C55"/>
      <c r="D55"/>
      <c r="E55"/>
      <c r="F55"/>
      <c r="G55"/>
      <c r="H55"/>
      <c r="I55" s="52"/>
      <c r="J55" s="22"/>
    </row>
    <row r="56" spans="1:10">
      <c r="I56"/>
    </row>
    <row r="57" spans="1:10">
      <c r="I57"/>
    </row>
    <row r="58" spans="1:10">
      <c r="I58"/>
    </row>
    <row r="59" spans="1:10">
      <c r="I59"/>
    </row>
    <row r="60" spans="1:10">
      <c r="I60"/>
    </row>
    <row r="61" spans="1:10">
      <c r="I61"/>
    </row>
  </sheetData>
  <autoFilter ref="A16:M37" xr:uid="{00000000-0001-0000-0000-000000000000}"/>
  <mergeCells count="2">
    <mergeCell ref="O17:O21"/>
    <mergeCell ref="O22:O26"/>
  </mergeCells>
  <phoneticPr fontId="12" type="noConversion"/>
  <dataValidations count="2">
    <dataValidation type="list" allowBlank="1" showInputMessage="1" showErrorMessage="1" sqref="B4" xr:uid="{00000000-0002-0000-0000-000000000000}">
      <formula1>#REF!</formula1>
    </dataValidation>
    <dataValidation type="list" allowBlank="1" showInputMessage="1" showErrorMessage="1" sqref="B10 B8" xr:uid="{00000000-0002-0000-0000-000001000000}">
      <formula1>#REF!</formula1>
    </dataValidation>
  </dataValidations>
  <pageMargins left="0.7" right="0.7" top="0.75" bottom="0.75" header="0.3" footer="0.3"/>
  <pageSetup paperSize="9" scale="95" orientation="landscape" r:id="rId1"/>
  <headerFooter>
    <oddFooter>&amp;L&amp;1#&amp;"Calibri"&amp;8&amp;K000000heewon.kim@emart.com, 희원(파트너) - 해외소싱담당국내영업팀 김, 202206-092022 September_Emart.xlsx, 2022-07-07T04:33:12Z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3000000}">
          <x14:formula1>
            <xm:f>'Lookup info'!$A$5:$A$104</xm:f>
          </x14:formula1>
          <xm:sqref>B2</xm:sqref>
        </x14:dataValidation>
        <x14:dataValidation type="list" allowBlank="1" showInputMessage="1" showErrorMessage="1" xr:uid="{00000000-0002-0000-0000-000004000000}">
          <x14:formula1>
            <xm:f>'Lookup info'!$D$5:$D$40</xm:f>
          </x14:formula1>
          <xm:sqref>D40:D41 D31:D37 D17:D23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4"/>
  <sheetViews>
    <sheetView zoomScale="70" zoomScaleNormal="70" workbookViewId="0">
      <selection activeCell="B47" sqref="B47"/>
    </sheetView>
  </sheetViews>
  <sheetFormatPr defaultColWidth="9.125" defaultRowHeight="16.5"/>
  <cols>
    <col min="1" max="1" width="9.125" style="1"/>
    <col min="2" max="2" width="27.375" style="1" bestFit="1" customWidth="1"/>
    <col min="3" max="3" width="9.125" style="1"/>
    <col min="4" max="4" width="29" style="1" bestFit="1" customWidth="1"/>
    <col min="5" max="5" width="16" style="1" bestFit="1" customWidth="1"/>
    <col min="6" max="6" width="34.625" style="1" bestFit="1" customWidth="1"/>
    <col min="7" max="7" width="29" style="1" bestFit="1" customWidth="1"/>
    <col min="8" max="8" width="13.5" style="1" bestFit="1" customWidth="1"/>
    <col min="9" max="16384" width="9.125" style="1"/>
  </cols>
  <sheetData>
    <row r="1" spans="1:8">
      <c r="A1" s="50" t="s">
        <v>184</v>
      </c>
    </row>
    <row r="2" spans="1:8" ht="17.25" thickBot="1"/>
    <row r="3" spans="1:8" ht="17.25" thickBot="1">
      <c r="A3" s="88" t="s">
        <v>28</v>
      </c>
      <c r="B3" s="89"/>
      <c r="D3" s="90" t="s">
        <v>152</v>
      </c>
      <c r="E3" s="91"/>
      <c r="F3" s="91"/>
      <c r="G3" s="91"/>
      <c r="H3" s="92"/>
    </row>
    <row r="4" spans="1:8" ht="17.25" thickBot="1">
      <c r="A4" s="41" t="s">
        <v>34</v>
      </c>
      <c r="B4" s="42" t="s">
        <v>35</v>
      </c>
      <c r="D4" s="47" t="s">
        <v>183</v>
      </c>
      <c r="E4" s="48" t="s">
        <v>117</v>
      </c>
      <c r="F4" s="48" t="s">
        <v>118</v>
      </c>
      <c r="G4" s="48" t="s">
        <v>180</v>
      </c>
      <c r="H4" s="49" t="s">
        <v>181</v>
      </c>
    </row>
    <row r="5" spans="1:8">
      <c r="A5" s="32" t="s">
        <v>36</v>
      </c>
      <c r="B5" s="33" t="s">
        <v>75</v>
      </c>
      <c r="D5" s="46" t="str">
        <f>IF(G5="","",G5)</f>
        <v>Zoetermeer</v>
      </c>
      <c r="E5" s="44" t="s">
        <v>119</v>
      </c>
      <c r="F5" s="44" t="s">
        <v>133</v>
      </c>
      <c r="G5" s="44" t="s">
        <v>167</v>
      </c>
      <c r="H5" s="45" t="s">
        <v>154</v>
      </c>
    </row>
    <row r="6" spans="1:8">
      <c r="A6" s="32" t="s">
        <v>37</v>
      </c>
      <c r="B6" s="33" t="s">
        <v>76</v>
      </c>
      <c r="D6" s="34" t="str">
        <f t="shared" ref="D6:D40" si="0">IF(G6="","",G6)</f>
        <v>Haps</v>
      </c>
      <c r="E6" s="39" t="s">
        <v>32</v>
      </c>
      <c r="F6" s="39" t="s">
        <v>134</v>
      </c>
      <c r="G6" s="39" t="s">
        <v>168</v>
      </c>
      <c r="H6" s="33" t="s">
        <v>150</v>
      </c>
    </row>
    <row r="7" spans="1:8">
      <c r="A7" s="32" t="s">
        <v>29</v>
      </c>
      <c r="B7" s="33" t="s">
        <v>77</v>
      </c>
      <c r="D7" s="34" t="str">
        <f t="shared" si="0"/>
        <v>Wexford</v>
      </c>
      <c r="E7" s="39" t="s">
        <v>120</v>
      </c>
      <c r="F7" s="39" t="s">
        <v>135</v>
      </c>
      <c r="G7" s="39" t="s">
        <v>169</v>
      </c>
      <c r="H7" s="33" t="s">
        <v>155</v>
      </c>
    </row>
    <row r="8" spans="1:8">
      <c r="A8" s="32" t="s">
        <v>38</v>
      </c>
      <c r="B8" s="33" t="s">
        <v>78</v>
      </c>
      <c r="D8" s="34" t="str">
        <f t="shared" si="0"/>
        <v>PTNIS</v>
      </c>
      <c r="E8" s="39" t="s">
        <v>121</v>
      </c>
      <c r="F8" s="39" t="s">
        <v>136</v>
      </c>
      <c r="G8" s="39" t="s">
        <v>170</v>
      </c>
      <c r="H8" s="33" t="s">
        <v>156</v>
      </c>
    </row>
    <row r="9" spans="1:8">
      <c r="A9" s="32" t="s">
        <v>39</v>
      </c>
      <c r="B9" s="33" t="s">
        <v>79</v>
      </c>
      <c r="D9" s="34" t="str">
        <f t="shared" si="0"/>
        <v>Opole</v>
      </c>
      <c r="E9" s="39" t="s">
        <v>122</v>
      </c>
      <c r="F9" s="39" t="s">
        <v>137</v>
      </c>
      <c r="G9" s="39" t="s">
        <v>171</v>
      </c>
      <c r="H9" s="33" t="s">
        <v>151</v>
      </c>
    </row>
    <row r="10" spans="1:8">
      <c r="A10" s="32" t="s">
        <v>40</v>
      </c>
      <c r="B10" s="33" t="s">
        <v>80</v>
      </c>
      <c r="D10" s="34" t="str">
        <f t="shared" si="0"/>
        <v>Istra</v>
      </c>
      <c r="E10" s="39" t="s">
        <v>123</v>
      </c>
      <c r="F10" s="39" t="s">
        <v>138</v>
      </c>
      <c r="G10" s="39" t="s">
        <v>153</v>
      </c>
      <c r="H10" s="33" t="s">
        <v>157</v>
      </c>
    </row>
    <row r="11" spans="1:8">
      <c r="A11" s="32" t="s">
        <v>115</v>
      </c>
      <c r="B11" s="33" t="s">
        <v>116</v>
      </c>
      <c r="D11" s="34" t="str">
        <f t="shared" si="0"/>
        <v>Liverpool</v>
      </c>
      <c r="E11" s="39" t="s">
        <v>124</v>
      </c>
      <c r="F11" s="39" t="s">
        <v>139</v>
      </c>
      <c r="G11" s="39" t="s">
        <v>172</v>
      </c>
      <c r="H11" s="33" t="s">
        <v>158</v>
      </c>
    </row>
    <row r="12" spans="1:8">
      <c r="A12" s="32" t="s">
        <v>41</v>
      </c>
      <c r="B12" s="33" t="s">
        <v>81</v>
      </c>
      <c r="D12" s="34" t="str">
        <f t="shared" si="0"/>
        <v>Fulda</v>
      </c>
      <c r="E12" s="39" t="s">
        <v>125</v>
      </c>
      <c r="F12" s="39" t="s">
        <v>140</v>
      </c>
      <c r="G12" s="39" t="s">
        <v>173</v>
      </c>
      <c r="H12" s="33" t="s">
        <v>159</v>
      </c>
    </row>
    <row r="13" spans="1:8">
      <c r="A13" s="32" t="s">
        <v>42</v>
      </c>
      <c r="B13" s="33" t="s">
        <v>82</v>
      </c>
      <c r="D13" s="34" t="str">
        <f t="shared" si="0"/>
        <v>Kasdorf</v>
      </c>
      <c r="E13" s="39" t="s">
        <v>126</v>
      </c>
      <c r="F13" s="39" t="s">
        <v>141</v>
      </c>
      <c r="G13" s="39" t="s">
        <v>174</v>
      </c>
      <c r="H13" s="33" t="s">
        <v>160</v>
      </c>
    </row>
    <row r="14" spans="1:8">
      <c r="A14" s="32" t="s">
        <v>43</v>
      </c>
      <c r="B14" s="33" t="s">
        <v>83</v>
      </c>
      <c r="D14" s="34" t="str">
        <f t="shared" si="0"/>
        <v>Wuxi (Nutricia Pharmaceutical)</v>
      </c>
      <c r="E14" s="39" t="s">
        <v>127</v>
      </c>
      <c r="F14" s="39" t="s">
        <v>142</v>
      </c>
      <c r="G14" s="39" t="s">
        <v>182</v>
      </c>
      <c r="H14" s="33" t="s">
        <v>161</v>
      </c>
    </row>
    <row r="15" spans="1:8">
      <c r="A15" s="32" t="s">
        <v>44</v>
      </c>
      <c r="B15" s="33" t="s">
        <v>84</v>
      </c>
      <c r="D15" s="34" t="str">
        <f t="shared" si="0"/>
        <v>Steenvoorde</v>
      </c>
      <c r="E15" s="39" t="s">
        <v>128</v>
      </c>
      <c r="F15" s="39" t="s">
        <v>143</v>
      </c>
      <c r="G15" s="39" t="s">
        <v>176</v>
      </c>
      <c r="H15" s="33" t="s">
        <v>162</v>
      </c>
    </row>
    <row r="16" spans="1:8">
      <c r="A16" s="32" t="s">
        <v>45</v>
      </c>
      <c r="B16" s="33" t="s">
        <v>85</v>
      </c>
      <c r="D16" s="34" t="str">
        <f t="shared" si="0"/>
        <v>Villefranche</v>
      </c>
      <c r="E16" s="39" t="s">
        <v>129</v>
      </c>
      <c r="F16" s="39" t="s">
        <v>144</v>
      </c>
      <c r="G16" s="39" t="s">
        <v>177</v>
      </c>
      <c r="H16" s="33" t="s">
        <v>163</v>
      </c>
    </row>
    <row r="17" spans="1:8">
      <c r="A17" s="32" t="s">
        <v>46</v>
      </c>
      <c r="B17" s="33" t="s">
        <v>86</v>
      </c>
      <c r="D17" s="34" t="str">
        <f t="shared" si="0"/>
        <v>Krueger</v>
      </c>
      <c r="E17" s="39" t="s">
        <v>130</v>
      </c>
      <c r="F17" s="39" t="s">
        <v>145</v>
      </c>
      <c r="G17" s="39" t="s">
        <v>178</v>
      </c>
      <c r="H17" s="33" t="s">
        <v>164</v>
      </c>
    </row>
    <row r="18" spans="1:8">
      <c r="A18" s="32" t="s">
        <v>47</v>
      </c>
      <c r="B18" s="33" t="s">
        <v>87</v>
      </c>
      <c r="D18" s="34" t="str">
        <f t="shared" si="0"/>
        <v>Otmuchow</v>
      </c>
      <c r="E18" s="39" t="s">
        <v>33</v>
      </c>
      <c r="F18" s="39" t="s">
        <v>146</v>
      </c>
      <c r="G18" s="39" t="s">
        <v>26</v>
      </c>
      <c r="H18" s="33" t="s">
        <v>165</v>
      </c>
    </row>
    <row r="19" spans="1:8">
      <c r="A19" s="32" t="s">
        <v>48</v>
      </c>
      <c r="B19" s="33" t="s">
        <v>88</v>
      </c>
      <c r="D19" s="34" t="str">
        <f t="shared" si="0"/>
        <v>Medical Logistics (3PS)</v>
      </c>
      <c r="E19" s="39" t="s">
        <v>131</v>
      </c>
      <c r="F19" s="39" t="s">
        <v>147</v>
      </c>
      <c r="G19" s="39" t="s">
        <v>179</v>
      </c>
      <c r="H19" s="33" t="s">
        <v>166</v>
      </c>
    </row>
    <row r="20" spans="1:8">
      <c r="A20" s="32" t="s">
        <v>49</v>
      </c>
      <c r="B20" s="33" t="s">
        <v>89</v>
      </c>
      <c r="D20" s="34" t="str">
        <f t="shared" si="0"/>
        <v>Wuxi</v>
      </c>
      <c r="E20" s="39" t="s">
        <v>132</v>
      </c>
      <c r="F20" s="39" t="s">
        <v>148</v>
      </c>
      <c r="G20" s="39" t="s">
        <v>175</v>
      </c>
      <c r="H20" s="33" t="s">
        <v>161</v>
      </c>
    </row>
    <row r="21" spans="1:8">
      <c r="A21" s="32" t="s">
        <v>50</v>
      </c>
      <c r="B21" s="33" t="s">
        <v>90</v>
      </c>
      <c r="D21" s="34" t="str">
        <f t="shared" si="0"/>
        <v/>
      </c>
      <c r="H21" s="35"/>
    </row>
    <row r="22" spans="1:8">
      <c r="A22" s="32" t="s">
        <v>51</v>
      </c>
      <c r="B22" s="33" t="s">
        <v>91</v>
      </c>
      <c r="D22" s="34" t="str">
        <f t="shared" si="0"/>
        <v/>
      </c>
      <c r="H22" s="35"/>
    </row>
    <row r="23" spans="1:8">
      <c r="A23" s="32" t="s">
        <v>52</v>
      </c>
      <c r="B23" s="33" t="s">
        <v>92</v>
      </c>
      <c r="D23" s="34" t="str">
        <f t="shared" si="0"/>
        <v/>
      </c>
      <c r="H23" s="35"/>
    </row>
    <row r="24" spans="1:8">
      <c r="A24" s="32" t="s">
        <v>53</v>
      </c>
      <c r="B24" s="33" t="s">
        <v>93</v>
      </c>
      <c r="D24" s="34" t="str">
        <f t="shared" si="0"/>
        <v/>
      </c>
      <c r="H24" s="35"/>
    </row>
    <row r="25" spans="1:8">
      <c r="A25" s="32" t="s">
        <v>54</v>
      </c>
      <c r="B25" s="33" t="s">
        <v>94</v>
      </c>
      <c r="D25" s="34" t="str">
        <f t="shared" si="0"/>
        <v/>
      </c>
      <c r="H25" s="35"/>
    </row>
    <row r="26" spans="1:8">
      <c r="A26" s="32" t="s">
        <v>55</v>
      </c>
      <c r="B26" s="33" t="s">
        <v>95</v>
      </c>
      <c r="D26" s="34" t="str">
        <f t="shared" si="0"/>
        <v/>
      </c>
      <c r="H26" s="35"/>
    </row>
    <row r="27" spans="1:8">
      <c r="A27" s="32" t="s">
        <v>56</v>
      </c>
      <c r="B27" s="33" t="s">
        <v>96</v>
      </c>
      <c r="D27" s="34" t="str">
        <f t="shared" si="0"/>
        <v/>
      </c>
      <c r="H27" s="35"/>
    </row>
    <row r="28" spans="1:8">
      <c r="A28" s="32" t="s">
        <v>57</v>
      </c>
      <c r="B28" s="33" t="s">
        <v>97</v>
      </c>
      <c r="D28" s="34" t="str">
        <f t="shared" si="0"/>
        <v/>
      </c>
      <c r="H28" s="35"/>
    </row>
    <row r="29" spans="1:8">
      <c r="A29" s="32" t="s">
        <v>58</v>
      </c>
      <c r="B29" s="33" t="s">
        <v>98</v>
      </c>
      <c r="D29" s="34" t="str">
        <f t="shared" si="0"/>
        <v/>
      </c>
      <c r="H29" s="35"/>
    </row>
    <row r="30" spans="1:8">
      <c r="A30" s="32" t="s">
        <v>59</v>
      </c>
      <c r="B30" s="33" t="s">
        <v>99</v>
      </c>
      <c r="D30" s="34" t="str">
        <f t="shared" si="0"/>
        <v/>
      </c>
      <c r="H30" s="35"/>
    </row>
    <row r="31" spans="1:8">
      <c r="A31" s="32" t="s">
        <v>60</v>
      </c>
      <c r="B31" s="33" t="s">
        <v>100</v>
      </c>
      <c r="D31" s="34" t="str">
        <f t="shared" si="0"/>
        <v/>
      </c>
      <c r="H31" s="35"/>
    </row>
    <row r="32" spans="1:8">
      <c r="A32" s="32" t="s">
        <v>61</v>
      </c>
      <c r="B32" s="33" t="s">
        <v>101</v>
      </c>
      <c r="D32" s="34" t="str">
        <f t="shared" si="0"/>
        <v/>
      </c>
      <c r="H32" s="35"/>
    </row>
    <row r="33" spans="1:8">
      <c r="A33" s="32" t="s">
        <v>62</v>
      </c>
      <c r="B33" s="33" t="s">
        <v>102</v>
      </c>
      <c r="D33" s="34" t="str">
        <f t="shared" si="0"/>
        <v/>
      </c>
      <c r="H33" s="35"/>
    </row>
    <row r="34" spans="1:8">
      <c r="A34" s="32" t="s">
        <v>63</v>
      </c>
      <c r="B34" s="33" t="s">
        <v>103</v>
      </c>
      <c r="D34" s="34" t="str">
        <f t="shared" si="0"/>
        <v/>
      </c>
      <c r="H34" s="35"/>
    </row>
    <row r="35" spans="1:8">
      <c r="A35" s="32" t="s">
        <v>64</v>
      </c>
      <c r="B35" s="33" t="s">
        <v>104</v>
      </c>
      <c r="D35" s="34" t="str">
        <f t="shared" si="0"/>
        <v/>
      </c>
      <c r="H35" s="35"/>
    </row>
    <row r="36" spans="1:8">
      <c r="A36" s="32" t="s">
        <v>65</v>
      </c>
      <c r="B36" s="33" t="s">
        <v>105</v>
      </c>
      <c r="D36" s="34" t="str">
        <f t="shared" si="0"/>
        <v/>
      </c>
      <c r="H36" s="35"/>
    </row>
    <row r="37" spans="1:8">
      <c r="A37" s="32" t="s">
        <v>66</v>
      </c>
      <c r="B37" s="33" t="s">
        <v>106</v>
      </c>
      <c r="D37" s="34" t="str">
        <f t="shared" si="0"/>
        <v/>
      </c>
      <c r="H37" s="35"/>
    </row>
    <row r="38" spans="1:8">
      <c r="A38" s="32" t="s">
        <v>67</v>
      </c>
      <c r="B38" s="33" t="s">
        <v>107</v>
      </c>
      <c r="D38" s="34" t="str">
        <f t="shared" si="0"/>
        <v/>
      </c>
      <c r="H38" s="35"/>
    </row>
    <row r="39" spans="1:8">
      <c r="A39" s="32" t="s">
        <v>68</v>
      </c>
      <c r="B39" s="33" t="s">
        <v>108</v>
      </c>
      <c r="D39" s="34" t="str">
        <f t="shared" si="0"/>
        <v/>
      </c>
      <c r="H39" s="35"/>
    </row>
    <row r="40" spans="1:8" ht="17.25" thickBot="1">
      <c r="A40" s="32" t="s">
        <v>69</v>
      </c>
      <c r="B40" s="33" t="s">
        <v>109</v>
      </c>
      <c r="D40" s="36" t="str">
        <f t="shared" si="0"/>
        <v/>
      </c>
      <c r="E40" s="40"/>
      <c r="F40" s="40"/>
      <c r="G40" s="40"/>
      <c r="H40" s="37"/>
    </row>
    <row r="41" spans="1:8">
      <c r="A41" s="32" t="s">
        <v>70</v>
      </c>
      <c r="B41" s="33" t="s">
        <v>110</v>
      </c>
    </row>
    <row r="42" spans="1:8">
      <c r="A42" s="32" t="s">
        <v>71</v>
      </c>
      <c r="B42" s="33" t="s">
        <v>111</v>
      </c>
    </row>
    <row r="43" spans="1:8">
      <c r="A43" s="32" t="s">
        <v>72</v>
      </c>
      <c r="B43" s="33" t="s">
        <v>112</v>
      </c>
    </row>
    <row r="44" spans="1:8">
      <c r="A44" s="32" t="s">
        <v>73</v>
      </c>
      <c r="B44" s="33" t="s">
        <v>113</v>
      </c>
    </row>
    <row r="45" spans="1:8">
      <c r="A45" s="32" t="s">
        <v>74</v>
      </c>
      <c r="B45" s="33" t="s">
        <v>114</v>
      </c>
    </row>
    <row r="46" spans="1:8">
      <c r="A46" s="34" t="s">
        <v>192</v>
      </c>
      <c r="B46" s="35" t="s">
        <v>193</v>
      </c>
    </row>
    <row r="47" spans="1:8">
      <c r="A47" s="34"/>
      <c r="B47" s="35"/>
    </row>
    <row r="48" spans="1:8">
      <c r="A48" s="34"/>
      <c r="B48" s="35"/>
    </row>
    <row r="49" spans="1:2">
      <c r="A49" s="34"/>
      <c r="B49" s="35"/>
    </row>
    <row r="50" spans="1:2">
      <c r="A50" s="34"/>
      <c r="B50" s="35"/>
    </row>
    <row r="51" spans="1:2">
      <c r="A51" s="34"/>
      <c r="B51" s="35"/>
    </row>
    <row r="52" spans="1:2">
      <c r="A52" s="34"/>
      <c r="B52" s="35"/>
    </row>
    <row r="53" spans="1:2">
      <c r="A53" s="34"/>
      <c r="B53" s="35"/>
    </row>
    <row r="54" spans="1:2">
      <c r="A54" s="34"/>
      <c r="B54" s="35"/>
    </row>
    <row r="55" spans="1:2">
      <c r="A55" s="34"/>
      <c r="B55" s="35"/>
    </row>
    <row r="56" spans="1:2">
      <c r="A56" s="34"/>
      <c r="B56" s="35"/>
    </row>
    <row r="57" spans="1:2">
      <c r="A57" s="34"/>
      <c r="B57" s="35"/>
    </row>
    <row r="58" spans="1:2">
      <c r="A58" s="34"/>
      <c r="B58" s="35"/>
    </row>
    <row r="59" spans="1:2">
      <c r="A59" s="34"/>
      <c r="B59" s="35"/>
    </row>
    <row r="60" spans="1:2">
      <c r="A60" s="34"/>
      <c r="B60" s="35"/>
    </row>
    <row r="61" spans="1:2">
      <c r="A61" s="34"/>
      <c r="B61" s="35"/>
    </row>
    <row r="62" spans="1:2">
      <c r="A62" s="34"/>
      <c r="B62" s="35"/>
    </row>
    <row r="63" spans="1:2">
      <c r="A63" s="34"/>
      <c r="B63" s="35"/>
    </row>
    <row r="64" spans="1:2">
      <c r="A64" s="34"/>
      <c r="B64" s="35"/>
    </row>
    <row r="65" spans="1:2">
      <c r="A65" s="34"/>
      <c r="B65" s="35"/>
    </row>
    <row r="66" spans="1:2">
      <c r="A66" s="34"/>
      <c r="B66" s="35"/>
    </row>
    <row r="67" spans="1:2">
      <c r="A67" s="34"/>
      <c r="B67" s="35"/>
    </row>
    <row r="68" spans="1:2">
      <c r="A68" s="34"/>
      <c r="B68" s="35"/>
    </row>
    <row r="69" spans="1:2">
      <c r="A69" s="34"/>
      <c r="B69" s="35"/>
    </row>
    <row r="70" spans="1:2">
      <c r="A70" s="34"/>
      <c r="B70" s="35"/>
    </row>
    <row r="71" spans="1:2">
      <c r="A71" s="34"/>
      <c r="B71" s="35"/>
    </row>
    <row r="72" spans="1:2">
      <c r="A72" s="34"/>
      <c r="B72" s="35"/>
    </row>
    <row r="73" spans="1:2">
      <c r="A73" s="34"/>
      <c r="B73" s="35"/>
    </row>
    <row r="74" spans="1:2">
      <c r="A74" s="34"/>
      <c r="B74" s="35"/>
    </row>
    <row r="75" spans="1:2">
      <c r="A75" s="34"/>
      <c r="B75" s="35"/>
    </row>
    <row r="76" spans="1:2">
      <c r="A76" s="34"/>
      <c r="B76" s="35"/>
    </row>
    <row r="77" spans="1:2">
      <c r="A77" s="34"/>
      <c r="B77" s="35"/>
    </row>
    <row r="78" spans="1:2">
      <c r="A78" s="34"/>
      <c r="B78" s="35"/>
    </row>
    <row r="79" spans="1:2">
      <c r="A79" s="34"/>
      <c r="B79" s="35"/>
    </row>
    <row r="80" spans="1:2">
      <c r="A80" s="34"/>
      <c r="B80" s="35"/>
    </row>
    <row r="81" spans="1:2">
      <c r="A81" s="34"/>
      <c r="B81" s="35"/>
    </row>
    <row r="82" spans="1:2">
      <c r="A82" s="34"/>
      <c r="B82" s="35"/>
    </row>
    <row r="83" spans="1:2">
      <c r="A83" s="34"/>
      <c r="B83" s="35"/>
    </row>
    <row r="84" spans="1:2">
      <c r="A84" s="34"/>
      <c r="B84" s="35"/>
    </row>
    <row r="85" spans="1:2">
      <c r="A85" s="34"/>
      <c r="B85" s="35"/>
    </row>
    <row r="86" spans="1:2">
      <c r="A86" s="34"/>
      <c r="B86" s="35"/>
    </row>
    <row r="87" spans="1:2">
      <c r="A87" s="34"/>
      <c r="B87" s="35"/>
    </row>
    <row r="88" spans="1:2">
      <c r="A88" s="34"/>
      <c r="B88" s="35"/>
    </row>
    <row r="89" spans="1:2">
      <c r="A89" s="34"/>
      <c r="B89" s="35"/>
    </row>
    <row r="90" spans="1:2">
      <c r="A90" s="34"/>
      <c r="B90" s="35"/>
    </row>
    <row r="91" spans="1:2">
      <c r="A91" s="34"/>
      <c r="B91" s="35"/>
    </row>
    <row r="92" spans="1:2">
      <c r="A92" s="34"/>
      <c r="B92" s="35"/>
    </row>
    <row r="93" spans="1:2">
      <c r="A93" s="34"/>
      <c r="B93" s="35"/>
    </row>
    <row r="94" spans="1:2">
      <c r="A94" s="34"/>
      <c r="B94" s="35"/>
    </row>
    <row r="95" spans="1:2">
      <c r="A95" s="34"/>
      <c r="B95" s="35"/>
    </row>
    <row r="96" spans="1:2">
      <c r="A96" s="34"/>
      <c r="B96" s="35"/>
    </row>
    <row r="97" spans="1:2">
      <c r="A97" s="34"/>
      <c r="B97" s="35"/>
    </row>
    <row r="98" spans="1:2">
      <c r="A98" s="34"/>
      <c r="B98" s="35"/>
    </row>
    <row r="99" spans="1:2">
      <c r="A99" s="34"/>
      <c r="B99" s="35"/>
    </row>
    <row r="100" spans="1:2">
      <c r="A100" s="34"/>
      <c r="B100" s="35"/>
    </row>
    <row r="101" spans="1:2">
      <c r="A101" s="34"/>
      <c r="B101" s="35"/>
    </row>
    <row r="102" spans="1:2">
      <c r="A102" s="34"/>
      <c r="B102" s="35"/>
    </row>
    <row r="103" spans="1:2">
      <c r="A103" s="34"/>
      <c r="B103" s="35"/>
    </row>
    <row r="104" spans="1:2" ht="17.25" thickBot="1">
      <c r="A104" s="36"/>
      <c r="B104" s="37"/>
    </row>
  </sheetData>
  <mergeCells count="2">
    <mergeCell ref="A3:B3"/>
    <mergeCell ref="D3:H3"/>
  </mergeCells>
  <phoneticPr fontId="12" type="noConversion"/>
  <pageMargins left="0.7" right="0.7" top="0.75" bottom="0.75" header="0.3" footer="0.3"/>
  <pageSetup paperSize="9" orientation="portrait" horizontalDpi="90" verticalDpi="90" r:id="rId1"/>
  <headerFooter>
    <oddFooter>&amp;L&amp;1#&amp;"Calibri"&amp;8&amp;K000000heewon.kim@emart.com, 희원(파트너) - 해외소싱담당국내영업팀 김, 202206-092022 September_Emart.xlsx, 2022-07-07T04:33:12Z</oddFooter>
  </headerFooter>
</worksheet>
</file>

<file path=docMetadata/LabelInfo.xml><?xml version="1.0" encoding="utf-8"?>
<clbl:labelList xmlns:clbl="http://schemas.microsoft.com/office/2020/mipLabelMetadata">
  <clbl:label id="{6b89535c-2ba5-4f71-a34a-075d8392d04a}" enabled="1" method="Privileged" siteId="{d4ffc887-d88d-41cc-bf6a-6bb47ec0f3c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5</vt:i4>
      </vt:variant>
    </vt:vector>
  </HeadingPairs>
  <TitlesOfParts>
    <vt:vector size="7" baseType="lpstr">
      <vt:lpstr>Order</vt:lpstr>
      <vt:lpstr>Lookup info</vt:lpstr>
      <vt:lpstr>Order!Print_Area</vt:lpstr>
      <vt:lpstr>Report1.Header</vt:lpstr>
      <vt:lpstr>Report1.Range</vt:lpstr>
      <vt:lpstr>Report2.Header</vt:lpstr>
      <vt:lpstr>Report2.Range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MURASHOV Maxim</dc:creator>
  <cp:lastModifiedBy>SCM</cp:lastModifiedBy>
  <cp:lastPrinted>2014-05-01T13:42:50Z</cp:lastPrinted>
  <dcterms:created xsi:type="dcterms:W3CDTF">2014-04-29T09:00:29Z</dcterms:created>
  <dcterms:modified xsi:type="dcterms:W3CDTF">2024-07-31T00:26:36Z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959b40d-bd78-422a-b514-2626aa169044_Enabled">
    <vt:lpwstr>true</vt:lpwstr>
  </property>
  <property fmtid="{D5CDD505-2E9C-101B-9397-08002B2CF9AE}" pid="3" name="MSIP_Label_f959b40d-bd78-422a-b514-2626aa169044_SetDate">
    <vt:lpwstr>2022-07-07T04:33:12Z</vt:lpwstr>
  </property>
  <property fmtid="{D5CDD505-2E9C-101B-9397-08002B2CF9AE}" pid="4" name="MSIP_Label_f959b40d-bd78-422a-b514-2626aa169044_Method">
    <vt:lpwstr>Standard</vt:lpwstr>
  </property>
  <property fmtid="{D5CDD505-2E9C-101B-9397-08002B2CF9AE}" pid="5" name="MSIP_Label_f959b40d-bd78-422a-b514-2626aa169044_Name">
    <vt:lpwstr>Emart 전용</vt:lpwstr>
  </property>
  <property fmtid="{D5CDD505-2E9C-101B-9397-08002B2CF9AE}" pid="6" name="MSIP_Label_f959b40d-bd78-422a-b514-2626aa169044_SiteId">
    <vt:lpwstr>d4ffc887-d88d-41cc-bf6a-6bb47ec0f3ca</vt:lpwstr>
  </property>
  <property fmtid="{D5CDD505-2E9C-101B-9397-08002B2CF9AE}" pid="7" name="MSIP_Label_f959b40d-bd78-422a-b514-2626aa169044_ActionId">
    <vt:lpwstr>b4f64ca9-d7dd-4bdc-8c10-7159bc1d9885</vt:lpwstr>
  </property>
  <property fmtid="{D5CDD505-2E9C-101B-9397-08002B2CF9AE}" pid="8" name="MSIP_Label_f959b40d-bd78-422a-b514-2626aa169044_ContentBits">
    <vt:lpwstr>10</vt:lpwstr>
  </property>
</Properties>
</file>
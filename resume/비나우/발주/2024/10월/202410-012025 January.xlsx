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0월\"/>
    </mc:Choice>
  </mc:AlternateContent>
  <xr:revisionPtr revIDLastSave="0" documentId="13_ncr:1_{2FBAB43E-D9C4-42FC-8746-2392140393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22" i="1" l="1"/>
  <c r="J19" i="1" l="1"/>
  <c r="J23" i="1" l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<sst xmlns="http://schemas.openxmlformats.org/spreadsheetml/2006/main" count="231" uniqueCount="207">
  <si>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</si>
  <si>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</si>
  <si>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</si>
  <si>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</si>
  <si>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</si>
  <si>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</si>
  <si>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</si>
  <si>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</si>
  <si>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</si>
  <si>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</si>
  <si>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</si>
  <si>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</si>
  <si>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</si>
  <si>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</si>
  <si>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</si>
  <si>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</si>
  <si>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</si>
  <si>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</si>
  <si>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</si>
  <si>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</si>
  <si>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</si>
  <si>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</si>
  <si>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</si>
  <si>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</si>
  <si>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</si>
  <si>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</si>
  <si>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</si>
  <si>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</si>
  <si>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</si>
  <si>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</si>
  <si>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</si>
  <si>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</si>
  <si>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</si>
  <si>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</si>
  <si>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</si>
  <si>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</si>
  <si>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</si>
  <si>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</si>
  <si>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</si>
  <si>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</si>
  <si>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</si>
  <si>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</si>
  <si>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</si>
  <si>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</si>
  <si>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</si>
  <si>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</si>
  <si>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</si>
  <si>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</si>
  <si>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</si>
  <si>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</si>
  <si>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</si>
  <si>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</si>
  <si>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</si>
  <si>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</si>
  <si>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</si>
  <si>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</si>
  <si>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</si>
  <si>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</si>
  <si>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</si>
  <si>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</si>
  <si>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</si>
  <si>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</si>
  <si>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</si>
  <si>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</si>
  <si>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</si>
  <si>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</si>
  <si>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</si>
  <si>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</si>
  <si>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</si>
  <si>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</si>
  <si>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</si>
  <si>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</si>
  <si>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</si>
  <si>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</si>
  <si>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</si>
  <si>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</si>
  <si>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</si>
  <si>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</si>
  <si>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</si>
  <si>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</si>
  <si>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</si>
  <si>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</si>
  <si>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</si>
  <si>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</si>
  <si>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</si>
  <si>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</si>
  <si>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</si>
  <si>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</si>
  <si>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</si>
  <si>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</si>
  <si>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</si>
  <si>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</si>
  <si>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</si>
  <si>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</si>
  <si>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</si>
  <si>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</si>
  <si>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</si>
  <si>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</si>
  <si>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</si>
  <si>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</si>
  <si>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</si>
  <si>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</si>
  <si>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</si>
  <si>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</si>
  <si>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</si>
  <si>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</si>
  <si>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</si>
  <si>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</si>
  <si>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</si>
  <si>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</si>
  <si>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</si>
  <si>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</si>
  <si>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</si>
  <si>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</si>
  <si>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</si>
  <si>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</si>
  <si>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</si>
  <si>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</si>
  <si>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</si>
  <si>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</si>
  <si>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</si>
  <si>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</si>
  <si>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</si>
  <si>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</si>
  <si>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</si>
  <si>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</si>
  <si>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</si>
  <si>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</si>
  <si>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</si>
  <si>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</si>
  <si>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</si>
  <si>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</si>
  <si>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</si>
  <si>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</si>
  <si>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</si>
  <si>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</si>
  <si>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</si>
  <si>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</si>
  <si>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</si>
  <si>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</si>
  <si>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</si>
  <si>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</si>
  <si>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</si>
  <si>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</si>
  <si>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</si>
  <si>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</si>
  <si>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</si>
  <si>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</si>
  <si>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</si>
  <si>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</si>
  <si>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</si>
  <si>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</si>
  <si>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</si>
  <si>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</si>
  <si>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</si>
  <si>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</si>
  <si>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</si>
  <si>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</si>
  <si>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</si>
  <si>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</si>
  <si>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</si>
  <si>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</si>
  <si>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</si>
  <si>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</si>
  <si>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</si>
  <si>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</si>
  <si>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</si>
  <si>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</si>
  <si>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</si>
  <si>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</si>
  <si>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</si>
  <si>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</si>
  <si>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</si>
  <si>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</si>
  <si>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</si>
  <si>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</si>
  <si>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</si>
  <si>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</si>
  <si>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</si>
  <si>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</si>
  <si>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</si>
  <si>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</si>
  <si>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</si>
  <si>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</si>
  <si>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</si>
  <si>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</si>
  <si>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</si>
  <si>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</si>
  <si>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</si>
  <si>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</si>
  <si>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</si>
  <si>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</si>
  <si>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</si>
  <si>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</si>
  <si>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</si>
  <si>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</si>
  <si>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</si>
  <si>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</si>
  <si>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</si>
  <si>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</si>
  <si>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</si>
  <si>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</si>
  <si>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</si>
  <si>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</si>
  <si>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</si>
  <si>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January</t>
  </si>
  <si>
    <t>W/H/01/2025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</si>
</sst>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0" fillId="2" borderId="0" xfId="0" applyNumberFormat="1" applyFill="1"/>
    <xf numFmtId="185" fontId="0" fillId="2" borderId="0" xfId="1" applyNumberFormat="1" applyFont="1" applyFill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41" fontId="6" fillId="12" borderId="2" xfId="1" applyFont="1" applyFill="1" applyBorder="1" applyAlignment="1"/>
    <xf numFmtId="41" fontId="13" fillId="12" borderId="2" xfId="1" applyFont="1" applyFill="1" applyBorder="1" applyAlignment="1"/>
    <xf numFmtId="185" fontId="7" fillId="12" borderId="2" xfId="1" applyNumberFormat="1" applyFont="1" applyFill="1" applyBorder="1" applyAlignment="1"/>
    <xf numFmtId="41" fontId="7" fillId="12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24</v>
      </c>
    </row>
    <row r="6" spans="1:3">
      <c r="A6" s="2" t="s">
        <v>203</v>
      </c>
      <c r="B6" s="58">
        <v>1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61">
        <v>676366</v>
      </c>
      <c r="B19" s="61" t="s">
        <v>188</v>
      </c>
      <c r="C19" s="62">
        <v>800</v>
      </c>
      <c r="D19" s="62" t="s">
        <v>169</v>
      </c>
      <c r="E19" s="63" t="str">
        <f>VLOOKUP($D19,'Lookup info'!$D:$H,2,FALSE)</f>
        <v>0023</v>
      </c>
      <c r="F19" s="63" t="str">
        <f>VLOOKUP($D19,'Lookup info'!$D:$H,5,FALSE)</f>
        <v>W</v>
      </c>
      <c r="G19" s="64">
        <v>144</v>
      </c>
      <c r="H19" s="65">
        <v>56</v>
      </c>
      <c r="I19" s="65">
        <f>H19*G19</f>
        <v>8064</v>
      </c>
      <c r="J19" s="66">
        <f t="shared" ref="J19" si="0">IF(G19="","",K19/G19)</f>
        <v>46.5625</v>
      </c>
      <c r="K19" s="67">
        <v>6705</v>
      </c>
      <c r="L19" s="11"/>
      <c r="M19" s="1">
        <f t="shared" ref="M19:M21" si="1">K19*24</f>
        <v>160920</v>
      </c>
      <c r="N19" s="57"/>
      <c r="O19" s="59"/>
    </row>
    <row r="20" spans="1:18">
      <c r="A20" s="61">
        <v>676367</v>
      </c>
      <c r="B20" s="61" t="s">
        <v>189</v>
      </c>
      <c r="C20" s="62">
        <v>800</v>
      </c>
      <c r="D20" s="62" t="s">
        <v>169</v>
      </c>
      <c r="E20" s="63" t="str">
        <f>VLOOKUP($D20,'Lookup info'!$D:$H,2,FALSE)</f>
        <v>0023</v>
      </c>
      <c r="F20" s="63" t="str">
        <f>VLOOKUP($D20,'Lookup info'!$D:$H,5,FALSE)</f>
        <v>W</v>
      </c>
      <c r="G20" s="64">
        <v>144</v>
      </c>
      <c r="H20" s="65">
        <v>10</v>
      </c>
      <c r="I20" s="65">
        <f t="shared" ref="I20:I23" si="2">H20*G20</f>
        <v>1440</v>
      </c>
      <c r="J20" s="66">
        <f t="shared" ref="J20" si="3">IF(G20="","",K20/G20)</f>
        <v>0</v>
      </c>
      <c r="K20" s="67">
        <v>0</v>
      </c>
      <c r="L20" s="13"/>
      <c r="M20" s="1">
        <f t="shared" si="1"/>
        <v>0</v>
      </c>
      <c r="N20" s="57"/>
      <c r="O20" s="59"/>
    </row>
    <row r="21" spans="1:18">
      <c r="A21" s="61">
        <v>676369</v>
      </c>
      <c r="B21" s="61" t="s">
        <v>190</v>
      </c>
      <c r="C21" s="62">
        <v>800</v>
      </c>
      <c r="D21" s="62" t="s">
        <v>169</v>
      </c>
      <c r="E21" s="63" t="str">
        <f>VLOOKUP($D21,'Lookup info'!$D:$H,2,FALSE)</f>
        <v>0023</v>
      </c>
      <c r="F21" s="63" t="str">
        <f>VLOOKUP($D21,'Lookup info'!$D:$H,5,FALSE)</f>
        <v>W</v>
      </c>
      <c r="G21" s="64">
        <v>144</v>
      </c>
      <c r="H21" s="65"/>
      <c r="I21" s="65">
        <f t="shared" si="2"/>
        <v>0</v>
      </c>
      <c r="J21" s="66">
        <f t="shared" ref="J21:J25" si="4">IF(G21="","",K21/G21)</f>
        <v>3</v>
      </c>
      <c r="K21" s="67">
        <v>432</v>
      </c>
      <c r="M21" s="1">
        <f t="shared" si="1"/>
        <v>10368</v>
      </c>
      <c r="N21" s="57"/>
      <c r="O21" s="59"/>
    </row>
    <row r="22" spans="1:18">
      <c r="A22" s="61">
        <v>677211</v>
      </c>
      <c r="B22" s="61" t="s">
        <v>185</v>
      </c>
      <c r="C22" s="62">
        <v>800</v>
      </c>
      <c r="D22" s="62" t="s">
        <v>168</v>
      </c>
      <c r="E22" s="63" t="str">
        <f>VLOOKUP($D22,'Lookup info'!$D:$H,2,FALSE)</f>
        <v>0002</v>
      </c>
      <c r="F22" s="63" t="str">
        <f>VLOOKUP($D22,'Lookup info'!$D:$H,5,FALSE)</f>
        <v>C</v>
      </c>
      <c r="G22" s="64">
        <v>96</v>
      </c>
      <c r="H22" s="65"/>
      <c r="I22" s="65">
        <f t="shared" si="2"/>
        <v>0</v>
      </c>
      <c r="J22" s="66">
        <f t="shared" si="4"/>
        <v>13.166666666666666</v>
      </c>
      <c r="K22" s="67">
        <v>1264</v>
      </c>
      <c r="M22" s="1">
        <f t="shared" ref="M22:M26" si="5">K22*7</f>
        <v>8848</v>
      </c>
      <c r="N22" s="57"/>
      <c r="O22" s="59"/>
    </row>
    <row r="23" spans="1:18">
      <c r="A23" s="61">
        <v>677200</v>
      </c>
      <c r="B23" s="61" t="s">
        <v>186</v>
      </c>
      <c r="C23" s="62">
        <v>800</v>
      </c>
      <c r="D23" s="62" t="s">
        <v>168</v>
      </c>
      <c r="E23" s="63" t="str">
        <f>VLOOKUP($D23,'Lookup info'!$D:$H,2,FALSE)</f>
        <v>0002</v>
      </c>
      <c r="F23" s="63" t="str">
        <f>VLOOKUP($D23,'Lookup info'!$D:$H,5,FALSE)</f>
        <v>C</v>
      </c>
      <c r="G23" s="64">
        <v>96</v>
      </c>
      <c r="H23" s="65"/>
      <c r="I23" s="65">
        <f t="shared" si="2"/>
        <v>0</v>
      </c>
      <c r="J23" s="66">
        <f t="shared" si="4"/>
        <v>12.989583333333334</v>
      </c>
      <c r="K23" s="67">
        <v>1247</v>
      </c>
      <c r="M23" s="1">
        <f t="shared" si="5"/>
        <v>8729</v>
      </c>
      <c r="N23" s="57"/>
      <c r="O23" s="59"/>
    </row>
    <row r="24" spans="1:18">
      <c r="A24" s="61">
        <v>677281</v>
      </c>
      <c r="B24" s="61" t="s">
        <v>187</v>
      </c>
      <c r="C24" s="62">
        <v>800</v>
      </c>
      <c r="D24" s="62" t="s">
        <v>168</v>
      </c>
      <c r="E24" s="63" t="str">
        <f>VLOOKUP($D24,'Lookup info'!$D:$H,2,FALSE)</f>
        <v>0002</v>
      </c>
      <c r="F24" s="63" t="str">
        <f>VLOOKUP($D24,'Lookup info'!$D:$H,5,FALSE)</f>
        <v>C</v>
      </c>
      <c r="G24" s="64">
        <v>96</v>
      </c>
      <c r="H24" s="65"/>
      <c r="I24" s="65">
        <f>H24*G24</f>
        <v>0</v>
      </c>
      <c r="J24" s="66">
        <f t="shared" si="4"/>
        <v>18</v>
      </c>
      <c r="K24" s="67">
        <v>1728</v>
      </c>
      <c r="L24"/>
      <c r="M24" s="1">
        <f t="shared" si="5"/>
        <v>12096</v>
      </c>
      <c r="N24" s="57"/>
      <c r="O24" s="59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>
        <v>0</v>
      </c>
      <c r="L26" s="14"/>
      <c r="M26" s="14">
        <f t="shared" si="5"/>
        <v>0</v>
      </c>
      <c r="O26" s="60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>
        <v>0</v>
      </c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>
        <v>0</v>
      </c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ref="J29:J32" si="11">IF(G29="","",K29/G29)</f>
        <v>0</v>
      </c>
      <c r="K29" s="52">
        <v>0</v>
      </c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>
        <v>0</v>
      </c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>
        <v>0</v>
      </c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8" t="s">
        <v>28</v>
      </c>
      <c r="B3" s="69"/>
      <c r="D3" s="70" t="s">
        <v>152</v>
      </c>
      <c r="E3" s="71"/>
      <c r="F3" s="71"/>
      <c r="G3" s="71"/>
      <c r="H3" s="72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2024-11-04T07:38:15Z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
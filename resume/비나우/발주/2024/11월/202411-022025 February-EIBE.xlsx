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Z:\Nutricia\99. Sales\박효진\발주\11월\"/>
    </mc:Choice>
  </mc:AlternateContent>
  <xr:revisionPtr revIDLastSave="0" documentId="13_ncr:1_{EF898E7F-986F-45BC-BE3A-FED2302F6227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Order" sheetId="1" r:id="rId1"/>
    <sheet name="Lookup info" sheetId="3" r:id="rId2"/>
  </sheets>
  <definedNames>
    <definedName name="_xlnm._FilterDatabase" localSheetId="0" hidden="1">Order!$A$18:$M$31</definedName>
    <definedName name="ExactAddinConnection" hidden="1">"001"</definedName>
    <definedName name="ExactAddinConnection.001" hidden="1">"WFRPARNLB062.nead.danet\\EXACTPROD;001;BARBOSFA;1"</definedName>
    <definedName name="ExactAddinReport1.Area" localSheetId="1" hidden="1">'Lookup info'!$A$4</definedName>
    <definedName name="ExactAddinReport1.Data" localSheetId="1" hidden="1">"Table=ordsel;Column1.Name=selcode;Column1.Sort=1;Column1.Filter=0;Column1.Value=;Column2.Name=oms30_0;Column2.Sort=0;Column2.Filter=0;Column2.Value=;System.Company=001;System.New=0;System.Wizard=Table;System.Update=-1"</definedName>
    <definedName name="ExactAddinReport2.Area" localSheetId="1" hidden="1">'Lookup info'!$E$4</definedName>
    <definedName name="ExactAddinReport2.Data" localSheetId="1" hidden="1">"Table=magaz;Column1.Name=magcode;Column1.Sort=1;Column1.Filter=0;Column1.Value=;Column2.Name=naam;Column2.Sort=0;Column2.Filter=0;Column2.Value=;Column3.Name=adr_AddressLine2;Column3.Sort=0;Column3.Filter=2;Column3.Value=23-4-2020;Column4.Name=adr_Add"</definedName>
    <definedName name="ExactAddinReport2.Data.2" localSheetId="1" hidden="1">"ressLine3;Column4.Sort=0;Column4.Filter=0;Column4.Value=;System.Company=001;System.New=0;System.Wizard=Table;System.Update=-1"</definedName>
    <definedName name="ExactAddinReport3.Area" localSheetId="1" hidden="1">'Lookup info'!#REF!</definedName>
    <definedName name="ExactAddinReport3.Data" localSheetId="1" hidden="1">"Table=magaz;Column1.Name=magcode;Column1.Sort=1;Column1.Filter=0;Column1.Value=;Column2.Name=naam;Column2.Sort=0;Column2.Filter=0;Column2.Value=;Column3.Name=adr_City;Column3.Sort=0;Column3.Filter=0;Column3.Value=;System.Company=001;System.New=0;Syste"</definedName>
    <definedName name="ExactAddinReport3.Data.2" localSheetId="1" hidden="1">"m.Wizard=Table;System.Update=-1"</definedName>
    <definedName name="ExactAddinReport4.Area" localSheetId="1" hidden="1">'Lookup info'!#REF!</definedName>
    <definedName name="ExactAddinReport4.Data" localSheetId="1" hidden="1">"Table=magaz;Column1.Name=magcode;Column1.Sort=0;Column1.Filter=0;Column1.Value=;Column2.Name=naam;Column2.Sort=0;Column2.Filter=0;Column2.Value=;Column3.Name=adr_AddressLine2;Column3.Sort=1;Column3.Filter=2;Column3.Value=;Column4.Name=adr_AddressLine3"</definedName>
    <definedName name="ExactAddinReport4.Data.2" localSheetId="1" hidden="1">";Column4.Sort=0;Column4.Filter=0;Column4.Value=;System.Company=001;System.New=0;System.Wizard=Table;System.Update=-1"</definedName>
    <definedName name="ExactAddinReports" hidden="1">4</definedName>
    <definedName name="_xlnm.Print_Area" localSheetId="0">Order!$A$1:$K$35</definedName>
    <definedName name="Report1.Header">'Lookup info'!$A$4:$B$4</definedName>
    <definedName name="Report1.Range">'Lookup info'!$A$5:$B$45</definedName>
    <definedName name="Report2.Header">'Lookup info'!$E$4:$H$4</definedName>
    <definedName name="Report2.Range">'Lookup info'!$E$5:$H$20</definedName>
    <definedName name="Report3.Header">'Lookup info'!#REF!</definedName>
    <definedName name="Report3.Range">'Lookup info'!#REF!</definedName>
    <definedName name="Report4.Header">'Lookup info'!#REF!</definedName>
    <definedName name="Report4.Range">'Lookup info'!#REF!</definedName>
  </definedNames>
  <calcPr calcId="181029"/>
</workbook>
</file>

<file path=xl/calcChain.xml><?xml version="1.0" encoding="utf-8"?>
<calcChain xmlns="http://schemas.openxmlformats.org/spreadsheetml/2006/main">
  <c r="M19" i="1" l="1"/>
  <c r="K21" i="1"/>
  <c r="M21" i="1" s="1"/>
  <c r="J19" i="1" l="1"/>
  <c r="J22" i="1" l="1"/>
  <c r="J23" i="1"/>
  <c r="J25" i="1"/>
  <c r="J24" i="1"/>
  <c r="J21" i="1"/>
  <c r="J26" i="1"/>
  <c r="J20" i="1"/>
  <c r="J28" i="1"/>
  <c r="J27" i="1"/>
  <c r="I32" i="1" l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J32" i="1"/>
  <c r="J31" i="1"/>
  <c r="J30" i="1"/>
  <c r="J29" i="1"/>
  <c r="M25" i="1"/>
  <c r="M32" i="1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5" i="3"/>
  <c r="E24" i="1" s="1"/>
  <c r="M24" i="1"/>
  <c r="M26" i="1"/>
  <c r="M28" i="1"/>
  <c r="M29" i="1"/>
  <c r="M30" i="1"/>
  <c r="E28" i="1" l="1"/>
  <c r="E32" i="1"/>
  <c r="F28" i="1"/>
  <c r="F32" i="1"/>
  <c r="F29" i="1"/>
  <c r="E25" i="1"/>
  <c r="E29" i="1"/>
  <c r="E19" i="1"/>
  <c r="E26" i="1"/>
  <c r="E30" i="1"/>
  <c r="F25" i="1"/>
  <c r="E21" i="1"/>
  <c r="F26" i="1"/>
  <c r="F30" i="1"/>
  <c r="E20" i="1"/>
  <c r="E27" i="1"/>
  <c r="E31" i="1"/>
  <c r="F19" i="1"/>
  <c r="F27" i="1"/>
  <c r="F31" i="1"/>
  <c r="M23" i="1"/>
  <c r="M31" i="1"/>
  <c r="M27" i="1"/>
  <c r="M20" i="1"/>
  <c r="M22" i="1"/>
  <c r="F21" i="1"/>
  <c r="F20" i="1"/>
  <c r="F24" i="1"/>
  <c r="F23" i="1"/>
  <c r="E23" i="1"/>
  <c r="F22" i="1"/>
  <c r="E22" i="1"/>
</calcChain>
</file>

<file path=xl/sharedStrings.xml><?xml version="1.0" encoding="utf-8"?>
<sst xmlns="http://schemas.openxmlformats.org/spreadsheetml/2006/main" count="233" uniqueCount="209">
  <si>
    <t>Debtor number</t>
  </si>
  <si>
    <t xml:space="preserve">Order Proposal </t>
  </si>
  <si>
    <t>Order / PF number</t>
  </si>
  <si>
    <t>Loading</t>
  </si>
  <si>
    <t>Size / Type</t>
  </si>
  <si>
    <t>Transport</t>
  </si>
  <si>
    <t>PRODUCT DESCRIPTION</t>
  </si>
  <si>
    <t>CORPORATE CODE</t>
  </si>
  <si>
    <t>SUGGESTED ORDER QUANTITY IN PALLETS</t>
  </si>
  <si>
    <t>CONFIRMED ORDER QUANTITY IN PALLETS</t>
  </si>
  <si>
    <t>CONFIRMED ORDER QUANTITY IN TU</t>
  </si>
  <si>
    <t xml:space="preserve">Combined with </t>
  </si>
  <si>
    <t>Palletized</t>
  </si>
  <si>
    <t>Comments:</t>
  </si>
  <si>
    <t>Cus</t>
  </si>
  <si>
    <t>Planned utilization</t>
  </si>
  <si>
    <t>Pre-payment customer</t>
  </si>
  <si>
    <t>No</t>
  </si>
  <si>
    <t>Sea</t>
  </si>
  <si>
    <t>TOTAL CONFIRMED TU:</t>
  </si>
  <si>
    <t>TOTAL CONFIRMED PALLETS:</t>
  </si>
  <si>
    <t>Target utilization</t>
  </si>
  <si>
    <t>Grams</t>
  </si>
  <si>
    <t>Supply Point</t>
  </si>
  <si>
    <t xml:space="preserve">40FT </t>
  </si>
  <si>
    <t>no</t>
  </si>
  <si>
    <t>Otmuchow</t>
  </si>
  <si>
    <t>SUGGESTED ORDER QUANTITY IN TU</t>
    <phoneticPr fontId="12" type="noConversion"/>
  </si>
  <si>
    <t>Initials</t>
  </si>
  <si>
    <t>AP</t>
  </si>
  <si>
    <t>PO/SO fulfillment date</t>
  </si>
  <si>
    <t>WAREHOUSE CODE</t>
  </si>
  <si>
    <t>0002</t>
  </si>
  <si>
    <t>0944</t>
  </si>
  <si>
    <t>Selection code</t>
  </si>
  <si>
    <t>Description (1)</t>
  </si>
  <si>
    <t>AA</t>
  </si>
  <si>
    <t>AG</t>
  </si>
  <si>
    <t>BA</t>
  </si>
  <si>
    <t>BC</t>
  </si>
  <si>
    <t>BK</t>
  </si>
  <si>
    <t>CA</t>
  </si>
  <si>
    <t>CN</t>
  </si>
  <si>
    <t>DN</t>
  </si>
  <si>
    <t>EN</t>
  </si>
  <si>
    <t>EP</t>
  </si>
  <si>
    <t>FG</t>
  </si>
  <si>
    <t>GS</t>
  </si>
  <si>
    <t>IK</t>
  </si>
  <si>
    <t>IO</t>
  </si>
  <si>
    <t>IS</t>
  </si>
  <si>
    <t>JC</t>
  </si>
  <si>
    <t>JE</t>
  </si>
  <si>
    <t>JK</t>
  </si>
  <si>
    <t>JN</t>
  </si>
  <si>
    <t>KP</t>
  </si>
  <si>
    <t>KS</t>
  </si>
  <si>
    <t>LB</t>
  </si>
  <si>
    <t>MB</t>
  </si>
  <si>
    <t>ME</t>
  </si>
  <si>
    <t>MJ</t>
  </si>
  <si>
    <t>MM</t>
  </si>
  <si>
    <t>MZ</t>
  </si>
  <si>
    <t>NA</t>
  </si>
  <si>
    <t>NS</t>
  </si>
  <si>
    <t>NU</t>
  </si>
  <si>
    <t>NV</t>
  </si>
  <si>
    <t>PK</t>
  </si>
  <si>
    <t>RP</t>
  </si>
  <si>
    <t>TB</t>
  </si>
  <si>
    <t>TK</t>
  </si>
  <si>
    <t>VG</t>
  </si>
  <si>
    <t>VS</t>
  </si>
  <si>
    <t>XX</t>
  </si>
  <si>
    <t>YC</t>
  </si>
  <si>
    <t>ANNA ALEKSANDROVA</t>
  </si>
  <si>
    <t>AGUSTINA GABIOUD</t>
  </si>
  <si>
    <t>ANTON PRYKHODKO</t>
  </si>
  <si>
    <t>BALKAN COUNTRIES</t>
  </si>
  <si>
    <t>BARBARA CANGA RICARTE</t>
  </si>
  <si>
    <t>BOTAKUZI AKEERBIEKE</t>
  </si>
  <si>
    <t>CAROLINA ROTGERS</t>
  </si>
  <si>
    <t>CAROLINE NAUTA</t>
  </si>
  <si>
    <t>DINA NURMAGAMBETOVA</t>
  </si>
  <si>
    <t>ELINA NIKOLOVA</t>
  </si>
  <si>
    <t>EVELIEN PARDOEN</t>
  </si>
  <si>
    <t>FRANCISO GIL LOPEZ</t>
  </si>
  <si>
    <t>GHISLAINE SMITS</t>
  </si>
  <si>
    <t>INNA KOCHUMA</t>
  </si>
  <si>
    <t>ITSASO ORTIGOSA ARRAIAGO</t>
  </si>
  <si>
    <t>IRINA STRIZHEVSKA</t>
  </si>
  <si>
    <t>JULIJA CARJOVA</t>
  </si>
  <si>
    <t>JANAIKA ELDERS</t>
  </si>
  <si>
    <t>JANA KAUMANN</t>
  </si>
  <si>
    <t>JACK NIAMA</t>
  </si>
  <si>
    <t>KATERINA PALMOU</t>
  </si>
  <si>
    <t>KSENIA SANINOVA</t>
  </si>
  <si>
    <t>LUBA BISCHOT</t>
  </si>
  <si>
    <t>MARCELLA BUERGER</t>
  </si>
  <si>
    <t>MIRJAM EKDOM</t>
  </si>
  <si>
    <t>MIRIAM JIMENEZ RUBIA</t>
  </si>
  <si>
    <t>MAXIM MURASHKOV</t>
  </si>
  <si>
    <t>MALIN ZIZALA</t>
  </si>
  <si>
    <t>NORTH AFRICA COUNTRIES</t>
  </si>
  <si>
    <t>NATALIIA SLEZNEVA</t>
  </si>
  <si>
    <t>Not used</t>
  </si>
  <si>
    <t>NATALLIA VISHNYAKOVA</t>
  </si>
  <si>
    <t>PETRA KORTEKAAS</t>
  </si>
  <si>
    <t>RHINTANY PUTRI</t>
  </si>
  <si>
    <t>TAL VAN DE BERG</t>
  </si>
  <si>
    <t>TATIANA KARAZHAKOVA</t>
  </si>
  <si>
    <t>VALENTINA GURINOVICH</t>
  </si>
  <si>
    <t>VIVIANE STORM</t>
  </si>
  <si>
    <t>NOT USED</t>
  </si>
  <si>
    <t>YARELI CONTRERAS</t>
  </si>
  <si>
    <t>BM</t>
  </si>
  <si>
    <t>Bob Minion</t>
  </si>
  <si>
    <t>Warehouse code</t>
  </si>
  <si>
    <t>Name</t>
  </si>
  <si>
    <t>0001</t>
  </si>
  <si>
    <t>0023</t>
  </si>
  <si>
    <t>0057</t>
  </si>
  <si>
    <t>0074</t>
  </si>
  <si>
    <t>0089</t>
  </si>
  <si>
    <t>0091</t>
  </si>
  <si>
    <t>0120</t>
  </si>
  <si>
    <t>0146</t>
  </si>
  <si>
    <t>0190</t>
  </si>
  <si>
    <t>0510</t>
  </si>
  <si>
    <t>0518</t>
  </si>
  <si>
    <t>0904</t>
  </si>
  <si>
    <t>0991</t>
  </si>
  <si>
    <t>0994</t>
  </si>
  <si>
    <t>NV NUTRICIA</t>
  </si>
  <si>
    <t>NUTRICIA CUIJK B.V.</t>
  </si>
  <si>
    <t>NUTRICIA INFANT NUTRITION LTD</t>
  </si>
  <si>
    <t>P.T. NUTRICIA INDONESIA</t>
  </si>
  <si>
    <t>NUTRICIA POLSKA</t>
  </si>
  <si>
    <t>NUTRICIA LLC</t>
  </si>
  <si>
    <t>SHS INTERNATIONAL LTD</t>
  </si>
  <si>
    <t>MILUPA GMBH &amp; CO</t>
  </si>
  <si>
    <t>KASDORF S.A.</t>
  </si>
  <si>
    <t>Nutricia Pharmaceutical (Wuxi)</t>
  </si>
  <si>
    <t>BLEDINA - STEENVOORDE</t>
  </si>
  <si>
    <t>BLEDINA - VILLEFRANCHE</t>
  </si>
  <si>
    <t>KRUEGER</t>
  </si>
  <si>
    <t>GRUPA OTMUCHOW</t>
  </si>
  <si>
    <t>THIRD PARTY SUPPLIERS</t>
  </si>
  <si>
    <t>WUXI</t>
  </si>
  <si>
    <t>Supply Point disc. Letter</t>
  </si>
  <si>
    <t>C</t>
  </si>
  <si>
    <t>O</t>
  </si>
  <si>
    <t>Warehouse information</t>
  </si>
  <si>
    <t>Istra</t>
  </si>
  <si>
    <t>Z</t>
  </si>
  <si>
    <t>W</t>
  </si>
  <si>
    <t>P</t>
  </si>
  <si>
    <t>I</t>
  </si>
  <si>
    <t>L</t>
  </si>
  <si>
    <t>F</t>
  </si>
  <si>
    <t>K</t>
  </si>
  <si>
    <t>WX</t>
  </si>
  <si>
    <t>S</t>
  </si>
  <si>
    <t>V</t>
  </si>
  <si>
    <t>KR</t>
  </si>
  <si>
    <t>OT</t>
  </si>
  <si>
    <t>3P</t>
  </si>
  <si>
    <t>Zoetermeer</t>
  </si>
  <si>
    <t>Haps</t>
  </si>
  <si>
    <t>Wexford</t>
  </si>
  <si>
    <t>PTNIS</t>
  </si>
  <si>
    <t>Opole</t>
  </si>
  <si>
    <t>Liverpool</t>
  </si>
  <si>
    <t>Fulda</t>
  </si>
  <si>
    <t>Kasdorf</t>
  </si>
  <si>
    <t>Wuxi</t>
  </si>
  <si>
    <t>Steenvoorde</t>
  </si>
  <si>
    <t>Villefranche</t>
  </si>
  <si>
    <t>Krueger</t>
  </si>
  <si>
    <t>Medical Logistics (3PS)</t>
  </si>
  <si>
    <t>Address line 2</t>
  </si>
  <si>
    <t>Address line 3</t>
  </si>
  <si>
    <t>Wuxi (Nutricia Pharmaceutical)</t>
  </si>
  <si>
    <t>Planner name</t>
  </si>
  <si>
    <t>Note, these schedules are downloads from exact, don't change them manually</t>
  </si>
  <si>
    <t>APTAMIL PROFUTURA 1  4X800G KOR</t>
  </si>
  <si>
    <t>APTAMIL PROFUTURA 2  4X800G KOR</t>
  </si>
  <si>
    <t>APTAMIL PROFUTURA 3  4X800G KOR</t>
  </si>
  <si>
    <t>APTAMIL 1 KOR 4X800G</t>
  </si>
  <si>
    <t>APTAMIL 2 KOR  4X800G</t>
  </si>
  <si>
    <t>APTAMIL 3 KOR 4X800G</t>
  </si>
  <si>
    <t>Tu's per pallet</t>
    <phoneticPr fontId="12" type="noConversion"/>
  </si>
  <si>
    <t>FS</t>
  </si>
  <si>
    <t>FABIANA DE SANCTIS</t>
  </si>
  <si>
    <t xml:space="preserve">EIBE - South Korea </t>
  </si>
  <si>
    <t>676366D</t>
  </si>
  <si>
    <t>676367D</t>
  </si>
  <si>
    <t>676369D</t>
  </si>
  <si>
    <t>677211D</t>
  </si>
  <si>
    <t>677200D</t>
  </si>
  <si>
    <t>677281D</t>
  </si>
  <si>
    <t>658159D</t>
  </si>
  <si>
    <t>APTAMIL 3, KOR 6X800G</t>
  </si>
  <si>
    <t>PO/SO fulfillment Month</t>
  </si>
  <si>
    <t>PO/SO fulfillment Year</t>
  </si>
  <si>
    <t>21</t>
  </si>
  <si>
    <t>February</t>
  </si>
  <si>
    <t>W/H/02/2025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</si>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</sst>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3">
    <numFmt numFmtId="41" formatCode="_-* #,##0_-;\-* #,##0_-;_-* &quot;-&quot;_-;_-@_-"/>
    <numFmt numFmtId="43" formatCode="_-* #,##0.00_-;\-* #,##0.00_-;_-* &quot;-&quot;??_-;_-@_-"/>
    <numFmt numFmtId="176" formatCode="_(&quot;$&quot;* #,##0.00_);_(&quot;$&quot;* \(#,##0.00\);_(&quot;$&quot;* &quot;-&quot;??_);_(@_)"/>
    <numFmt numFmtId="177" formatCode="_ &quot;€&quot;\ * #,##0.00_ ;_ &quot;€&quot;\ * \-#,##0.00_ ;_ &quot;€&quot;\ * &quot;-&quot;??_ ;_ @_ "/>
    <numFmt numFmtId="178" formatCode="_ * #,##0.00_ ;_ * \-#,##0.00_ ;_ * &quot;-&quot;??_ ;_ @_ "/>
    <numFmt numFmtId="179" formatCode="_-* #,##0.00_-;_-* #,##0.00\-;_-* &quot;-&quot;??_-;_-@_-"/>
    <numFmt numFmtId="180" formatCode="_(* #,##0.00_);_(* \(\ #,##0.00\ \);_(* &quot;-&quot;??_);_(\ @_ \)"/>
    <numFmt numFmtId="181" formatCode="_ * #,##0.00_)\ [$€-1]_ ;_ * \(#,##0.00\)\ [$€-1]_ ;_ * &quot;-&quot;??_)\ [$€-1]_ "/>
    <numFmt numFmtId="182" formatCode="_ [$€-2]\ * #,##0.00_ ;_ [$€-2]\ * \-#,##0.00_ ;_ [$€-2]\ * &quot;-&quot;??_ "/>
    <numFmt numFmtId="183" formatCode="_-* #,##0.00\ [$€]_-;\-* #,##0.00\ [$€]_-;_-* &quot;-&quot;??\ [$€]_-;_-@_-"/>
    <numFmt numFmtId="184" formatCode="###,000"/>
    <numFmt numFmtId="185" formatCode="_-* #,##0.0_-;\-* #,##0.0_-;_-* &quot;-&quot;_-;_-@_-"/>
    <numFmt numFmtId="186" formatCode="_-* #,##0.000_-;\-* #,##0.000_-;_-* &quot;-&quot;_-;_-@_-"/>
  </numFmts>
  <fonts count="25">
    <font>
      <sz val="11"/>
      <color theme="1"/>
      <name val="맑은 고딕"/>
      <family val="2"/>
      <scheme val="minor"/>
    </font>
    <font>
      <sz val="10"/>
      <color theme="1"/>
      <name val="맑은 고딕"/>
      <family val="2"/>
      <scheme val="minor"/>
    </font>
    <font>
      <b/>
      <sz val="10"/>
      <color theme="1"/>
      <name val="맑은 고딕"/>
      <family val="2"/>
      <scheme val="minor"/>
    </font>
    <font>
      <b/>
      <sz val="9"/>
      <color theme="0"/>
      <name val="맑은 고딕"/>
      <family val="2"/>
      <scheme val="minor"/>
    </font>
    <font>
      <sz val="8"/>
      <color rgb="FFFF0000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0"/>
      <name val="맑은 고딕"/>
      <family val="2"/>
      <scheme val="minor"/>
    </font>
    <font>
      <b/>
      <sz val="10"/>
      <name val="맑은 고딕"/>
      <family val="2"/>
      <scheme val="minor"/>
    </font>
    <font>
      <sz val="11"/>
      <name val="맑은 고딕"/>
      <family val="2"/>
      <scheme val="minor"/>
    </font>
    <font>
      <b/>
      <sz val="12"/>
      <name val="맑은 고딕"/>
      <family val="2"/>
      <scheme val="minor"/>
    </font>
    <font>
      <sz val="10"/>
      <color indexed="8"/>
      <name val="Calibri"/>
      <family val="2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9"/>
      <name val="맑은 고딕"/>
      <family val="2"/>
      <scheme val="minor"/>
    </font>
    <font>
      <b/>
      <sz val="11"/>
      <color rgb="FFFF0000"/>
      <name val="맑은 고딕"/>
      <family val="2"/>
      <scheme val="minor"/>
    </font>
    <font>
      <sz val="10"/>
      <name val="Arial"/>
      <family val="2"/>
    </font>
    <font>
      <sz val="10"/>
      <name val="Tahoma"/>
      <family val="2"/>
    </font>
    <font>
      <sz val="11"/>
      <color indexed="8"/>
      <name val="Calibri"/>
      <family val="2"/>
    </font>
    <font>
      <sz val="11"/>
      <color rgb="FF9C6500"/>
      <name val="맑은 고딕"/>
      <family val="2"/>
      <scheme val="minor"/>
    </font>
    <font>
      <sz val="10"/>
      <name val="Tahoma"/>
      <family val="2"/>
      <charset val="238"/>
    </font>
    <font>
      <sz val="10"/>
      <name val="Arial Cyr"/>
      <charset val="204"/>
    </font>
    <font>
      <sz val="10"/>
      <name val="Helv"/>
      <charset val="204"/>
    </font>
    <font>
      <sz val="10"/>
      <color theme="1"/>
      <name val="Arial"/>
      <family val="2"/>
    </font>
    <font>
      <sz val="8"/>
      <color rgb="FF1F497D"/>
      <name val="Verdana"/>
      <family val="2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8B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EB9C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</borders>
  <cellStyleXfs count="58">
    <xf numFmtId="0" fontId="0" fillId="0" borderId="0"/>
    <xf numFmtId="41" fontId="11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7" fillId="0" borderId="0"/>
    <xf numFmtId="9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9" fillId="11" borderId="0" applyNumberFormat="0" applyBorder="0" applyAlignment="0" applyProtection="0"/>
    <xf numFmtId="0" fontId="20" fillId="0" borderId="0"/>
    <xf numFmtId="177" fontId="11" fillId="0" borderId="0" applyFont="0" applyFill="0" applyBorder="0" applyAlignment="0" applyProtection="0"/>
    <xf numFmtId="179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81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21" fillId="0" borderId="0"/>
    <xf numFmtId="0" fontId="17" fillId="0" borderId="0"/>
    <xf numFmtId="0" fontId="16" fillId="0" borderId="0"/>
    <xf numFmtId="0" fontId="22" fillId="0" borderId="0"/>
    <xf numFmtId="0" fontId="16" fillId="0" borderId="0"/>
    <xf numFmtId="0" fontId="23" fillId="0" borderId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0" fontId="11" fillId="0" borderId="0"/>
    <xf numFmtId="182" fontId="16" fillId="0" borderId="0" applyFont="0" applyFill="0" applyBorder="0" applyAlignment="0" applyProtection="0"/>
    <xf numFmtId="183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1" fillId="0" borderId="0"/>
    <xf numFmtId="9" fontId="18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23" fillId="0" borderId="0"/>
    <xf numFmtId="41" fontId="11" fillId="0" borderId="0" applyFont="0" applyFill="0" applyBorder="0" applyAlignment="0" applyProtection="0">
      <alignment vertical="center"/>
    </xf>
    <xf numFmtId="0" fontId="16" fillId="0" borderId="0"/>
    <xf numFmtId="184" fontId="24" fillId="0" borderId="17" applyNumberFormat="0" applyProtection="0">
      <alignment horizontal="right" vertical="center"/>
    </xf>
    <xf numFmtId="179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</cellStyleXfs>
  <cellXfs count="68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0" xfId="0" applyFont="1" applyFill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2" fillId="2" borderId="0" xfId="0" applyFont="1" applyFill="1"/>
    <xf numFmtId="0" fontId="4" fillId="2" borderId="0" xfId="0" applyFont="1" applyFill="1"/>
    <xf numFmtId="0" fontId="0" fillId="2" borderId="1" xfId="0" applyFill="1" applyBorder="1"/>
    <xf numFmtId="0" fontId="5" fillId="2" borderId="0" xfId="0" applyFont="1" applyFill="1"/>
    <xf numFmtId="0" fontId="5" fillId="2" borderId="0" xfId="0" applyFont="1" applyFill="1" applyAlignment="1">
      <alignment vertical="center"/>
    </xf>
    <xf numFmtId="0" fontId="5" fillId="0" borderId="0" xfId="0" applyFont="1"/>
    <xf numFmtId="0" fontId="8" fillId="2" borderId="0" xfId="0" applyFont="1" applyFill="1"/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6" fillId="0" borderId="1" xfId="0" applyFont="1" applyBorder="1" applyAlignment="1">
      <alignment horizontal="left"/>
    </xf>
    <xf numFmtId="0" fontId="1" fillId="2" borderId="0" xfId="0" applyFont="1" applyFill="1" applyAlignment="1">
      <alignment horizontal="left"/>
    </xf>
    <xf numFmtId="49" fontId="1" fillId="0" borderId="1" xfId="0" applyNumberFormat="1" applyFont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8" fillId="0" borderId="0" xfId="0" applyFont="1"/>
    <xf numFmtId="0" fontId="0" fillId="0" borderId="0" xfId="0" applyAlignment="1">
      <alignment horizontal="left"/>
    </xf>
    <xf numFmtId="9" fontId="0" fillId="2" borderId="1" xfId="0" applyNumberFormat="1" applyFill="1" applyBorder="1" applyAlignment="1">
      <alignment horizontal="left"/>
    </xf>
    <xf numFmtId="9" fontId="0" fillId="0" borderId="1" xfId="0" applyNumberFormat="1" applyBorder="1" applyAlignment="1">
      <alignment horizontal="left"/>
    </xf>
    <xf numFmtId="41" fontId="6" fillId="0" borderId="2" xfId="1" applyFont="1" applyFill="1" applyBorder="1" applyAlignment="1"/>
    <xf numFmtId="41" fontId="13" fillId="0" borderId="2" xfId="1" applyFont="1" applyFill="1" applyBorder="1" applyAlignment="1"/>
    <xf numFmtId="41" fontId="1" fillId="2" borderId="0" xfId="0" applyNumberFormat="1" applyFont="1" applyFill="1"/>
    <xf numFmtId="0" fontId="9" fillId="4" borderId="6" xfId="0" applyFont="1" applyFill="1" applyBorder="1"/>
    <xf numFmtId="0" fontId="1" fillId="0" borderId="2" xfId="0" quotePrefix="1" applyFont="1" applyBorder="1"/>
    <xf numFmtId="0" fontId="14" fillId="5" borderId="4" xfId="0" applyFont="1" applyFill="1" applyBorder="1" applyAlignment="1">
      <alignment horizontal="center" vertical="center" wrapText="1"/>
    </xf>
    <xf numFmtId="0" fontId="10" fillId="2" borderId="1" xfId="0" quotePrefix="1" applyFont="1" applyFill="1" applyBorder="1" applyAlignment="1">
      <alignment horizontal="center"/>
    </xf>
    <xf numFmtId="49" fontId="0" fillId="2" borderId="7" xfId="0" applyNumberFormat="1" applyFill="1" applyBorder="1"/>
    <xf numFmtId="49" fontId="0" fillId="2" borderId="8" xfId="0" applyNumberFormat="1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5" borderId="1" xfId="0" applyFill="1" applyBorder="1"/>
    <xf numFmtId="49" fontId="0" fillId="2" borderId="0" xfId="0" applyNumberFormat="1" applyFill="1"/>
    <xf numFmtId="0" fontId="0" fillId="2" borderId="13" xfId="0" applyFill="1" applyBorder="1"/>
    <xf numFmtId="0" fontId="5" fillId="8" borderId="11" xfId="0" applyFont="1" applyFill="1" applyBorder="1"/>
    <xf numFmtId="0" fontId="5" fillId="8" borderId="12" xfId="0" applyFont="1" applyFill="1" applyBorder="1"/>
    <xf numFmtId="0" fontId="14" fillId="9" borderId="4" xfId="0" applyFont="1" applyFill="1" applyBorder="1" applyAlignment="1">
      <alignment horizontal="center" vertical="center" wrapText="1"/>
    </xf>
    <xf numFmtId="49" fontId="0" fillId="2" borderId="15" xfId="0" applyNumberFormat="1" applyFill="1" applyBorder="1"/>
    <xf numFmtId="49" fontId="0" fillId="2" borderId="16" xfId="0" applyNumberFormat="1" applyFill="1" applyBorder="1"/>
    <xf numFmtId="0" fontId="0" fillId="2" borderId="14" xfId="0" applyFill="1" applyBorder="1"/>
    <xf numFmtId="0" fontId="5" fillId="7" borderId="7" xfId="0" applyFont="1" applyFill="1" applyBorder="1"/>
    <xf numFmtId="0" fontId="5" fillId="7" borderId="0" xfId="0" applyFont="1" applyFill="1"/>
    <xf numFmtId="0" fontId="5" fillId="7" borderId="8" xfId="0" applyFont="1" applyFill="1" applyBorder="1"/>
    <xf numFmtId="0" fontId="15" fillId="2" borderId="0" xfId="0" applyFont="1" applyFill="1"/>
    <xf numFmtId="41" fontId="7" fillId="5" borderId="2" xfId="1" applyFont="1" applyFill="1" applyBorder="1" applyAlignment="1"/>
    <xf numFmtId="41" fontId="0" fillId="0" borderId="0" xfId="0" applyNumberFormat="1"/>
    <xf numFmtId="41" fontId="0" fillId="0" borderId="0" xfId="1" applyFont="1" applyFill="1" applyAlignment="1"/>
    <xf numFmtId="41" fontId="6" fillId="2" borderId="0" xfId="0" applyNumberFormat="1" applyFont="1" applyFill="1"/>
    <xf numFmtId="43" fontId="0" fillId="2" borderId="0" xfId="0" applyNumberFormat="1" applyFill="1"/>
    <xf numFmtId="41" fontId="0" fillId="2" borderId="0" xfId="1" applyFont="1" applyFill="1" applyAlignment="1"/>
    <xf numFmtId="49" fontId="1" fillId="2" borderId="1" xfId="0" applyNumberFormat="1" applyFont="1" applyFill="1" applyBorder="1" applyAlignment="1">
      <alignment horizontal="left"/>
    </xf>
    <xf numFmtId="185" fontId="7" fillId="5" borderId="2" xfId="1" applyNumberFormat="1" applyFont="1" applyFill="1" applyBorder="1" applyAlignment="1"/>
    <xf numFmtId="41" fontId="0" fillId="2" borderId="0" xfId="0" applyNumberFormat="1" applyFill="1"/>
    <xf numFmtId="185" fontId="0" fillId="2" borderId="0" xfId="1" applyNumberFormat="1" applyFont="1" applyFill="1" applyAlignment="1"/>
    <xf numFmtId="186" fontId="7" fillId="5" borderId="2" xfId="1" applyNumberFormat="1" applyFont="1" applyFill="1" applyBorder="1" applyAlignment="1"/>
    <xf numFmtId="0" fontId="5" fillId="6" borderId="11" xfId="0" applyFont="1" applyFill="1" applyBorder="1" applyAlignment="1">
      <alignment horizontal="center"/>
    </xf>
    <xf numFmtId="0" fontId="5" fillId="6" borderId="12" xfId="0" applyFont="1" applyFill="1" applyBorder="1" applyAlignment="1">
      <alignment horizontal="center"/>
    </xf>
    <xf numFmtId="0" fontId="5" fillId="10" borderId="14" xfId="0" applyFont="1" applyFill="1" applyBorder="1" applyAlignment="1">
      <alignment horizontal="center"/>
    </xf>
    <xf numFmtId="0" fontId="5" fillId="10" borderId="15" xfId="0" applyFont="1" applyFill="1" applyBorder="1" applyAlignment="1">
      <alignment horizontal="center"/>
    </xf>
    <xf numFmtId="0" fontId="5" fillId="10" borderId="16" xfId="0" applyFont="1" applyFill="1" applyBorder="1" applyAlignment="1">
      <alignment horizontal="center"/>
    </xf>
  </cellXfs>
  <cellStyles count="58">
    <cellStyle name="Comma [0] 2" xfId="50" xr:uid="{0F06714B-857B-4D20-9FB4-35FC1437C6F1}"/>
    <cellStyle name="Comma 2" xfId="3" xr:uid="{E15A8ED3-31AD-4DB4-968B-6F877BED4EA9}"/>
    <cellStyle name="Comma 2 2" xfId="5" xr:uid="{B5A72B4C-F944-458F-8EA7-FBBC2D4EBC0E}"/>
    <cellStyle name="Comma 2 3" xfId="15" xr:uid="{63F02BF8-9FBE-4703-89E0-33C3CC23D25E}"/>
    <cellStyle name="Comma 2 3 2" xfId="31" xr:uid="{B633DAB1-18F9-40FC-B170-396B0814E238}"/>
    <cellStyle name="Comma 2 3 3" xfId="33" xr:uid="{FA3B658E-264A-4BE7-9E91-C9921D0D7C12}"/>
    <cellStyle name="Comma 2 3 4" xfId="55" xr:uid="{EDEDE662-2D7A-42DD-8A46-25F8587535F6}"/>
    <cellStyle name="Comma 3" xfId="2" xr:uid="{B1BDE74F-C80D-46C4-8F6C-8D55BD258D3E}"/>
    <cellStyle name="Comma 3 2" xfId="10" xr:uid="{E610DBF2-52B8-464E-84AC-80FEA2269943}"/>
    <cellStyle name="Comma 3 3" xfId="14" xr:uid="{466DBBCA-9D07-4107-9DD8-00103750C383}"/>
    <cellStyle name="Comma 4" xfId="17" xr:uid="{8B0FF04C-D21F-4588-AE52-2EB6F0F492B9}"/>
    <cellStyle name="Comma 5" xfId="18" xr:uid="{807DC355-2EC9-44E5-8CF6-5665EAA78DC3}"/>
    <cellStyle name="Comma 5 2" xfId="30" xr:uid="{F07689D4-D5FF-45B6-8DCA-A1B874A900A1}"/>
    <cellStyle name="Comma 5 3" xfId="34" xr:uid="{BE97AB8F-1861-42BB-A789-6B67BEFF1F08}"/>
    <cellStyle name="Comma 5 4" xfId="54" xr:uid="{E8035A63-0638-4CCE-8436-851EDC4E6549}"/>
    <cellStyle name="Comma 6" xfId="48" xr:uid="{C535B53D-AD56-4929-9211-5867D4C9E026}"/>
    <cellStyle name="Comma 7" xfId="53" xr:uid="{DD22B1B8-D9DE-4315-BFA8-0664BFD2CA62}"/>
    <cellStyle name="Comma 8" xfId="56" xr:uid="{95EAE90F-4AB8-481C-827F-42306628F3BF}"/>
    <cellStyle name="Comma 9" xfId="57" xr:uid="{C12ED619-1C88-41A5-B37D-B8A872E322F5}"/>
    <cellStyle name="Currency 2" xfId="13" xr:uid="{ECFC4656-477E-49E2-A76B-0A0D7E0A9233}"/>
    <cellStyle name="Currency 3" xfId="16" xr:uid="{969803A0-20FA-48A5-86FB-4F84D635E600}"/>
    <cellStyle name="Currency 4" xfId="29" xr:uid="{E5098B0A-D9B2-421A-9D82-9B5C22C5D8B1}"/>
    <cellStyle name="Currency 5" xfId="32" xr:uid="{FD17A329-3060-4C8C-A97A-BD54CA880163}"/>
    <cellStyle name="Currency 6" xfId="35" xr:uid="{98509F33-0DE6-496E-95B5-D55FB5E131F6}"/>
    <cellStyle name="Euro" xfId="19" xr:uid="{5E00DDBB-D6F9-4B34-8A83-42EA982C2D75}"/>
    <cellStyle name="Euro 2" xfId="38" xr:uid="{3849442D-EF2D-45E5-89D8-636F79848AF9}"/>
    <cellStyle name="Euro 3" xfId="39" xr:uid="{15FE426A-451B-48A2-8625-2B3ACFDC21EF}"/>
    <cellStyle name="Euro 4" xfId="40" xr:uid="{F254DBEC-00FA-4DBB-9FB8-1057D7288699}"/>
    <cellStyle name="Euro 5" xfId="41" xr:uid="{BF69F5CE-8F6E-4E01-BDC1-AC15A143342F}"/>
    <cellStyle name="Euro 6" xfId="42" xr:uid="{1B01D527-9CDB-4EAF-996C-EE5D0375F2A8}"/>
    <cellStyle name="Euro 7" xfId="43" xr:uid="{37F369E2-2C98-4E07-A91E-F337BBCF0409}"/>
    <cellStyle name="Euro 8" xfId="37" xr:uid="{475D2F7C-9828-4CFB-828A-6DCFD3EABEE5}"/>
    <cellStyle name="Hyperlink 2" xfId="12" xr:uid="{FC6E10F1-BA99-45EE-A7D3-8936D747FF47}"/>
    <cellStyle name="Milliers_NUTRICIA PROPOSAL07" xfId="20" xr:uid="{CDC2B405-D0A4-4E69-AC4D-A5124631C818}"/>
    <cellStyle name="Monétaire_p&amp;l sept 2009" xfId="21" xr:uid="{37229B2E-C379-4713-A7F1-9E1271A69F2D}"/>
    <cellStyle name="Neutral 2" xfId="11" xr:uid="{942C97C4-CE18-452A-8595-70F973DF375F}"/>
    <cellStyle name="Normal 11" xfId="22" xr:uid="{007766B4-5F7B-4909-9ABB-CA0D85B821AB}"/>
    <cellStyle name="Normal 2" xfId="4" xr:uid="{358FEBC6-4C7B-4401-A966-39B2C4AD3FE9}"/>
    <cellStyle name="Normal 2 2" xfId="23" xr:uid="{0E7FB1AE-5365-4D19-9C83-6573A49C6B8C}"/>
    <cellStyle name="Normal 2 2 2" xfId="44" xr:uid="{C9FCB0C3-620A-4000-BA3A-4510C7B4C425}"/>
    <cellStyle name="Normal 3" xfId="6" xr:uid="{478699C6-7854-4B50-81F5-2CFC187A7DBD}"/>
    <cellStyle name="Normal 3 2" xfId="24" xr:uid="{DC1F42E5-0FFB-46E2-9B19-3F51A4AEA989}"/>
    <cellStyle name="Normal 3 3" xfId="36" xr:uid="{494F5948-3B97-4A96-A777-9AC4A00467D7}"/>
    <cellStyle name="Normal 4" xfId="8" xr:uid="{4832817F-A053-4776-B9E2-0FFDEBDE71DC}"/>
    <cellStyle name="Normal 4 2" xfId="25" xr:uid="{F41D1935-7D34-4FF4-A7BE-75F3CACFC4B8}"/>
    <cellStyle name="Normal 5" xfId="28" xr:uid="{BB3F658E-3C1B-4D5C-AFFB-05FFD05A2382}"/>
    <cellStyle name="Normal 5 2" xfId="46" xr:uid="{9AF2D5A1-8630-4236-805D-DC7ABE084CFA}"/>
    <cellStyle name="Normal 6" xfId="49" xr:uid="{E39DFD03-EE4B-4693-A9EB-4F59D7442106}"/>
    <cellStyle name="Normal 6 2" xfId="51" xr:uid="{DD9C43A9-987F-4370-8831-A51A5F6F3E64}"/>
    <cellStyle name="Percent 2" xfId="7" xr:uid="{917C985A-4811-4EF4-A410-82F9B630C251}"/>
    <cellStyle name="Percent 3" xfId="9" xr:uid="{BE654A4C-4BE1-449D-B10F-44C8CC8E87D8}"/>
    <cellStyle name="Porcentaje 2" xfId="47" xr:uid="{5A2CE22A-2D3F-4DD8-95D6-12C818C39B8D}"/>
    <cellStyle name="Porcentual 2" xfId="45" xr:uid="{A304FF43-4EDA-4FF0-AE64-A9E07158F38E}"/>
    <cellStyle name="SAPDataCell" xfId="52" xr:uid="{E91045AB-551B-4E34-A676-2813FA80DE83}"/>
    <cellStyle name="Style 1" xfId="26" xr:uid="{6492BA25-83E3-418B-9BA7-EBDCED69257E}"/>
    <cellStyle name="Стиль 1" xfId="27" xr:uid="{45FD7090-FA79-4098-8B5B-E7A40E4094B9}"/>
    <cellStyle name="쉼표 [0]" xfId="1" builtinId="6"/>
    <cellStyle name="표준" xfId="0" builtinId="0"/>
  </cellStyles>
  <dxfs count="13">
    <dxf>
      <border>
        <top style="thin">
          <color theme="4" tint="0.79998168889431442"/>
        </top>
        <bottom style="thin">
          <color theme="4" tint="0.79998168889431442"/>
        </bottom>
      </border>
    </dxf>
    <dxf>
      <border>
        <top style="thin">
          <color theme="4" tint="0.79998168889431442"/>
        </top>
        <bottom style="thin">
          <color theme="4" tint="0.79998168889431442"/>
        </bottom>
      </border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/>
        </bottom>
      </border>
    </dxf>
    <dxf>
      <font>
        <color theme="0"/>
      </font>
      <fill>
        <patternFill patternType="solid">
          <fgColor theme="4" tint="0.39997558519241921"/>
          <bgColor theme="4" tint="0.39997558519241921"/>
        </patternFill>
      </fill>
      <border>
        <bottom style="thin">
          <color theme="4" tint="0.79998168889431442"/>
        </bottom>
        <horizontal style="thin">
          <color theme="4" tint="0.39997558519241921"/>
        </horizontal>
      </border>
    </dxf>
    <dxf>
      <border>
        <bottom style="thin">
          <color theme="4" tint="0.59999389629810485"/>
        </bottom>
      </border>
    </dxf>
    <dxf>
      <font>
        <b/>
        <color theme="1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0"/>
      </font>
      <fill>
        <patternFill patternType="solid">
          <fgColor theme="4" tint="0.39997558519241921"/>
          <bgColor theme="4" tint="0.39997558519241921"/>
        </patternFill>
      </fill>
    </dxf>
    <dxf>
      <font>
        <b/>
        <color theme="0"/>
      </font>
    </dxf>
    <dxf>
      <border>
        <left style="thin">
          <color theme="4" tint="-0.249977111117893"/>
        </left>
        <right style="thin">
          <color theme="4" tint="-0.249977111117893"/>
        </right>
      </border>
    </dxf>
    <dxf>
      <border>
        <top style="thin">
          <color theme="4" tint="-0.249977111117893"/>
        </top>
        <bottom style="thin">
          <color theme="4" tint="-0.249977111117893"/>
        </bottom>
        <horizontal style="thin">
          <color theme="4" tint="-0.249977111117893"/>
        </horizontal>
      </border>
    </dxf>
    <dxf>
      <font>
        <b/>
        <i val="0"/>
        <color theme="0"/>
      </font>
      <fill>
        <patternFill>
          <fgColor theme="4"/>
          <bgColor rgb="FF002060"/>
        </patternFill>
      </fill>
      <border diagonalUp="0" diagonalDown="0">
        <left/>
        <right/>
        <top/>
        <bottom/>
        <vertical style="thin">
          <color theme="0"/>
        </vertical>
        <horizontal/>
      </border>
    </dxf>
    <dxf>
      <font>
        <b/>
        <i val="0"/>
        <color theme="0"/>
      </font>
      <fill>
        <patternFill patternType="solid">
          <fgColor rgb="FF002060"/>
          <bgColor rgb="FF002060"/>
        </patternFill>
      </fill>
      <border>
        <horizontal style="thin">
          <color theme="4" tint="-0.249977111117893"/>
        </horizontal>
      </border>
    </dxf>
    <dxf>
      <font>
        <color theme="1"/>
      </font>
      <border diagonalUp="0" diagonalDown="0">
        <left/>
        <right/>
        <top/>
        <bottom/>
        <vertical style="thin">
          <color theme="0"/>
        </vertical>
        <horizontal/>
      </border>
    </dxf>
  </dxfs>
  <tableStyles count="1" defaultTableStyle="TableStyleMedium2" defaultPivotStyle="PivotStyleLight16">
    <tableStyle name="PivotStyleNutriciaExport" table="0" count="13" xr9:uid="{8F5C09C5-59F9-4C35-BA45-E948A91228AA}">
      <tableStyleElement type="wholeTable" dxfId="12"/>
      <tableStyleElement type="headerRow" dxfId="11"/>
      <tableStyleElement type="totalRow" dxfId="10"/>
      <tableStyleElement type="firstRowStripe" dxfId="9"/>
      <tableStyleElement type="firstColumnStripe" dxfId="8"/>
      <tableStyleElement type="firstHeaderCell" dxfId="7"/>
      <tableStyleElement type="firstSubtotalRow" dxfId="6"/>
      <tableStyleElement type="secondSubtotalRow" dxfId="5"/>
      <tableStyleElement type="firstColumnSubheading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FF8B"/>
      <color rgb="FFFFFF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402772</xdr:colOff>
      <xdr:row>9</xdr:row>
      <xdr:rowOff>89807</xdr:rowOff>
    </xdr:from>
    <xdr:to>
      <xdr:col>8</xdr:col>
      <xdr:colOff>815522</xdr:colOff>
      <xdr:row>16</xdr:row>
      <xdr:rowOff>117822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8145236" y="1246414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7</xdr:col>
      <xdr:colOff>973931</xdr:colOff>
      <xdr:row>3</xdr:row>
      <xdr:rowOff>16668</xdr:rowOff>
    </xdr:from>
    <xdr:to>
      <xdr:col>9</xdr:col>
      <xdr:colOff>138004</xdr:colOff>
      <xdr:row>8</xdr:row>
      <xdr:rowOff>169564</xdr:rowOff>
    </xdr:to>
    <xdr:sp macro="" textlink="">
      <xdr:nvSpPr>
        <xdr:cNvPr id="5" name="TextBox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9379744" y="600074"/>
          <a:ext cx="1307198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 Suggested  from</a:t>
          </a:r>
          <a:r>
            <a:rPr lang="es-ES" sz="1200" baseline="0"/>
            <a:t> NE</a:t>
          </a:r>
          <a:endParaRPr lang="es-ES" sz="1200"/>
        </a:p>
      </xdr:txBody>
    </xdr:sp>
    <xdr:clientData/>
  </xdr:twoCellAnchor>
  <xdr:twoCellAnchor>
    <xdr:from>
      <xdr:col>10</xdr:col>
      <xdr:colOff>200025</xdr:colOff>
      <xdr:row>8</xdr:row>
      <xdr:rowOff>152400</xdr:rowOff>
    </xdr:from>
    <xdr:to>
      <xdr:col>10</xdr:col>
      <xdr:colOff>612775</xdr:colOff>
      <xdr:row>15</xdr:row>
      <xdr:rowOff>180415</xdr:rowOff>
    </xdr:to>
    <xdr:sp macro="" textlink="">
      <xdr:nvSpPr>
        <xdr:cNvPr id="7" name="Down Arrow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4001750" y="1114425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9</xdr:col>
      <xdr:colOff>1495425</xdr:colOff>
      <xdr:row>1</xdr:row>
      <xdr:rowOff>95250</xdr:rowOff>
    </xdr:from>
    <xdr:to>
      <xdr:col>11</xdr:col>
      <xdr:colOff>7035</xdr:colOff>
      <xdr:row>8</xdr:row>
      <xdr:rowOff>57646</xdr:rowOff>
    </xdr:to>
    <xdr:sp macro="" textlink="">
      <xdr:nvSpPr>
        <xdr:cNvPr id="9" name="TextBox 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3563600" y="295275"/>
          <a:ext cx="1331010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Final order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2"/>
  <sheetViews>
    <sheetView tabSelected="1" zoomScaleNormal="100" workbookViewId="0"/>
  </sheetViews>
  <sheetFormatPr defaultColWidth="9.125" defaultRowHeight="16.5"/>
  <cols>
    <col min="1" max="1" width="24.5" style="1" bestFit="1" customWidth="1"/>
    <col min="2" max="2" width="40.875" style="1" customWidth="1"/>
    <col min="3" max="3" width="15.625" style="1" bestFit="1" customWidth="1"/>
    <col min="4" max="4" width="20.5" style="1" bestFit="1" customWidth="1"/>
    <col min="5" max="5" width="9.875" style="1" bestFit="1" customWidth="1"/>
    <col min="6" max="6" width="9.875" style="1" customWidth="1"/>
    <col min="7" max="9" width="16.125" style="1" customWidth="1"/>
    <col min="10" max="10" width="17.875" style="14" customWidth="1"/>
    <col min="11" max="11" width="16.125" style="1" bestFit="1" customWidth="1"/>
    <col min="12" max="12" width="21.875" style="1" hidden="1" customWidth="1"/>
    <col min="13" max="13" width="0" style="1" hidden="1" customWidth="1"/>
    <col min="14" max="15" width="9.125" style="1"/>
    <col min="16" max="16" width="13.375" style="57" bestFit="1" customWidth="1"/>
    <col min="17" max="17" width="9.125" style="1"/>
    <col min="18" max="18" width="19.375" style="1" bestFit="1" customWidth="1"/>
    <col min="19" max="16384" width="9.125" style="1"/>
  </cols>
  <sheetData>
    <row r="1" spans="1:3" ht="17.25">
      <c r="A1" s="29" t="s">
        <v>194</v>
      </c>
      <c r="B1" s="18"/>
    </row>
    <row r="2" spans="1:3">
      <c r="A2" s="39" t="s">
        <v>28</v>
      </c>
      <c r="B2" s="39" t="s">
        <v>192</v>
      </c>
    </row>
    <row r="3" spans="1:3">
      <c r="A3" s="2" t="s">
        <v>0</v>
      </c>
      <c r="B3" s="32">
        <v>72851</v>
      </c>
    </row>
    <row r="4" spans="1:3">
      <c r="A4" s="2" t="s">
        <v>16</v>
      </c>
      <c r="B4" s="19" t="s">
        <v>17</v>
      </c>
    </row>
    <row r="5" spans="1:3">
      <c r="A5" s="2" t="s">
        <v>30</v>
      </c>
      <c r="B5" s="58" t="s">
        <v>205</v>
      </c>
    </row>
    <row r="6" spans="1:3">
      <c r="A6" s="2" t="s">
        <v>203</v>
      </c>
      <c r="B6" s="58" t="s">
        <v>208</v>
      </c>
    </row>
    <row r="7" spans="1:3">
      <c r="A7" s="2" t="s">
        <v>204</v>
      </c>
      <c r="B7" s="58">
        <v>2025</v>
      </c>
    </row>
    <row r="8" spans="1:3">
      <c r="A8" s="2" t="s">
        <v>1</v>
      </c>
      <c r="B8" s="17" t="s">
        <v>206</v>
      </c>
      <c r="C8" s="9"/>
    </row>
    <row r="9" spans="1:3">
      <c r="A9" s="2" t="s">
        <v>2</v>
      </c>
      <c r="B9" s="19" t="s">
        <v>207</v>
      </c>
      <c r="C9"/>
    </row>
    <row r="10" spans="1:3">
      <c r="A10" s="2" t="s">
        <v>3</v>
      </c>
      <c r="B10" s="20" t="s">
        <v>12</v>
      </c>
    </row>
    <row r="11" spans="1:3">
      <c r="A11" s="2" t="s">
        <v>4</v>
      </c>
      <c r="B11" s="21" t="s">
        <v>24</v>
      </c>
    </row>
    <row r="12" spans="1:3">
      <c r="A12" s="2" t="s">
        <v>5</v>
      </c>
      <c r="B12" s="20" t="s">
        <v>18</v>
      </c>
    </row>
    <row r="13" spans="1:3">
      <c r="A13" s="2" t="s">
        <v>11</v>
      </c>
      <c r="B13" s="15" t="s">
        <v>25</v>
      </c>
    </row>
    <row r="14" spans="1:3">
      <c r="A14" s="10" t="s">
        <v>15</v>
      </c>
      <c r="B14" s="25">
        <v>1</v>
      </c>
    </row>
    <row r="15" spans="1:3">
      <c r="A15" s="10" t="s">
        <v>21</v>
      </c>
      <c r="B15" s="24">
        <v>1</v>
      </c>
      <c r="C15"/>
    </row>
    <row r="16" spans="1:3">
      <c r="A16" s="11"/>
    </row>
    <row r="17" spans="1:18" ht="17.25" thickBot="1"/>
    <row r="18" spans="1:18" ht="63" customHeight="1" thickBot="1">
      <c r="A18" s="4" t="s">
        <v>7</v>
      </c>
      <c r="B18" s="5" t="s">
        <v>6</v>
      </c>
      <c r="C18" s="5" t="s">
        <v>22</v>
      </c>
      <c r="D18" s="31" t="s">
        <v>23</v>
      </c>
      <c r="E18" s="44" t="s">
        <v>31</v>
      </c>
      <c r="F18" s="44" t="s">
        <v>149</v>
      </c>
      <c r="G18" s="6" t="s">
        <v>191</v>
      </c>
      <c r="H18" s="6" t="s">
        <v>8</v>
      </c>
      <c r="I18" s="6" t="s">
        <v>27</v>
      </c>
      <c r="J18" s="6" t="s">
        <v>9</v>
      </c>
      <c r="K18" s="7" t="s">
        <v>10</v>
      </c>
      <c r="L18" s="12" t="s">
        <v>13</v>
      </c>
      <c r="M18" s="1" t="s">
        <v>14</v>
      </c>
      <c r="N18" s="57"/>
    </row>
    <row r="19" spans="1:18">
      <c r="A19" s="15">
        <v>676366</v>
      </c>
      <c r="B19" s="15" t="s">
        <v>188</v>
      </c>
      <c r="C19" s="16">
        <v>800</v>
      </c>
      <c r="D19" s="16" t="s">
        <v>169</v>
      </c>
      <c r="E19" s="30" t="str">
        <f>VLOOKUP($D19,'Lookup info'!$D:$H,2,FALSE)</f>
        <v>0023</v>
      </c>
      <c r="F19" s="30" t="str">
        <f>VLOOKUP($D19,'Lookup info'!$D:$H,5,FALSE)</f>
        <v>W</v>
      </c>
      <c r="G19" s="26">
        <v>144</v>
      </c>
      <c r="H19" s="27">
        <v>30</v>
      </c>
      <c r="I19" s="27">
        <f>H19*G19</f>
        <v>4320</v>
      </c>
      <c r="J19" s="59">
        <f t="shared" ref="J19" si="0">IF(G19="","",K19/G19)</f>
        <v>32</v>
      </c>
      <c r="K19" s="52">
        <v>4608</v>
      </c>
      <c r="L19" s="13"/>
      <c r="M19" s="1">
        <f t="shared" ref="M19" si="1">K19*24</f>
        <v>110592</v>
      </c>
      <c r="N19" s="57"/>
    </row>
    <row r="20" spans="1:18">
      <c r="A20" s="15">
        <v>676367</v>
      </c>
      <c r="B20" s="15" t="s">
        <v>189</v>
      </c>
      <c r="C20" s="16">
        <v>800</v>
      </c>
      <c r="D20" s="16" t="s">
        <v>169</v>
      </c>
      <c r="E20" s="30" t="str">
        <f>VLOOKUP($D20,'Lookup info'!$D:$H,2,FALSE)</f>
        <v>0023</v>
      </c>
      <c r="F20" s="30" t="str">
        <f>VLOOKUP($D20,'Lookup info'!$D:$H,5,FALSE)</f>
        <v>W</v>
      </c>
      <c r="G20" s="26">
        <v>144</v>
      </c>
      <c r="H20" s="27">
        <v>14</v>
      </c>
      <c r="I20" s="27">
        <f t="shared" ref="I20:I23" si="2">H20*G20</f>
        <v>2016</v>
      </c>
      <c r="J20" s="62">
        <f t="shared" ref="J20" si="3">IF(G20="","",K20/G20)</f>
        <v>12</v>
      </c>
      <c r="K20" s="52">
        <v>1728</v>
      </c>
      <c r="L20" s="13"/>
      <c r="M20" s="1">
        <f t="shared" ref="M20" si="4">K20*24</f>
        <v>41472</v>
      </c>
      <c r="N20" s="57"/>
      <c r="O20" s="1">
        <v>10000</v>
      </c>
    </row>
    <row r="21" spans="1:18">
      <c r="A21" s="15">
        <v>676369</v>
      </c>
      <c r="B21" s="15" t="s">
        <v>190</v>
      </c>
      <c r="C21" s="16">
        <v>800</v>
      </c>
      <c r="D21" s="16" t="s">
        <v>169</v>
      </c>
      <c r="E21" s="30" t="str">
        <f>VLOOKUP($D21,'Lookup info'!$D:$H,2,FALSE)</f>
        <v>0023</v>
      </c>
      <c r="F21" s="30" t="str">
        <f>VLOOKUP($D21,'Lookup info'!$D:$H,5,FALSE)</f>
        <v>W</v>
      </c>
      <c r="G21" s="26">
        <v>144</v>
      </c>
      <c r="H21" s="27"/>
      <c r="I21" s="27">
        <f t="shared" si="2"/>
        <v>0</v>
      </c>
      <c r="J21" s="59">
        <f t="shared" ref="J21:J25" si="5">IF(G21="","",K21/G21)</f>
        <v>0</v>
      </c>
      <c r="K21" s="52">
        <f>N21/4</f>
        <v>0</v>
      </c>
      <c r="L21" s="13"/>
      <c r="M21" s="1">
        <f t="shared" ref="M21" si="6">K21*24</f>
        <v>0</v>
      </c>
      <c r="N21" s="57"/>
      <c r="O21" s="1">
        <v>10000</v>
      </c>
    </row>
    <row r="22" spans="1:18">
      <c r="A22" s="15">
        <v>677211</v>
      </c>
      <c r="B22" s="15" t="s">
        <v>185</v>
      </c>
      <c r="C22" s="16">
        <v>800</v>
      </c>
      <c r="D22" s="16" t="s">
        <v>168</v>
      </c>
      <c r="E22" s="30" t="str">
        <f>VLOOKUP($D22,'Lookup info'!$D:$H,2,FALSE)</f>
        <v>0002</v>
      </c>
      <c r="F22" s="30" t="str">
        <f>VLOOKUP($D22,'Lookup info'!$D:$H,5,FALSE)</f>
        <v>C</v>
      </c>
      <c r="G22" s="26">
        <v>96</v>
      </c>
      <c r="H22" s="27"/>
      <c r="I22" s="27">
        <f t="shared" si="2"/>
        <v>0</v>
      </c>
      <c r="J22" s="59">
        <f t="shared" si="5"/>
        <v>0</v>
      </c>
      <c r="K22" s="52"/>
      <c r="M22" s="1">
        <f t="shared" ref="M22:M26" si="7">K22*7</f>
        <v>0</v>
      </c>
      <c r="N22" s="57"/>
    </row>
    <row r="23" spans="1:18">
      <c r="A23" s="15">
        <v>677200</v>
      </c>
      <c r="B23" s="15" t="s">
        <v>186</v>
      </c>
      <c r="C23" s="16">
        <v>800</v>
      </c>
      <c r="D23" s="16" t="s">
        <v>168</v>
      </c>
      <c r="E23" s="30" t="str">
        <f>VLOOKUP($D23,'Lookup info'!$D:$H,2,FALSE)</f>
        <v>0002</v>
      </c>
      <c r="F23" s="30" t="str">
        <f>VLOOKUP($D23,'Lookup info'!$D:$H,5,FALSE)</f>
        <v>C</v>
      </c>
      <c r="G23" s="26">
        <v>96</v>
      </c>
      <c r="H23" s="27"/>
      <c r="I23" s="27">
        <f t="shared" si="2"/>
        <v>0</v>
      </c>
      <c r="J23" s="59">
        <f t="shared" si="5"/>
        <v>0</v>
      </c>
      <c r="K23" s="52"/>
      <c r="M23" s="1">
        <f t="shared" si="7"/>
        <v>0</v>
      </c>
      <c r="N23" s="57"/>
      <c r="O23" s="60"/>
    </row>
    <row r="24" spans="1:18">
      <c r="A24" s="15">
        <v>677281</v>
      </c>
      <c r="B24" s="15" t="s">
        <v>187</v>
      </c>
      <c r="C24" s="16">
        <v>800</v>
      </c>
      <c r="D24" s="16" t="s">
        <v>168</v>
      </c>
      <c r="E24" s="30" t="str">
        <f>VLOOKUP($D24,'Lookup info'!$D:$H,2,FALSE)</f>
        <v>0002</v>
      </c>
      <c r="F24" s="30" t="str">
        <f>VLOOKUP($D24,'Lookup info'!$D:$H,5,FALSE)</f>
        <v>C</v>
      </c>
      <c r="G24" s="26">
        <v>96</v>
      </c>
      <c r="H24" s="27"/>
      <c r="I24" s="27">
        <f>H24*G24</f>
        <v>0</v>
      </c>
      <c r="J24" s="59">
        <f t="shared" si="5"/>
        <v>0</v>
      </c>
      <c r="K24" s="52"/>
      <c r="L24"/>
      <c r="M24" s="1">
        <f t="shared" si="7"/>
        <v>0</v>
      </c>
      <c r="N24" s="57"/>
    </row>
    <row r="25" spans="1:18">
      <c r="A25" s="15">
        <v>658159</v>
      </c>
      <c r="B25" s="15" t="s">
        <v>202</v>
      </c>
      <c r="C25" s="16">
        <v>800</v>
      </c>
      <c r="D25" s="16" t="s">
        <v>168</v>
      </c>
      <c r="E25" s="30" t="str">
        <f>VLOOKUP($D25,'Lookup info'!$D:$H,2,FALSE)</f>
        <v>0002</v>
      </c>
      <c r="F25" s="30" t="str">
        <f>VLOOKUP($D25,'Lookup info'!$D:$H,5,FALSE)</f>
        <v>C</v>
      </c>
      <c r="G25" s="26">
        <v>96</v>
      </c>
      <c r="H25" s="27"/>
      <c r="I25" s="27">
        <f t="shared" ref="I25:I32" si="8">H25*G25</f>
        <v>0</v>
      </c>
      <c r="J25" s="52">
        <f t="shared" si="5"/>
        <v>0</v>
      </c>
      <c r="K25" s="52"/>
      <c r="M25" s="1">
        <f t="shared" ref="M25" si="9">K25*4</f>
        <v>0</v>
      </c>
      <c r="N25" s="57"/>
      <c r="R25" s="56"/>
    </row>
    <row r="26" spans="1:18">
      <c r="A26" s="15" t="s">
        <v>195</v>
      </c>
      <c r="B26" s="15" t="s">
        <v>188</v>
      </c>
      <c r="C26" s="16">
        <v>800</v>
      </c>
      <c r="D26" s="16" t="s">
        <v>169</v>
      </c>
      <c r="E26" s="30" t="str">
        <f>VLOOKUP($D26,'Lookup info'!$D:$H,2,FALSE)</f>
        <v>0023</v>
      </c>
      <c r="F26" s="30" t="str">
        <f>VLOOKUP($D26,'Lookup info'!$D:$H,5,FALSE)</f>
        <v>W</v>
      </c>
      <c r="G26" s="26">
        <v>144</v>
      </c>
      <c r="H26" s="27"/>
      <c r="I26" s="27">
        <f t="shared" si="8"/>
        <v>0</v>
      </c>
      <c r="J26" s="52">
        <f t="shared" ref="J26" si="10">IF(G26="","",K26/G26)</f>
        <v>0</v>
      </c>
      <c r="K26" s="52">
        <v>0</v>
      </c>
      <c r="L26" s="14"/>
      <c r="M26" s="14">
        <f t="shared" si="7"/>
        <v>0</v>
      </c>
      <c r="O26" s="61"/>
    </row>
    <row r="27" spans="1:18">
      <c r="A27" s="15" t="s">
        <v>196</v>
      </c>
      <c r="B27" s="15" t="s">
        <v>189</v>
      </c>
      <c r="C27" s="16">
        <v>800</v>
      </c>
      <c r="D27" s="16" t="s">
        <v>169</v>
      </c>
      <c r="E27" s="30" t="str">
        <f>VLOOKUP($D27,'Lookup info'!$D:$H,2,FALSE)</f>
        <v>0023</v>
      </c>
      <c r="F27" s="30" t="str">
        <f>VLOOKUP($D27,'Lookup info'!$D:$H,5,FALSE)</f>
        <v>W</v>
      </c>
      <c r="G27" s="26">
        <v>144</v>
      </c>
      <c r="H27" s="27"/>
      <c r="I27" s="27">
        <f t="shared" si="8"/>
        <v>0</v>
      </c>
      <c r="J27" s="52">
        <f t="shared" ref="J27:J28" si="11">IF(G27="","",K27/G27)</f>
        <v>0</v>
      </c>
      <c r="K27" s="52">
        <v>0</v>
      </c>
      <c r="M27" s="1">
        <f>K27*5</f>
        <v>0</v>
      </c>
      <c r="O27" s="57"/>
    </row>
    <row r="28" spans="1:18">
      <c r="A28" s="15" t="s">
        <v>197</v>
      </c>
      <c r="B28" s="15" t="s">
        <v>190</v>
      </c>
      <c r="C28" s="16">
        <v>800</v>
      </c>
      <c r="D28" s="16" t="s">
        <v>169</v>
      </c>
      <c r="E28" s="30" t="str">
        <f>VLOOKUP($D28,'Lookup info'!$D:$H,2,FALSE)</f>
        <v>0023</v>
      </c>
      <c r="F28" s="30" t="str">
        <f>VLOOKUP($D28,'Lookup info'!$D:$H,5,FALSE)</f>
        <v>W</v>
      </c>
      <c r="G28" s="26">
        <v>144</v>
      </c>
      <c r="H28" s="27"/>
      <c r="I28" s="27">
        <f t="shared" si="8"/>
        <v>0</v>
      </c>
      <c r="J28" s="52">
        <f t="shared" si="11"/>
        <v>0</v>
      </c>
      <c r="K28" s="52">
        <v>0</v>
      </c>
      <c r="L28" s="11"/>
      <c r="M28" s="1">
        <f t="shared" ref="M28:M31" si="12">K28*4</f>
        <v>0</v>
      </c>
      <c r="O28" s="57"/>
    </row>
    <row r="29" spans="1:18">
      <c r="A29" s="15" t="s">
        <v>198</v>
      </c>
      <c r="B29" s="15" t="s">
        <v>185</v>
      </c>
      <c r="C29" s="16">
        <v>800</v>
      </c>
      <c r="D29" s="16" t="s">
        <v>168</v>
      </c>
      <c r="E29" s="30" t="str">
        <f>VLOOKUP($D29,'Lookup info'!$D:$H,2,FALSE)</f>
        <v>0002</v>
      </c>
      <c r="F29" s="30" t="str">
        <f>VLOOKUP($D29,'Lookup info'!$D:$H,5,FALSE)</f>
        <v>C</v>
      </c>
      <c r="G29" s="26">
        <v>96</v>
      </c>
      <c r="H29" s="27">
        <v>0</v>
      </c>
      <c r="I29" s="27">
        <f t="shared" si="8"/>
        <v>0</v>
      </c>
      <c r="J29" s="52">
        <f t="shared" ref="J29:J32" si="13">IF(G29="","",K29/G29)</f>
        <v>0</v>
      </c>
      <c r="K29" s="52">
        <v>0</v>
      </c>
      <c r="L29" s="13"/>
      <c r="M29" s="1">
        <f t="shared" si="12"/>
        <v>0</v>
      </c>
    </row>
    <row r="30" spans="1:18">
      <c r="A30" s="15" t="s">
        <v>199</v>
      </c>
      <c r="B30" s="15" t="s">
        <v>186</v>
      </c>
      <c r="C30" s="16">
        <v>800</v>
      </c>
      <c r="D30" s="16" t="s">
        <v>168</v>
      </c>
      <c r="E30" s="30" t="str">
        <f>VLOOKUP($D30,'Lookup info'!$D:$H,2,FALSE)</f>
        <v>0002</v>
      </c>
      <c r="F30" s="30" t="str">
        <f>VLOOKUP($D30,'Lookup info'!$D:$H,5,FALSE)</f>
        <v>C</v>
      </c>
      <c r="G30" s="26">
        <v>96</v>
      </c>
      <c r="H30" s="27">
        <v>0</v>
      </c>
      <c r="I30" s="27">
        <f t="shared" si="8"/>
        <v>0</v>
      </c>
      <c r="J30" s="52">
        <f t="shared" si="13"/>
        <v>0</v>
      </c>
      <c r="K30" s="52">
        <v>0</v>
      </c>
      <c r="M30" s="1">
        <f t="shared" si="12"/>
        <v>0</v>
      </c>
    </row>
    <row r="31" spans="1:18">
      <c r="A31" s="15" t="s">
        <v>200</v>
      </c>
      <c r="B31" s="15" t="s">
        <v>187</v>
      </c>
      <c r="C31" s="16">
        <v>800</v>
      </c>
      <c r="D31" s="16" t="s">
        <v>168</v>
      </c>
      <c r="E31" s="30" t="str">
        <f>VLOOKUP($D31,'Lookup info'!$D:$H,2,FALSE)</f>
        <v>0002</v>
      </c>
      <c r="F31" s="30" t="str">
        <f>VLOOKUP($D31,'Lookup info'!$D:$H,5,FALSE)</f>
        <v>C</v>
      </c>
      <c r="G31" s="26">
        <v>96</v>
      </c>
      <c r="H31" s="27">
        <v>0</v>
      </c>
      <c r="I31" s="27">
        <f t="shared" si="8"/>
        <v>0</v>
      </c>
      <c r="J31" s="52">
        <f t="shared" si="13"/>
        <v>0</v>
      </c>
      <c r="K31" s="52">
        <v>0</v>
      </c>
      <c r="M31" s="1">
        <f t="shared" si="12"/>
        <v>0</v>
      </c>
    </row>
    <row r="32" spans="1:18">
      <c r="A32" s="15" t="s">
        <v>201</v>
      </c>
      <c r="B32" s="15" t="s">
        <v>202</v>
      </c>
      <c r="C32" s="16">
        <v>800</v>
      </c>
      <c r="D32" s="16" t="s">
        <v>168</v>
      </c>
      <c r="E32" s="30" t="str">
        <f>VLOOKUP($D32,'Lookup info'!$D:$H,2,FALSE)</f>
        <v>0002</v>
      </c>
      <c r="F32" s="30" t="str">
        <f>VLOOKUP($D32,'Lookup info'!$D:$H,5,FALSE)</f>
        <v>C</v>
      </c>
      <c r="G32" s="26">
        <v>96</v>
      </c>
      <c r="H32" s="27">
        <v>0</v>
      </c>
      <c r="I32" s="27">
        <f t="shared" si="8"/>
        <v>0</v>
      </c>
      <c r="J32" s="52">
        <f t="shared" si="13"/>
        <v>0</v>
      </c>
      <c r="K32" s="52">
        <v>0</v>
      </c>
      <c r="M32" s="1">
        <f t="shared" ref="M32" si="14">K32*4</f>
        <v>0</v>
      </c>
    </row>
    <row r="33" spans="1:11">
      <c r="A33" s="8"/>
      <c r="B33" s="3"/>
      <c r="C33" s="3"/>
      <c r="D33" s="3"/>
      <c r="E33" s="3"/>
      <c r="F33" s="3"/>
      <c r="G33" s="3"/>
      <c r="J33" s="55"/>
      <c r="K33" s="3"/>
    </row>
    <row r="34" spans="1:11">
      <c r="A34" s="8"/>
      <c r="B34" s="8"/>
      <c r="C34" s="3"/>
      <c r="J34" s="8" t="s">
        <v>19</v>
      </c>
      <c r="K34" s="3"/>
    </row>
    <row r="35" spans="1:11">
      <c r="A35" s="8"/>
      <c r="B35" s="8"/>
      <c r="C35" s="3"/>
      <c r="J35" s="8" t="s">
        <v>20</v>
      </c>
      <c r="K35" s="28"/>
    </row>
    <row r="36" spans="1:11">
      <c r="A36" s="11"/>
      <c r="B36" s="11"/>
    </row>
    <row r="38" spans="1:11">
      <c r="A38"/>
      <c r="B38"/>
      <c r="C38"/>
      <c r="D38"/>
      <c r="E38"/>
      <c r="F38"/>
      <c r="G38"/>
      <c r="H38"/>
      <c r="I38"/>
      <c r="J38" s="22"/>
    </row>
    <row r="39" spans="1:11">
      <c r="A39"/>
      <c r="B39"/>
      <c r="C39"/>
      <c r="D39"/>
      <c r="E39"/>
      <c r="F39"/>
      <c r="G39"/>
      <c r="H39"/>
      <c r="I39"/>
      <c r="J39" s="22"/>
    </row>
    <row r="40" spans="1:11">
      <c r="A40"/>
      <c r="B40"/>
      <c r="C40"/>
      <c r="D40"/>
      <c r="E40"/>
      <c r="F40"/>
      <c r="G40"/>
      <c r="H40"/>
      <c r="I40"/>
      <c r="J40" s="22"/>
    </row>
    <row r="41" spans="1:11">
      <c r="A41"/>
      <c r="B41"/>
      <c r="C41"/>
      <c r="D41"/>
      <c r="E41"/>
      <c r="F41"/>
      <c r="G41"/>
      <c r="H41"/>
      <c r="I41"/>
      <c r="J41" s="22"/>
    </row>
    <row r="42" spans="1:11">
      <c r="A42"/>
      <c r="B42"/>
      <c r="C42"/>
      <c r="D42"/>
      <c r="E42"/>
      <c r="F42"/>
      <c r="G42"/>
      <c r="H42"/>
      <c r="I42"/>
      <c r="J42" s="22"/>
    </row>
    <row r="43" spans="1:11">
      <c r="A43" s="23"/>
      <c r="B43"/>
      <c r="C43"/>
      <c r="D43"/>
      <c r="E43"/>
      <c r="F43"/>
      <c r="G43"/>
      <c r="H43"/>
      <c r="I43"/>
      <c r="J43" s="22"/>
    </row>
    <row r="44" spans="1:11">
      <c r="A44"/>
      <c r="B44"/>
      <c r="C44"/>
      <c r="D44"/>
      <c r="E44"/>
      <c r="F44"/>
      <c r="G44"/>
      <c r="H44"/>
      <c r="I44" s="54"/>
      <c r="J44" s="22"/>
    </row>
    <row r="45" spans="1:11">
      <c r="A45"/>
      <c r="B45"/>
      <c r="C45"/>
      <c r="D45"/>
      <c r="E45"/>
      <c r="F45"/>
      <c r="G45"/>
      <c r="H45"/>
      <c r="I45" s="53"/>
      <c r="J45" s="22"/>
    </row>
    <row r="46" spans="1:11">
      <c r="A46"/>
      <c r="B46"/>
      <c r="C46"/>
      <c r="D46"/>
      <c r="E46"/>
      <c r="F46"/>
      <c r="G46"/>
      <c r="H46"/>
      <c r="I46" s="53"/>
      <c r="J46" s="22"/>
    </row>
    <row r="47" spans="1:11">
      <c r="I47"/>
    </row>
    <row r="48" spans="1:11">
      <c r="I48"/>
    </row>
    <row r="49" spans="9:9">
      <c r="I49"/>
    </row>
    <row r="50" spans="9:9">
      <c r="I50"/>
    </row>
    <row r="51" spans="9:9">
      <c r="I51"/>
    </row>
    <row r="52" spans="9:9">
      <c r="I52"/>
    </row>
  </sheetData>
  <phoneticPr fontId="12" type="noConversion"/>
  <dataValidations count="2">
    <dataValidation type="list" allowBlank="1" showInputMessage="1" showErrorMessage="1" sqref="B4" xr:uid="{00000000-0002-0000-0000-000000000000}">
      <formula1>#REF!</formula1>
    </dataValidation>
    <dataValidation type="list" allowBlank="1" showInputMessage="1" showErrorMessage="1" sqref="B12 B10" xr:uid="{00000000-0002-0000-0000-000001000000}">
      <formula1>#REF!</formula1>
    </dataValidation>
  </dataValidations>
  <pageMargins left="0.7" right="0.7" top="0.75" bottom="0.75" header="0.3" footer="0.3"/>
  <pageSetup paperSize="9" scale="95" orientation="landscape" r:id="rId1"/>
  <headerFooter>
    <oddFooter>&amp;L&amp;1#&amp;"Calibri"&amp;8&amp;K000000heewon.kim@emart.com, 희원(파트너) - 해외소싱담당국내영업팀 김, 202206-092022 September_Emart.xlsx, 2022-07-07T04:33:12Z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3000000}">
          <x14:formula1>
            <xm:f>'Lookup info'!$A$5:$A$104</xm:f>
          </x14:formula1>
          <xm:sqref>B2</xm:sqref>
        </x14:dataValidation>
        <x14:dataValidation type="list" allowBlank="1" showInputMessage="1" showErrorMessage="1" xr:uid="{00000000-0002-0000-0000-000004000000}">
          <x14:formula1>
            <xm:f>'Lookup info'!$D$5:$D$40</xm:f>
          </x14:formula1>
          <xm:sqref>D19:D32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4"/>
  <sheetViews>
    <sheetView zoomScale="70" zoomScaleNormal="70" workbookViewId="0">
      <selection activeCell="B47" sqref="B47"/>
    </sheetView>
  </sheetViews>
  <sheetFormatPr defaultColWidth="9.125" defaultRowHeight="16.5"/>
  <cols>
    <col min="1" max="1" width="9.125" style="1"/>
    <col min="2" max="2" width="27.375" style="1" bestFit="1" customWidth="1"/>
    <col min="3" max="3" width="9.125" style="1"/>
    <col min="4" max="4" width="29" style="1" bestFit="1" customWidth="1"/>
    <col min="5" max="5" width="16" style="1" bestFit="1" customWidth="1"/>
    <col min="6" max="6" width="34.625" style="1" bestFit="1" customWidth="1"/>
    <col min="7" max="7" width="29" style="1" bestFit="1" customWidth="1"/>
    <col min="8" max="8" width="13.5" style="1" bestFit="1" customWidth="1"/>
    <col min="9" max="16384" width="9.125" style="1"/>
  </cols>
  <sheetData>
    <row r="1" spans="1:8">
      <c r="A1" s="51" t="s">
        <v>184</v>
      </c>
    </row>
    <row r="2" spans="1:8" ht="17.25" thickBot="1"/>
    <row r="3" spans="1:8" ht="17.25" thickBot="1">
      <c r="A3" s="63" t="s">
        <v>28</v>
      </c>
      <c r="B3" s="64"/>
      <c r="D3" s="65" t="s">
        <v>152</v>
      </c>
      <c r="E3" s="66"/>
      <c r="F3" s="66"/>
      <c r="G3" s="66"/>
      <c r="H3" s="67"/>
    </row>
    <row r="4" spans="1:8" ht="17.25" thickBot="1">
      <c r="A4" s="42" t="s">
        <v>34</v>
      </c>
      <c r="B4" s="43" t="s">
        <v>35</v>
      </c>
      <c r="D4" s="48" t="s">
        <v>183</v>
      </c>
      <c r="E4" s="49" t="s">
        <v>117</v>
      </c>
      <c r="F4" s="49" t="s">
        <v>118</v>
      </c>
      <c r="G4" s="49" t="s">
        <v>180</v>
      </c>
      <c r="H4" s="50" t="s">
        <v>181</v>
      </c>
    </row>
    <row r="5" spans="1:8">
      <c r="A5" s="33" t="s">
        <v>36</v>
      </c>
      <c r="B5" s="34" t="s">
        <v>75</v>
      </c>
      <c r="D5" s="47" t="str">
        <f>IF(G5="","",G5)</f>
        <v>Zoetermeer</v>
      </c>
      <c r="E5" s="45" t="s">
        <v>119</v>
      </c>
      <c r="F5" s="45" t="s">
        <v>133</v>
      </c>
      <c r="G5" s="45" t="s">
        <v>167</v>
      </c>
      <c r="H5" s="46" t="s">
        <v>154</v>
      </c>
    </row>
    <row r="6" spans="1:8">
      <c r="A6" s="33" t="s">
        <v>37</v>
      </c>
      <c r="B6" s="34" t="s">
        <v>76</v>
      </c>
      <c r="D6" s="35" t="str">
        <f t="shared" ref="D6:D40" si="0">IF(G6="","",G6)</f>
        <v>Haps</v>
      </c>
      <c r="E6" s="40" t="s">
        <v>32</v>
      </c>
      <c r="F6" s="40" t="s">
        <v>134</v>
      </c>
      <c r="G6" s="40" t="s">
        <v>168</v>
      </c>
      <c r="H6" s="34" t="s">
        <v>150</v>
      </c>
    </row>
    <row r="7" spans="1:8">
      <c r="A7" s="33" t="s">
        <v>29</v>
      </c>
      <c r="B7" s="34" t="s">
        <v>77</v>
      </c>
      <c r="D7" s="35" t="str">
        <f t="shared" si="0"/>
        <v>Wexford</v>
      </c>
      <c r="E7" s="40" t="s">
        <v>120</v>
      </c>
      <c r="F7" s="40" t="s">
        <v>135</v>
      </c>
      <c r="G7" s="40" t="s">
        <v>169</v>
      </c>
      <c r="H7" s="34" t="s">
        <v>155</v>
      </c>
    </row>
    <row r="8" spans="1:8">
      <c r="A8" s="33" t="s">
        <v>38</v>
      </c>
      <c r="B8" s="34" t="s">
        <v>78</v>
      </c>
      <c r="D8" s="35" t="str">
        <f t="shared" si="0"/>
        <v>PTNIS</v>
      </c>
      <c r="E8" s="40" t="s">
        <v>121</v>
      </c>
      <c r="F8" s="40" t="s">
        <v>136</v>
      </c>
      <c r="G8" s="40" t="s">
        <v>170</v>
      </c>
      <c r="H8" s="34" t="s">
        <v>156</v>
      </c>
    </row>
    <row r="9" spans="1:8">
      <c r="A9" s="33" t="s">
        <v>39</v>
      </c>
      <c r="B9" s="34" t="s">
        <v>79</v>
      </c>
      <c r="D9" s="35" t="str">
        <f t="shared" si="0"/>
        <v>Opole</v>
      </c>
      <c r="E9" s="40" t="s">
        <v>122</v>
      </c>
      <c r="F9" s="40" t="s">
        <v>137</v>
      </c>
      <c r="G9" s="40" t="s">
        <v>171</v>
      </c>
      <c r="H9" s="34" t="s">
        <v>151</v>
      </c>
    </row>
    <row r="10" spans="1:8">
      <c r="A10" s="33" t="s">
        <v>40</v>
      </c>
      <c r="B10" s="34" t="s">
        <v>80</v>
      </c>
      <c r="D10" s="35" t="str">
        <f t="shared" si="0"/>
        <v>Istra</v>
      </c>
      <c r="E10" s="40" t="s">
        <v>123</v>
      </c>
      <c r="F10" s="40" t="s">
        <v>138</v>
      </c>
      <c r="G10" s="40" t="s">
        <v>153</v>
      </c>
      <c r="H10" s="34" t="s">
        <v>157</v>
      </c>
    </row>
    <row r="11" spans="1:8">
      <c r="A11" s="33" t="s">
        <v>115</v>
      </c>
      <c r="B11" s="34" t="s">
        <v>116</v>
      </c>
      <c r="D11" s="35" t="str">
        <f t="shared" si="0"/>
        <v>Liverpool</v>
      </c>
      <c r="E11" s="40" t="s">
        <v>124</v>
      </c>
      <c r="F11" s="40" t="s">
        <v>139</v>
      </c>
      <c r="G11" s="40" t="s">
        <v>172</v>
      </c>
      <c r="H11" s="34" t="s">
        <v>158</v>
      </c>
    </row>
    <row r="12" spans="1:8">
      <c r="A12" s="33" t="s">
        <v>41</v>
      </c>
      <c r="B12" s="34" t="s">
        <v>81</v>
      </c>
      <c r="D12" s="35" t="str">
        <f t="shared" si="0"/>
        <v>Fulda</v>
      </c>
      <c r="E12" s="40" t="s">
        <v>125</v>
      </c>
      <c r="F12" s="40" t="s">
        <v>140</v>
      </c>
      <c r="G12" s="40" t="s">
        <v>173</v>
      </c>
      <c r="H12" s="34" t="s">
        <v>159</v>
      </c>
    </row>
    <row r="13" spans="1:8">
      <c r="A13" s="33" t="s">
        <v>42</v>
      </c>
      <c r="B13" s="34" t="s">
        <v>82</v>
      </c>
      <c r="D13" s="35" t="str">
        <f t="shared" si="0"/>
        <v>Kasdorf</v>
      </c>
      <c r="E13" s="40" t="s">
        <v>126</v>
      </c>
      <c r="F13" s="40" t="s">
        <v>141</v>
      </c>
      <c r="G13" s="40" t="s">
        <v>174</v>
      </c>
      <c r="H13" s="34" t="s">
        <v>160</v>
      </c>
    </row>
    <row r="14" spans="1:8">
      <c r="A14" s="33" t="s">
        <v>43</v>
      </c>
      <c r="B14" s="34" t="s">
        <v>83</v>
      </c>
      <c r="D14" s="35" t="str">
        <f t="shared" si="0"/>
        <v>Wuxi (Nutricia Pharmaceutical)</v>
      </c>
      <c r="E14" s="40" t="s">
        <v>127</v>
      </c>
      <c r="F14" s="40" t="s">
        <v>142</v>
      </c>
      <c r="G14" s="40" t="s">
        <v>182</v>
      </c>
      <c r="H14" s="34" t="s">
        <v>161</v>
      </c>
    </row>
    <row r="15" spans="1:8">
      <c r="A15" s="33" t="s">
        <v>44</v>
      </c>
      <c r="B15" s="34" t="s">
        <v>84</v>
      </c>
      <c r="D15" s="35" t="str">
        <f t="shared" si="0"/>
        <v>Steenvoorde</v>
      </c>
      <c r="E15" s="40" t="s">
        <v>128</v>
      </c>
      <c r="F15" s="40" t="s">
        <v>143</v>
      </c>
      <c r="G15" s="40" t="s">
        <v>176</v>
      </c>
      <c r="H15" s="34" t="s">
        <v>162</v>
      </c>
    </row>
    <row r="16" spans="1:8">
      <c r="A16" s="33" t="s">
        <v>45</v>
      </c>
      <c r="B16" s="34" t="s">
        <v>85</v>
      </c>
      <c r="D16" s="35" t="str">
        <f t="shared" si="0"/>
        <v>Villefranche</v>
      </c>
      <c r="E16" s="40" t="s">
        <v>129</v>
      </c>
      <c r="F16" s="40" t="s">
        <v>144</v>
      </c>
      <c r="G16" s="40" t="s">
        <v>177</v>
      </c>
      <c r="H16" s="34" t="s">
        <v>163</v>
      </c>
    </row>
    <row r="17" spans="1:8">
      <c r="A17" s="33" t="s">
        <v>46</v>
      </c>
      <c r="B17" s="34" t="s">
        <v>86</v>
      </c>
      <c r="D17" s="35" t="str">
        <f t="shared" si="0"/>
        <v>Krueger</v>
      </c>
      <c r="E17" s="40" t="s">
        <v>130</v>
      </c>
      <c r="F17" s="40" t="s">
        <v>145</v>
      </c>
      <c r="G17" s="40" t="s">
        <v>178</v>
      </c>
      <c r="H17" s="34" t="s">
        <v>164</v>
      </c>
    </row>
    <row r="18" spans="1:8">
      <c r="A18" s="33" t="s">
        <v>47</v>
      </c>
      <c r="B18" s="34" t="s">
        <v>87</v>
      </c>
      <c r="D18" s="35" t="str">
        <f t="shared" si="0"/>
        <v>Otmuchow</v>
      </c>
      <c r="E18" s="40" t="s">
        <v>33</v>
      </c>
      <c r="F18" s="40" t="s">
        <v>146</v>
      </c>
      <c r="G18" s="40" t="s">
        <v>26</v>
      </c>
      <c r="H18" s="34" t="s">
        <v>165</v>
      </c>
    </row>
    <row r="19" spans="1:8">
      <c r="A19" s="33" t="s">
        <v>48</v>
      </c>
      <c r="B19" s="34" t="s">
        <v>88</v>
      </c>
      <c r="D19" s="35" t="str">
        <f t="shared" si="0"/>
        <v>Medical Logistics (3PS)</v>
      </c>
      <c r="E19" s="40" t="s">
        <v>131</v>
      </c>
      <c r="F19" s="40" t="s">
        <v>147</v>
      </c>
      <c r="G19" s="40" t="s">
        <v>179</v>
      </c>
      <c r="H19" s="34" t="s">
        <v>166</v>
      </c>
    </row>
    <row r="20" spans="1:8">
      <c r="A20" s="33" t="s">
        <v>49</v>
      </c>
      <c r="B20" s="34" t="s">
        <v>89</v>
      </c>
      <c r="D20" s="35" t="str">
        <f t="shared" si="0"/>
        <v>Wuxi</v>
      </c>
      <c r="E20" s="40" t="s">
        <v>132</v>
      </c>
      <c r="F20" s="40" t="s">
        <v>148</v>
      </c>
      <c r="G20" s="40" t="s">
        <v>175</v>
      </c>
      <c r="H20" s="34" t="s">
        <v>161</v>
      </c>
    </row>
    <row r="21" spans="1:8">
      <c r="A21" s="33" t="s">
        <v>50</v>
      </c>
      <c r="B21" s="34" t="s">
        <v>90</v>
      </c>
      <c r="D21" s="35" t="str">
        <f t="shared" si="0"/>
        <v/>
      </c>
      <c r="H21" s="36"/>
    </row>
    <row r="22" spans="1:8">
      <c r="A22" s="33" t="s">
        <v>51</v>
      </c>
      <c r="B22" s="34" t="s">
        <v>91</v>
      </c>
      <c r="D22" s="35" t="str">
        <f t="shared" si="0"/>
        <v/>
      </c>
      <c r="H22" s="36"/>
    </row>
    <row r="23" spans="1:8">
      <c r="A23" s="33" t="s">
        <v>52</v>
      </c>
      <c r="B23" s="34" t="s">
        <v>92</v>
      </c>
      <c r="D23" s="35" t="str">
        <f t="shared" si="0"/>
        <v/>
      </c>
      <c r="H23" s="36"/>
    </row>
    <row r="24" spans="1:8">
      <c r="A24" s="33" t="s">
        <v>53</v>
      </c>
      <c r="B24" s="34" t="s">
        <v>93</v>
      </c>
      <c r="D24" s="35" t="str">
        <f t="shared" si="0"/>
        <v/>
      </c>
      <c r="H24" s="36"/>
    </row>
    <row r="25" spans="1:8">
      <c r="A25" s="33" t="s">
        <v>54</v>
      </c>
      <c r="B25" s="34" t="s">
        <v>94</v>
      </c>
      <c r="D25" s="35" t="str">
        <f t="shared" si="0"/>
        <v/>
      </c>
      <c r="H25" s="36"/>
    </row>
    <row r="26" spans="1:8">
      <c r="A26" s="33" t="s">
        <v>55</v>
      </c>
      <c r="B26" s="34" t="s">
        <v>95</v>
      </c>
      <c r="D26" s="35" t="str">
        <f t="shared" si="0"/>
        <v/>
      </c>
      <c r="H26" s="36"/>
    </row>
    <row r="27" spans="1:8">
      <c r="A27" s="33" t="s">
        <v>56</v>
      </c>
      <c r="B27" s="34" t="s">
        <v>96</v>
      </c>
      <c r="D27" s="35" t="str">
        <f t="shared" si="0"/>
        <v/>
      </c>
      <c r="H27" s="36"/>
    </row>
    <row r="28" spans="1:8">
      <c r="A28" s="33" t="s">
        <v>57</v>
      </c>
      <c r="B28" s="34" t="s">
        <v>97</v>
      </c>
      <c r="D28" s="35" t="str">
        <f t="shared" si="0"/>
        <v/>
      </c>
      <c r="H28" s="36"/>
    </row>
    <row r="29" spans="1:8">
      <c r="A29" s="33" t="s">
        <v>58</v>
      </c>
      <c r="B29" s="34" t="s">
        <v>98</v>
      </c>
      <c r="D29" s="35" t="str">
        <f t="shared" si="0"/>
        <v/>
      </c>
      <c r="H29" s="36"/>
    </row>
    <row r="30" spans="1:8">
      <c r="A30" s="33" t="s">
        <v>59</v>
      </c>
      <c r="B30" s="34" t="s">
        <v>99</v>
      </c>
      <c r="D30" s="35" t="str">
        <f t="shared" si="0"/>
        <v/>
      </c>
      <c r="H30" s="36"/>
    </row>
    <row r="31" spans="1:8">
      <c r="A31" s="33" t="s">
        <v>60</v>
      </c>
      <c r="B31" s="34" t="s">
        <v>100</v>
      </c>
      <c r="D31" s="35" t="str">
        <f t="shared" si="0"/>
        <v/>
      </c>
      <c r="H31" s="36"/>
    </row>
    <row r="32" spans="1:8">
      <c r="A32" s="33" t="s">
        <v>61</v>
      </c>
      <c r="B32" s="34" t="s">
        <v>101</v>
      </c>
      <c r="D32" s="35" t="str">
        <f t="shared" si="0"/>
        <v/>
      </c>
      <c r="H32" s="36"/>
    </row>
    <row r="33" spans="1:8">
      <c r="A33" s="33" t="s">
        <v>62</v>
      </c>
      <c r="B33" s="34" t="s">
        <v>102</v>
      </c>
      <c r="D33" s="35" t="str">
        <f t="shared" si="0"/>
        <v/>
      </c>
      <c r="H33" s="36"/>
    </row>
    <row r="34" spans="1:8">
      <c r="A34" s="33" t="s">
        <v>63</v>
      </c>
      <c r="B34" s="34" t="s">
        <v>103</v>
      </c>
      <c r="D34" s="35" t="str">
        <f t="shared" si="0"/>
        <v/>
      </c>
      <c r="H34" s="36"/>
    </row>
    <row r="35" spans="1:8">
      <c r="A35" s="33" t="s">
        <v>64</v>
      </c>
      <c r="B35" s="34" t="s">
        <v>104</v>
      </c>
      <c r="D35" s="35" t="str">
        <f t="shared" si="0"/>
        <v/>
      </c>
      <c r="H35" s="36"/>
    </row>
    <row r="36" spans="1:8">
      <c r="A36" s="33" t="s">
        <v>65</v>
      </c>
      <c r="B36" s="34" t="s">
        <v>105</v>
      </c>
      <c r="D36" s="35" t="str">
        <f t="shared" si="0"/>
        <v/>
      </c>
      <c r="H36" s="36"/>
    </row>
    <row r="37" spans="1:8">
      <c r="A37" s="33" t="s">
        <v>66</v>
      </c>
      <c r="B37" s="34" t="s">
        <v>106</v>
      </c>
      <c r="D37" s="35" t="str">
        <f t="shared" si="0"/>
        <v/>
      </c>
      <c r="H37" s="36"/>
    </row>
    <row r="38" spans="1:8">
      <c r="A38" s="33" t="s">
        <v>67</v>
      </c>
      <c r="B38" s="34" t="s">
        <v>107</v>
      </c>
      <c r="D38" s="35" t="str">
        <f t="shared" si="0"/>
        <v/>
      </c>
      <c r="H38" s="36"/>
    </row>
    <row r="39" spans="1:8">
      <c r="A39" s="33" t="s">
        <v>68</v>
      </c>
      <c r="B39" s="34" t="s">
        <v>108</v>
      </c>
      <c r="D39" s="35" t="str">
        <f t="shared" si="0"/>
        <v/>
      </c>
      <c r="H39" s="36"/>
    </row>
    <row r="40" spans="1:8" ht="17.25" thickBot="1">
      <c r="A40" s="33" t="s">
        <v>69</v>
      </c>
      <c r="B40" s="34" t="s">
        <v>109</v>
      </c>
      <c r="D40" s="37" t="str">
        <f t="shared" si="0"/>
        <v/>
      </c>
      <c r="E40" s="41"/>
      <c r="F40" s="41"/>
      <c r="G40" s="41"/>
      <c r="H40" s="38"/>
    </row>
    <row r="41" spans="1:8">
      <c r="A41" s="33" t="s">
        <v>70</v>
      </c>
      <c r="B41" s="34" t="s">
        <v>110</v>
      </c>
    </row>
    <row r="42" spans="1:8">
      <c r="A42" s="33" t="s">
        <v>71</v>
      </c>
      <c r="B42" s="34" t="s">
        <v>111</v>
      </c>
    </row>
    <row r="43" spans="1:8">
      <c r="A43" s="33" t="s">
        <v>72</v>
      </c>
      <c r="B43" s="34" t="s">
        <v>112</v>
      </c>
    </row>
    <row r="44" spans="1:8">
      <c r="A44" s="33" t="s">
        <v>73</v>
      </c>
      <c r="B44" s="34" t="s">
        <v>113</v>
      </c>
    </row>
    <row r="45" spans="1:8">
      <c r="A45" s="33" t="s">
        <v>74</v>
      </c>
      <c r="B45" s="34" t="s">
        <v>114</v>
      </c>
    </row>
    <row r="46" spans="1:8">
      <c r="A46" s="35" t="s">
        <v>192</v>
      </c>
      <c r="B46" s="36" t="s">
        <v>193</v>
      </c>
    </row>
    <row r="47" spans="1:8">
      <c r="A47" s="35"/>
      <c r="B47" s="36"/>
    </row>
    <row r="48" spans="1:8">
      <c r="A48" s="35"/>
      <c r="B48" s="36"/>
    </row>
    <row r="49" spans="1:2">
      <c r="A49" s="35"/>
      <c r="B49" s="36"/>
    </row>
    <row r="50" spans="1:2">
      <c r="A50" s="35"/>
      <c r="B50" s="36"/>
    </row>
    <row r="51" spans="1:2">
      <c r="A51" s="35"/>
      <c r="B51" s="36"/>
    </row>
    <row r="52" spans="1:2">
      <c r="A52" s="35"/>
      <c r="B52" s="36"/>
    </row>
    <row r="53" spans="1:2">
      <c r="A53" s="35"/>
      <c r="B53" s="36"/>
    </row>
    <row r="54" spans="1:2">
      <c r="A54" s="35"/>
      <c r="B54" s="36"/>
    </row>
    <row r="55" spans="1:2">
      <c r="A55" s="35"/>
      <c r="B55" s="36"/>
    </row>
    <row r="56" spans="1:2">
      <c r="A56" s="35"/>
      <c r="B56" s="36"/>
    </row>
    <row r="57" spans="1:2">
      <c r="A57" s="35"/>
      <c r="B57" s="36"/>
    </row>
    <row r="58" spans="1:2">
      <c r="A58" s="35"/>
      <c r="B58" s="36"/>
    </row>
    <row r="59" spans="1:2">
      <c r="A59" s="35"/>
      <c r="B59" s="36"/>
    </row>
    <row r="60" spans="1:2">
      <c r="A60" s="35"/>
      <c r="B60" s="36"/>
    </row>
    <row r="61" spans="1:2">
      <c r="A61" s="35"/>
      <c r="B61" s="36"/>
    </row>
    <row r="62" spans="1:2">
      <c r="A62" s="35"/>
      <c r="B62" s="36"/>
    </row>
    <row r="63" spans="1:2">
      <c r="A63" s="35"/>
      <c r="B63" s="36"/>
    </row>
    <row r="64" spans="1:2">
      <c r="A64" s="35"/>
      <c r="B64" s="36"/>
    </row>
    <row r="65" spans="1:2">
      <c r="A65" s="35"/>
      <c r="B65" s="36"/>
    </row>
    <row r="66" spans="1:2">
      <c r="A66" s="35"/>
      <c r="B66" s="36"/>
    </row>
    <row r="67" spans="1:2">
      <c r="A67" s="35"/>
      <c r="B67" s="36"/>
    </row>
    <row r="68" spans="1:2">
      <c r="A68" s="35"/>
      <c r="B68" s="36"/>
    </row>
    <row r="69" spans="1:2">
      <c r="A69" s="35"/>
      <c r="B69" s="36"/>
    </row>
    <row r="70" spans="1:2">
      <c r="A70" s="35"/>
      <c r="B70" s="36"/>
    </row>
    <row r="71" spans="1:2">
      <c r="A71" s="35"/>
      <c r="B71" s="36"/>
    </row>
    <row r="72" spans="1:2">
      <c r="A72" s="35"/>
      <c r="B72" s="36"/>
    </row>
    <row r="73" spans="1:2">
      <c r="A73" s="35"/>
      <c r="B73" s="36"/>
    </row>
    <row r="74" spans="1:2">
      <c r="A74" s="35"/>
      <c r="B74" s="36"/>
    </row>
    <row r="75" spans="1:2">
      <c r="A75" s="35"/>
      <c r="B75" s="36"/>
    </row>
    <row r="76" spans="1:2">
      <c r="A76" s="35"/>
      <c r="B76" s="36"/>
    </row>
    <row r="77" spans="1:2">
      <c r="A77" s="35"/>
      <c r="B77" s="36"/>
    </row>
    <row r="78" spans="1:2">
      <c r="A78" s="35"/>
      <c r="B78" s="36"/>
    </row>
    <row r="79" spans="1:2">
      <c r="A79" s="35"/>
      <c r="B79" s="36"/>
    </row>
    <row r="80" spans="1:2">
      <c r="A80" s="35"/>
      <c r="B80" s="36"/>
    </row>
    <row r="81" spans="1:2">
      <c r="A81" s="35"/>
      <c r="B81" s="36"/>
    </row>
    <row r="82" spans="1:2">
      <c r="A82" s="35"/>
      <c r="B82" s="36"/>
    </row>
    <row r="83" spans="1:2">
      <c r="A83" s="35"/>
      <c r="B83" s="36"/>
    </row>
    <row r="84" spans="1:2">
      <c r="A84" s="35"/>
      <c r="B84" s="36"/>
    </row>
    <row r="85" spans="1:2">
      <c r="A85" s="35"/>
      <c r="B85" s="36"/>
    </row>
    <row r="86" spans="1:2">
      <c r="A86" s="35"/>
      <c r="B86" s="36"/>
    </row>
    <row r="87" spans="1:2">
      <c r="A87" s="35"/>
      <c r="B87" s="36"/>
    </row>
    <row r="88" spans="1:2">
      <c r="A88" s="35"/>
      <c r="B88" s="36"/>
    </row>
    <row r="89" spans="1:2">
      <c r="A89" s="35"/>
      <c r="B89" s="36"/>
    </row>
    <row r="90" spans="1:2">
      <c r="A90" s="35"/>
      <c r="B90" s="36"/>
    </row>
    <row r="91" spans="1:2">
      <c r="A91" s="35"/>
      <c r="B91" s="36"/>
    </row>
    <row r="92" spans="1:2">
      <c r="A92" s="35"/>
      <c r="B92" s="36"/>
    </row>
    <row r="93" spans="1:2">
      <c r="A93" s="35"/>
      <c r="B93" s="36"/>
    </row>
    <row r="94" spans="1:2">
      <c r="A94" s="35"/>
      <c r="B94" s="36"/>
    </row>
    <row r="95" spans="1:2">
      <c r="A95" s="35"/>
      <c r="B95" s="36"/>
    </row>
    <row r="96" spans="1:2">
      <c r="A96" s="35"/>
      <c r="B96" s="36"/>
    </row>
    <row r="97" spans="1:2">
      <c r="A97" s="35"/>
      <c r="B97" s="36"/>
    </row>
    <row r="98" spans="1:2">
      <c r="A98" s="35"/>
      <c r="B98" s="36"/>
    </row>
    <row r="99" spans="1:2">
      <c r="A99" s="35"/>
      <c r="B99" s="36"/>
    </row>
    <row r="100" spans="1:2">
      <c r="A100" s="35"/>
      <c r="B100" s="36"/>
    </row>
    <row r="101" spans="1:2">
      <c r="A101" s="35"/>
      <c r="B101" s="36"/>
    </row>
    <row r="102" spans="1:2">
      <c r="A102" s="35"/>
      <c r="B102" s="36"/>
    </row>
    <row r="103" spans="1:2">
      <c r="A103" s="35"/>
      <c r="B103" s="36"/>
    </row>
    <row r="104" spans="1:2" ht="17.25" thickBot="1">
      <c r="A104" s="37"/>
      <c r="B104" s="38"/>
    </row>
  </sheetData>
  <mergeCells count="2">
    <mergeCell ref="A3:B3"/>
    <mergeCell ref="D3:H3"/>
  </mergeCells>
  <phoneticPr fontId="12" type="noConversion"/>
  <pageMargins left="0.7" right="0.7" top="0.75" bottom="0.75" header="0.3" footer="0.3"/>
  <pageSetup paperSize="9" orientation="portrait" horizontalDpi="90" verticalDpi="90" r:id="rId1"/>
  <headerFooter>
    <oddFooter>&amp;L&amp;1#&amp;"Calibri"&amp;8&amp;K000000heewon.kim@emart.com, 희원(파트너) - 해외소싱담당국내영업팀 김, 202206-092022 September_Emart.xlsx, 2022-07-07T04:33:12Z</oddFooter>
  </headerFooter>
</worksheet>
</file>

<file path=docMetadata/LabelInfo.xml><?xml version="1.0" encoding="utf-8"?>
<clbl:labelList xmlns:clbl="http://schemas.microsoft.com/office/2020/mipLabelMetadata">
  <clbl:label id="{6b89535c-2ba5-4f71-a34a-075d8392d04a}" enabled="1" method="Privileged" siteId="{d4ffc887-d88d-41cc-bf6a-6bb47ec0f3c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5</vt:i4>
      </vt:variant>
    </vt:vector>
  </HeadingPairs>
  <TitlesOfParts>
    <vt:vector size="7" baseType="lpstr">
      <vt:lpstr>Order</vt:lpstr>
      <vt:lpstr>Lookup info</vt:lpstr>
      <vt:lpstr>Order!Print_Area</vt:lpstr>
      <vt:lpstr>Report1.Header</vt:lpstr>
      <vt:lpstr>Report1.Range</vt:lpstr>
      <vt:lpstr>Report2.Header</vt:lpstr>
      <vt:lpstr>Report2.Range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MURASHOV Maxim</dc:creator>
  <cp:lastModifiedBy>SCM</cp:lastModifiedBy>
  <cp:lastPrinted>2014-05-01T13:42:50Z</cp:lastPrinted>
  <dcterms:created xsi:type="dcterms:W3CDTF">2014-04-29T09:00:29Z</dcterms:created>
  <dcterms:modified xsi:type="dcterms:W3CDTF">2024-12-06T08:28:50Z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59b40d-bd78-422a-b514-2626aa169044_Enabled">
    <vt:lpwstr>true</vt:lpwstr>
  </property>
  <property fmtid="{D5CDD505-2E9C-101B-9397-08002B2CF9AE}" pid="3" name="MSIP_Label_f959b40d-bd78-422a-b514-2626aa169044_SetDate">
    <vt:lpwstr>2022-07-07T04:33:12Z</vt:lpwstr>
  </property>
  <property fmtid="{D5CDD505-2E9C-101B-9397-08002B2CF9AE}" pid="4" name="MSIP_Label_f959b40d-bd78-422a-b514-2626aa169044_Method">
    <vt:lpwstr>Standard</vt:lpwstr>
  </property>
  <property fmtid="{D5CDD505-2E9C-101B-9397-08002B2CF9AE}" pid="5" name="MSIP_Label_f959b40d-bd78-422a-b514-2626aa169044_Name">
    <vt:lpwstr>Emart 전용</vt:lpwstr>
  </property>
  <property fmtid="{D5CDD505-2E9C-101B-9397-08002B2CF9AE}" pid="6" name="MSIP_Label_f959b40d-bd78-422a-b514-2626aa169044_SiteId">
    <vt:lpwstr>d4ffc887-d88d-41cc-bf6a-6bb47ec0f3ca</vt:lpwstr>
  </property>
  <property fmtid="{D5CDD505-2E9C-101B-9397-08002B2CF9AE}" pid="7" name="MSIP_Label_f959b40d-bd78-422a-b514-2626aa169044_ActionId">
    <vt:lpwstr>b4f64ca9-d7dd-4bdc-8c10-7159bc1d9885</vt:lpwstr>
  </property>
  <property fmtid="{D5CDD505-2E9C-101B-9397-08002B2CF9AE}" pid="8" name="MSIP_Label_f959b40d-bd78-422a-b514-2626aa169044_ContentBits">
    <vt:lpwstr>10</vt:lpwstr>
  </property>
</Properties>
</file>
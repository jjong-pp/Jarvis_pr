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6월\"/>
    </mc:Choice>
  </mc:AlternateContent>
  <xr:revisionPtr revIDLastSave="0" documentId="13_ncr:1_{E4F7EB26-E6A5-4775-88E4-B0A3763EF454}" xr6:coauthVersionLast="47" xr6:coauthVersionMax="47" xr10:uidLastSave="{00000000-0000-0000-0000-000000000000}"/>
  <bookViews>
    <workbookView xWindow="28680" yWindow="-1095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4" l="1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N23" i="1"/>
  <c r="N21" i="1" l="1"/>
  <c r="N20" i="1"/>
  <c r="N19" i="1"/>
  <c r="J19" i="1" l="1"/>
  <c r="J22" i="1" l="1"/>
  <c r="J23" i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<sst xmlns="http://schemas.openxmlformats.org/spreadsheetml/2006/main" count="244" uniqueCount="218">
  <si>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</si>
  <si>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</si>
  <si>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</si>
  <si>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</si>
  <si>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</si>
  <si>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</si>
  <si>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</si>
  <si>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</si>
  <si>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</si>
  <si>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</si>
  <si>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</si>
  <si>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</si>
  <si>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</si>
  <si>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</si>
  <si>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</si>
  <si>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</si>
  <si>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</si>
  <si>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</si>
  <si>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</si>
  <si>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</si>
  <si>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</si>
  <si>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</si>
  <si>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</si>
  <si>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</si>
  <si>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</si>
  <si>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</si>
  <si>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</si>
  <si>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</si>
  <si>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</si>
  <si>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</si>
  <si>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</si>
  <si>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</si>
  <si>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</si>
  <si>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</si>
  <si>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</si>
  <si>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</si>
  <si>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</si>
  <si>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</si>
  <si>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</si>
  <si>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</si>
  <si>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</si>
  <si>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</si>
  <si>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</si>
  <si>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</si>
  <si>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</si>
  <si>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</si>
  <si>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</si>
  <si>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</si>
  <si>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</si>
  <si>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</si>
  <si>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</si>
  <si>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</si>
  <si>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</si>
  <si>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</si>
  <si>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</si>
  <si>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</si>
  <si>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</si>
  <si>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</si>
  <si>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</si>
  <si>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</si>
  <si>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</si>
  <si>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</si>
  <si>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</si>
  <si>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</si>
  <si>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</si>
  <si>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</si>
  <si>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</si>
  <si>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</si>
  <si>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</si>
  <si>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</si>
  <si>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</si>
  <si>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</si>
  <si>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</si>
  <si>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</si>
  <si>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</si>
  <si>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</si>
  <si>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</si>
  <si>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</si>
  <si>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</si>
  <si>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</si>
  <si>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</si>
  <si>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</si>
  <si>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</si>
  <si>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</si>
  <si>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</si>
  <si>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</si>
  <si>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</si>
  <si>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</si>
  <si>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</si>
  <si>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</si>
  <si>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</si>
  <si>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</si>
  <si>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</si>
  <si>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</si>
  <si>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</si>
  <si>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</si>
  <si>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</si>
  <si>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</si>
  <si>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</si>
  <si>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</si>
  <si>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</si>
  <si>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</si>
  <si>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</si>
  <si>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</si>
  <si>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</si>
  <si>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</si>
  <si>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</si>
  <si>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</si>
  <si>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</si>
  <si>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</si>
  <si>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</si>
  <si>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</si>
  <si>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</si>
  <si>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</si>
  <si>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</si>
  <si>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</si>
  <si>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</si>
  <si>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</si>
  <si>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</si>
  <si>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</si>
  <si>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</si>
  <si>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</si>
  <si>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</si>
  <si>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</si>
  <si>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</si>
  <si>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</si>
  <si>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</si>
  <si>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</si>
  <si>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</si>
  <si>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</si>
  <si>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</si>
  <si>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</si>
  <si>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</si>
  <si>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</si>
  <si>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</si>
  <si>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</si>
  <si>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</si>
  <si>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</si>
  <si>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</si>
  <si>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</si>
  <si>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</si>
  <si>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</si>
  <si>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</si>
  <si>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</si>
  <si>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</si>
  <si>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</si>
  <si>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</si>
  <si>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</si>
  <si>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</si>
  <si>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</si>
  <si>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</si>
  <si>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</si>
  <si>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</si>
  <si>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</si>
  <si>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</si>
  <si>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</si>
  <si>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</si>
  <si>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</si>
  <si>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</si>
  <si>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</si>
  <si>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</si>
  <si>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</si>
  <si>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</si>
  <si>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</si>
  <si>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</si>
  <si>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</si>
  <si>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</si>
  <si>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</si>
  <si>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</si>
  <si>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</si>
  <si>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</si>
  <si>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</si>
  <si>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</si>
  <si>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</si>
  <si>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</si>
  <si>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</si>
  <si>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</si>
  <si>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</si>
  <si>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</si>
  <si>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</si>
  <si>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</si>
  <si>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</si>
  <si>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</si>
  <si>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</si>
  <si>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</si>
  <si>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</si>
  <si>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</si>
  <si>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</si>
  <si>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</si>
  <si>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</si>
  <si>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</si>
  <si>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</si>
  <si>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</si>
  <si>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</si>
  <si>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</si>
  <si>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</si>
  <si>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</si>
  <si>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</si>
  <si>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</si>
  <si>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</si>
  <si>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</si>
  <si>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</si>
  <si>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</si>
  <si>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</si>
  <si>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</si>
  <si>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MOQ</t>
  </si>
  <si>
    <t>If ordered below MOQ - leftover has to be ordered next cycle</t>
  </si>
  <si>
    <t>September</t>
  </si>
  <si>
    <t>W/H/09/2025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</si>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</sst>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7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="90" zoomScaleNormal="9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26</v>
      </c>
    </row>
    <row r="6" spans="1:3">
      <c r="A6" s="2" t="s">
        <v>203</v>
      </c>
      <c r="B6" s="58">
        <v>9</v>
      </c>
    </row>
    <row r="7" spans="1:3">
      <c r="A7" s="2" t="s">
        <v>204</v>
      </c>
      <c r="B7" s="58">
        <v>2025</v>
      </c>
    </row>
    <row r="8" spans="1:3">
      <c r="A8" s="2" t="s">
        <v>1</v>
      </c>
      <c r="B8" s="17" t="s">
        <v>207</v>
      </c>
      <c r="C8" s="9"/>
    </row>
    <row r="9" spans="1:3">
      <c r="A9" s="2" t="s">
        <v>2</v>
      </c>
      <c r="B9" s="19" t="s">
        <v>208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205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>
        <f>H19*G19</f>
        <v>0</v>
      </c>
      <c r="J19" s="59">
        <f t="shared" ref="J19" si="0">IF(G19="","",K19/G19)</f>
        <v>13</v>
      </c>
      <c r="K19" s="52">
        <v>1872</v>
      </c>
      <c r="L19" s="11"/>
      <c r="M19" s="1">
        <f t="shared" ref="M19:M21" si="1">K19*24</f>
        <v>44928</v>
      </c>
      <c r="N19" s="57">
        <f>6000/4</f>
        <v>1500</v>
      </c>
      <c r="O19" s="63" t="s">
        <v>206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>
        <v>22</v>
      </c>
      <c r="I20" s="27">
        <f t="shared" ref="I20:I23" si="2">H20*G20</f>
        <v>3168</v>
      </c>
      <c r="J20" s="59">
        <f t="shared" ref="J20" si="3">IF(G20="","",K20/G20)</f>
        <v>9</v>
      </c>
      <c r="K20" s="52">
        <v>1296</v>
      </c>
      <c r="L20" s="13"/>
      <c r="M20" s="1">
        <f t="shared" si="1"/>
        <v>31104</v>
      </c>
      <c r="N20" s="57">
        <f>6000/4</f>
        <v>1500</v>
      </c>
      <c r="O20" s="63" t="s">
        <v>206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5" si="4">IF(G21="","",K21/G21)</f>
        <v>0</v>
      </c>
      <c r="K21" s="52">
        <v>0</v>
      </c>
      <c r="M21" s="1">
        <f t="shared" si="1"/>
        <v>0</v>
      </c>
      <c r="N21" s="57">
        <f>6000/4</f>
        <v>1500</v>
      </c>
      <c r="O21" s="63" t="s">
        <v>206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40</v>
      </c>
      <c r="I22" s="27">
        <f t="shared" si="2"/>
        <v>3840</v>
      </c>
      <c r="J22" s="59">
        <f t="shared" si="4"/>
        <v>56</v>
      </c>
      <c r="K22" s="52">
        <v>5376</v>
      </c>
      <c r="M22" s="1">
        <f t="shared" ref="M22:M26" si="5">K22*7</f>
        <v>37632</v>
      </c>
      <c r="N22" s="57"/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12</v>
      </c>
      <c r="I23" s="27">
        <f t="shared" si="2"/>
        <v>1152</v>
      </c>
      <c r="J23" s="59">
        <f t="shared" si="4"/>
        <v>16</v>
      </c>
      <c r="K23" s="52">
        <v>1536</v>
      </c>
      <c r="M23" s="1">
        <f t="shared" si="5"/>
        <v>10752</v>
      </c>
      <c r="N23" s="57">
        <f>G19*4</f>
        <v>576</v>
      </c>
      <c r="O23" s="60"/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>
        <v>20</v>
      </c>
      <c r="I24" s="27">
        <f>H24*G24</f>
        <v>1920</v>
      </c>
      <c r="J24" s="59">
        <f t="shared" si="4"/>
        <v>0</v>
      </c>
      <c r="K24" s="52">
        <v>0</v>
      </c>
      <c r="L24"/>
      <c r="M24" s="1">
        <f t="shared" si="5"/>
        <v>0</v>
      </c>
      <c r="N24" s="57"/>
    </row>
    <row r="25" spans="1:18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6">H25*G25</f>
        <v>0</v>
      </c>
      <c r="J25" s="52">
        <f t="shared" si="4"/>
        <v>0</v>
      </c>
      <c r="K25" s="52"/>
      <c r="M25" s="1">
        <f t="shared" ref="M25" si="7">K25*4</f>
        <v>0</v>
      </c>
      <c r="N25" s="57"/>
      <c r="R25" s="56"/>
    </row>
    <row r="26" spans="1:18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ref="J26" si="8">IF(G26="","",K26/G26)</f>
        <v>0</v>
      </c>
      <c r="K26" s="52"/>
      <c r="L26" s="14"/>
      <c r="M26" s="14">
        <f t="shared" si="5"/>
        <v>0</v>
      </c>
      <c r="O26" s="61"/>
    </row>
    <row r="27" spans="1:18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6"/>
        <v>0</v>
      </c>
      <c r="J27" s="52">
        <f t="shared" ref="J27:J28" si="9">IF(G27="","",K27/G27)</f>
        <v>0</v>
      </c>
      <c r="K27" s="52"/>
      <c r="M27" s="1">
        <f>K27*5</f>
        <v>0</v>
      </c>
      <c r="O27" s="57"/>
    </row>
    <row r="28" spans="1:18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6"/>
        <v>0</v>
      </c>
      <c r="J28" s="52">
        <f t="shared" si="9"/>
        <v>0</v>
      </c>
      <c r="K28" s="52"/>
      <c r="L28" s="11"/>
      <c r="M28" s="1">
        <f t="shared" ref="M28:M31" si="10">K28*4</f>
        <v>0</v>
      </c>
      <c r="O28" s="57"/>
    </row>
    <row r="29" spans="1:18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/>
      <c r="I29" s="27">
        <f t="shared" si="6"/>
        <v>0</v>
      </c>
      <c r="J29" s="52">
        <f t="shared" ref="J29:J32" si="11">IF(G29="","",K29/G29)</f>
        <v>0</v>
      </c>
      <c r="K29" s="52"/>
      <c r="L29" s="13"/>
      <c r="M29" s="1">
        <f t="shared" si="10"/>
        <v>0</v>
      </c>
    </row>
    <row r="30" spans="1:18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/>
      <c r="I30" s="27">
        <f t="shared" si="6"/>
        <v>0</v>
      </c>
      <c r="J30" s="52">
        <f t="shared" si="11"/>
        <v>0</v>
      </c>
      <c r="K30" s="52"/>
      <c r="M30" s="1">
        <f t="shared" si="10"/>
        <v>0</v>
      </c>
    </row>
    <row r="31" spans="1:18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/>
      <c r="I31" s="27">
        <f t="shared" si="6"/>
        <v>0</v>
      </c>
      <c r="J31" s="52">
        <f t="shared" si="11"/>
        <v>0</v>
      </c>
      <c r="K31" s="52"/>
      <c r="M31" s="1">
        <f t="shared" si="10"/>
        <v>0</v>
      </c>
    </row>
    <row r="32" spans="1:18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/>
      <c r="I32" s="27">
        <f t="shared" si="6"/>
        <v>0</v>
      </c>
      <c r="J32" s="52">
        <f t="shared" si="11"/>
        <v>0</v>
      </c>
      <c r="K32" s="52"/>
      <c r="M32" s="1">
        <f t="shared" ref="M32" si="12">K32*4</f>
        <v>0</v>
      </c>
    </row>
    <row r="33" spans="1:11">
      <c r="A33" s="8"/>
      <c r="B33" s="3"/>
      <c r="C33" s="3"/>
      <c r="D33" s="3"/>
      <c r="E33" s="3"/>
      <c r="F33" s="3"/>
      <c r="G33" s="3"/>
      <c r="J33" s="55"/>
      <c r="K33" s="3"/>
    </row>
    <row r="34" spans="1:11">
      <c r="A34" s="8"/>
      <c r="B34" s="8"/>
      <c r="C34" s="3"/>
      <c r="J34" s="8" t="s">
        <v>19</v>
      </c>
      <c r="K34" s="3"/>
    </row>
    <row r="35" spans="1:11">
      <c r="A35" s="8"/>
      <c r="B35" s="8"/>
      <c r="C35" s="3"/>
      <c r="J35" s="8" t="s">
        <v>20</v>
      </c>
      <c r="K35" s="28"/>
    </row>
    <row r="36" spans="1:11">
      <c r="A36" s="11"/>
      <c r="B36" s="11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/>
      <c r="J42" s="22"/>
    </row>
    <row r="43" spans="1:11">
      <c r="A43" s="23"/>
      <c r="B43"/>
      <c r="C43"/>
      <c r="D43"/>
      <c r="E43"/>
      <c r="F43"/>
      <c r="G43"/>
      <c r="H43"/>
      <c r="I43"/>
      <c r="J43" s="22"/>
    </row>
    <row r="44" spans="1:11">
      <c r="A44"/>
      <c r="B44"/>
      <c r="C44"/>
      <c r="D44"/>
      <c r="E44"/>
      <c r="F44"/>
      <c r="G44"/>
      <c r="H44"/>
      <c r="I44" s="54"/>
      <c r="J44" s="22"/>
    </row>
    <row r="45" spans="1:11">
      <c r="A45"/>
      <c r="B45"/>
      <c r="C45"/>
      <c r="D45"/>
      <c r="E45"/>
      <c r="F45"/>
      <c r="G45"/>
      <c r="H45"/>
      <c r="I45" s="53"/>
      <c r="J45" s="22"/>
    </row>
    <row r="46" spans="1:11">
      <c r="A46"/>
      <c r="B46"/>
      <c r="C46"/>
      <c r="D46"/>
      <c r="E46"/>
      <c r="F46"/>
      <c r="G46"/>
      <c r="H46"/>
      <c r="I46" s="53"/>
      <c r="J46" s="22"/>
    </row>
    <row r="47" spans="1:11">
      <c r="I47"/>
    </row>
    <row r="48" spans="1:11">
      <c r="I48"/>
    </row>
    <row r="49" spans="9:9">
      <c r="I49"/>
    </row>
    <row r="50" spans="9:9">
      <c r="I50"/>
    </row>
    <row r="51" spans="9:9">
      <c r="I51"/>
    </row>
    <row r="52" spans="9:9">
      <c r="I5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RowHeight="16.5"/>
  <sheetData>
    <row r="2" spans="2:10" ht="17.25" thickBot="1"/>
    <row r="3" spans="2:10" ht="18" thickTop="1" thickBot="1">
      <c r="B3" s="86" t="s">
        <v>209</v>
      </c>
      <c r="C3" s="87" t="s">
        <v>210</v>
      </c>
      <c r="D3" s="87" t="s">
        <v>211</v>
      </c>
      <c r="E3" s="88" t="s">
        <v>212</v>
      </c>
      <c r="F3" s="88" t="s">
        <v>213</v>
      </c>
      <c r="G3" s="89" t="s">
        <v>214</v>
      </c>
      <c r="H3" s="90" t="s">
        <v>215</v>
      </c>
      <c r="I3" s="88" t="s">
        <v>216</v>
      </c>
      <c r="J3" s="88" t="s">
        <v>217</v>
      </c>
    </row>
    <row r="4" spans="2:10" ht="17.25" thickBot="1">
      <c r="B4" s="69">
        <v>309</v>
      </c>
      <c r="C4" s="70">
        <v>315</v>
      </c>
      <c r="D4" s="70">
        <v>318</v>
      </c>
      <c r="E4" s="71">
        <v>324</v>
      </c>
      <c r="F4" s="71">
        <v>334</v>
      </c>
      <c r="G4" s="72">
        <v>347</v>
      </c>
      <c r="H4" s="72">
        <v>365</v>
      </c>
      <c r="I4" s="71">
        <v>390</v>
      </c>
      <c r="J4" s="71">
        <v>406</v>
      </c>
    </row>
    <row r="5" spans="2:10" ht="17.25" thickBot="1">
      <c r="B5" s="73">
        <v>1369</v>
      </c>
      <c r="C5" s="74">
        <v>1355</v>
      </c>
      <c r="D5" s="74">
        <v>1328</v>
      </c>
      <c r="E5" s="75">
        <v>1368</v>
      </c>
      <c r="F5" s="75">
        <v>1436</v>
      </c>
      <c r="G5" s="76">
        <v>1537</v>
      </c>
      <c r="H5" s="76">
        <v>1675</v>
      </c>
      <c r="I5" s="75">
        <v>1842</v>
      </c>
      <c r="J5" s="75">
        <v>1953</v>
      </c>
    </row>
    <row r="6" spans="2:10" ht="17.25" thickBot="1">
      <c r="B6" s="77">
        <v>423</v>
      </c>
      <c r="C6" s="78">
        <v>435</v>
      </c>
      <c r="D6" s="78">
        <v>422</v>
      </c>
      <c r="E6" s="79">
        <v>405</v>
      </c>
      <c r="F6" s="79">
        <v>426</v>
      </c>
      <c r="G6" s="80">
        <v>456</v>
      </c>
      <c r="H6" s="80">
        <v>501</v>
      </c>
      <c r="I6" s="79">
        <v>576</v>
      </c>
      <c r="J6" s="79">
        <v>628</v>
      </c>
    </row>
    <row r="7" spans="2:10" ht="17.25" thickBot="1">
      <c r="B7" s="73">
        <v>1247</v>
      </c>
      <c r="C7" s="78">
        <v>298</v>
      </c>
      <c r="D7" s="78">
        <v>192</v>
      </c>
      <c r="E7" s="79">
        <v>209</v>
      </c>
      <c r="F7" s="79">
        <v>276</v>
      </c>
      <c r="G7" s="80">
        <v>169</v>
      </c>
      <c r="H7" s="80">
        <v>125</v>
      </c>
      <c r="I7" s="79">
        <v>173</v>
      </c>
      <c r="J7" s="79">
        <v>333</v>
      </c>
    </row>
    <row r="8" spans="2:10" ht="17.25" thickBot="1">
      <c r="B8" s="77">
        <v>779</v>
      </c>
      <c r="C8" s="78">
        <v>794</v>
      </c>
      <c r="D8" s="78">
        <v>723</v>
      </c>
      <c r="E8" s="79">
        <v>687</v>
      </c>
      <c r="F8" s="79">
        <v>639</v>
      </c>
      <c r="G8" s="80">
        <v>658</v>
      </c>
      <c r="H8" s="80">
        <v>691</v>
      </c>
      <c r="I8" s="79">
        <v>725</v>
      </c>
      <c r="J8" s="79">
        <v>754</v>
      </c>
    </row>
    <row r="9" spans="2:10" ht="17.25" thickBot="1">
      <c r="B9" s="77">
        <v>401</v>
      </c>
      <c r="C9" s="78">
        <v>413</v>
      </c>
      <c r="D9" s="78">
        <v>417</v>
      </c>
      <c r="E9" s="79">
        <v>355</v>
      </c>
      <c r="F9" s="79">
        <v>319</v>
      </c>
      <c r="G9" s="80">
        <v>351</v>
      </c>
      <c r="H9" s="80">
        <v>393</v>
      </c>
      <c r="I9" s="79">
        <v>452</v>
      </c>
      <c r="J9" s="79">
        <v>475</v>
      </c>
    </row>
    <row r="10" spans="2:10" ht="17.25" thickBot="1">
      <c r="B10" s="73">
        <v>1150</v>
      </c>
      <c r="C10" s="78">
        <v>396</v>
      </c>
      <c r="D10" s="78">
        <v>330</v>
      </c>
      <c r="E10" s="79">
        <v>488</v>
      </c>
      <c r="F10" s="79">
        <v>564</v>
      </c>
      <c r="G10" s="80">
        <v>296</v>
      </c>
      <c r="H10" s="80">
        <v>137</v>
      </c>
      <c r="I10" s="79">
        <v>105</v>
      </c>
      <c r="J10" s="79">
        <v>123</v>
      </c>
    </row>
    <row r="11" spans="2:10" ht="17.25" thickBot="1">
      <c r="B11" s="81">
        <v>377</v>
      </c>
      <c r="C11" s="82">
        <v>339</v>
      </c>
      <c r="D11" s="82">
        <v>322</v>
      </c>
      <c r="E11" s="83">
        <v>319</v>
      </c>
      <c r="F11" s="83">
        <v>329</v>
      </c>
      <c r="G11" s="84">
        <v>342</v>
      </c>
      <c r="H11" s="84">
        <v>362</v>
      </c>
      <c r="I11" s="83">
        <v>388</v>
      </c>
      <c r="J11" s="83">
        <v>407</v>
      </c>
    </row>
    <row r="12" spans="2:10" ht="18" thickTop="1" thickBot="1">
      <c r="B12" s="73">
        <v>6544</v>
      </c>
      <c r="C12" s="74">
        <v>5889</v>
      </c>
      <c r="D12" s="74">
        <v>6007</v>
      </c>
      <c r="E12" s="75">
        <v>6187</v>
      </c>
      <c r="F12" s="75">
        <v>6435</v>
      </c>
      <c r="G12" s="76">
        <v>6756</v>
      </c>
      <c r="H12" s="76">
        <v>7094</v>
      </c>
      <c r="I12" s="75">
        <v>7520</v>
      </c>
      <c r="J12" s="75">
        <v>7821</v>
      </c>
    </row>
    <row r="13" spans="2:10" ht="17.25" thickBot="1">
      <c r="B13" s="73">
        <v>13691</v>
      </c>
      <c r="C13" s="74">
        <v>13144</v>
      </c>
      <c r="D13" s="74">
        <v>12749</v>
      </c>
      <c r="E13" s="75">
        <v>13004</v>
      </c>
      <c r="F13" s="75">
        <v>13395</v>
      </c>
      <c r="G13" s="76">
        <v>13930</v>
      </c>
      <c r="H13" s="76">
        <v>14906</v>
      </c>
      <c r="I13" s="75">
        <v>16098</v>
      </c>
      <c r="J13" s="75">
        <v>16742</v>
      </c>
    </row>
    <row r="14" spans="2:10" ht="17.25" thickBot="1">
      <c r="B14" s="73">
        <v>11583</v>
      </c>
      <c r="C14" s="74">
        <v>10425</v>
      </c>
      <c r="D14" s="74">
        <v>10320</v>
      </c>
      <c r="E14" s="75">
        <v>10527</v>
      </c>
      <c r="F14" s="75">
        <v>10843</v>
      </c>
      <c r="G14" s="76">
        <v>11493</v>
      </c>
      <c r="H14" s="76">
        <v>11953</v>
      </c>
      <c r="I14" s="75">
        <v>12670</v>
      </c>
      <c r="J14" s="75">
        <v>13304</v>
      </c>
    </row>
    <row r="15" spans="2:10" ht="17.25" thickBot="1">
      <c r="B15" s="73">
        <v>1565</v>
      </c>
      <c r="C15" s="74">
        <v>1486</v>
      </c>
      <c r="D15" s="74">
        <v>1442</v>
      </c>
      <c r="E15" s="75">
        <v>1485</v>
      </c>
      <c r="F15" s="75">
        <v>1515</v>
      </c>
      <c r="G15" s="76">
        <v>1560</v>
      </c>
      <c r="H15" s="76">
        <v>1669</v>
      </c>
      <c r="I15" s="75">
        <v>1803</v>
      </c>
      <c r="J15" s="75">
        <v>1839</v>
      </c>
    </row>
    <row r="16" spans="2:10" ht="17.25" thickBot="1">
      <c r="B16" s="77">
        <v>158</v>
      </c>
      <c r="C16" s="78">
        <v>142</v>
      </c>
      <c r="D16" s="78">
        <v>135</v>
      </c>
      <c r="E16" s="79">
        <v>124</v>
      </c>
      <c r="F16" s="79">
        <v>124</v>
      </c>
      <c r="G16" s="80">
        <v>125</v>
      </c>
      <c r="H16" s="80">
        <v>129</v>
      </c>
      <c r="I16" s="79">
        <v>134</v>
      </c>
      <c r="J16" s="79">
        <v>137</v>
      </c>
    </row>
    <row r="17" spans="2:10" ht="17.25" thickBot="1">
      <c r="B17" s="77">
        <v>266</v>
      </c>
      <c r="C17" s="78">
        <v>306</v>
      </c>
      <c r="D17" s="78">
        <v>315</v>
      </c>
      <c r="E17" s="79">
        <v>322</v>
      </c>
      <c r="F17" s="79">
        <v>325</v>
      </c>
      <c r="G17" s="80">
        <v>332</v>
      </c>
      <c r="H17" s="80">
        <v>338</v>
      </c>
      <c r="I17" s="79">
        <v>345</v>
      </c>
      <c r="J17" s="79">
        <v>352</v>
      </c>
    </row>
    <row r="18" spans="2:10" ht="17.25" thickBot="1">
      <c r="B18" s="85">
        <v>203</v>
      </c>
      <c r="C18" s="79">
        <v>195</v>
      </c>
      <c r="D18" s="79">
        <v>201</v>
      </c>
      <c r="E18" s="79">
        <v>203</v>
      </c>
      <c r="F18" s="79">
        <v>207</v>
      </c>
      <c r="G18" s="80">
        <v>211</v>
      </c>
      <c r="H18" s="80">
        <v>218</v>
      </c>
      <c r="I18" s="79">
        <v>222</v>
      </c>
      <c r="J18" s="79">
        <v>229</v>
      </c>
    </row>
    <row r="20" spans="2:10">
      <c r="B20" s="91">
        <f>B4</f>
        <v>309</v>
      </c>
      <c r="C20" s="91">
        <f>C4*1.05</f>
        <v>330.75</v>
      </c>
      <c r="D20" s="91">
        <f t="shared" ref="D20:J20" si="0">D4*1.05</f>
        <v>333.90000000000003</v>
      </c>
      <c r="E20" s="91">
        <f t="shared" si="0"/>
        <v>340.2</v>
      </c>
      <c r="F20" s="91">
        <f t="shared" si="0"/>
        <v>350.7</v>
      </c>
      <c r="G20" s="91">
        <f t="shared" si="0"/>
        <v>364.35</v>
      </c>
      <c r="H20" s="91">
        <f t="shared" si="0"/>
        <v>383.25</v>
      </c>
      <c r="I20" s="91">
        <f t="shared" si="0"/>
        <v>409.5</v>
      </c>
      <c r="J20" s="91">
        <f t="shared" si="0"/>
        <v>426.3</v>
      </c>
    </row>
    <row r="21" spans="2:10">
      <c r="B21" s="91">
        <f t="shared" ref="B21:B40" si="1">B5</f>
        <v>1369</v>
      </c>
      <c r="C21" s="91">
        <f t="shared" ref="C21:J21" si="2">C5*1.05</f>
        <v>1422.75</v>
      </c>
      <c r="D21" s="91">
        <f t="shared" si="2"/>
        <v>1394.4</v>
      </c>
      <c r="E21" s="91">
        <f t="shared" si="2"/>
        <v>1436.4</v>
      </c>
      <c r="F21" s="91">
        <f t="shared" si="2"/>
        <v>1507.8</v>
      </c>
      <c r="G21" s="91">
        <f t="shared" si="2"/>
        <v>1613.8500000000001</v>
      </c>
      <c r="H21" s="91">
        <f t="shared" si="2"/>
        <v>1758.75</v>
      </c>
      <c r="I21" s="91">
        <f t="shared" si="2"/>
        <v>1934.1000000000001</v>
      </c>
      <c r="J21" s="91">
        <f t="shared" si="2"/>
        <v>2050.65</v>
      </c>
    </row>
    <row r="22" spans="2:10">
      <c r="B22" s="91">
        <f t="shared" si="1"/>
        <v>423</v>
      </c>
      <c r="C22" s="91">
        <f t="shared" ref="C22:J22" si="3">C6*1.05</f>
        <v>456.75</v>
      </c>
      <c r="D22" s="91">
        <f t="shared" si="3"/>
        <v>443.1</v>
      </c>
      <c r="E22" s="91">
        <f t="shared" si="3"/>
        <v>425.25</v>
      </c>
      <c r="F22" s="91">
        <f t="shared" si="3"/>
        <v>447.3</v>
      </c>
      <c r="G22" s="91">
        <f t="shared" si="3"/>
        <v>478.8</v>
      </c>
      <c r="H22" s="91">
        <f t="shared" si="3"/>
        <v>526.05000000000007</v>
      </c>
      <c r="I22" s="91">
        <f t="shared" si="3"/>
        <v>604.80000000000007</v>
      </c>
      <c r="J22" s="91">
        <f t="shared" si="3"/>
        <v>659.4</v>
      </c>
    </row>
    <row r="23" spans="2:10">
      <c r="B23" s="91">
        <f t="shared" si="1"/>
        <v>1247</v>
      </c>
      <c r="C23" s="91">
        <f t="shared" ref="C23:J23" si="4">C7*1.05</f>
        <v>312.90000000000003</v>
      </c>
      <c r="D23" s="91">
        <f t="shared" si="4"/>
        <v>201.60000000000002</v>
      </c>
      <c r="E23" s="91">
        <f t="shared" si="4"/>
        <v>219.45000000000002</v>
      </c>
      <c r="F23" s="91">
        <f t="shared" si="4"/>
        <v>289.8</v>
      </c>
      <c r="G23" s="91">
        <f t="shared" si="4"/>
        <v>177.45000000000002</v>
      </c>
      <c r="H23" s="91">
        <f t="shared" si="4"/>
        <v>131.25</v>
      </c>
      <c r="I23" s="91">
        <f t="shared" si="4"/>
        <v>181.65</v>
      </c>
      <c r="J23" s="91">
        <f t="shared" si="4"/>
        <v>349.65000000000003</v>
      </c>
    </row>
    <row r="24" spans="2:10">
      <c r="B24" s="91">
        <f t="shared" si="1"/>
        <v>779</v>
      </c>
      <c r="C24" s="91">
        <f t="shared" ref="C24:J24" si="5">C8*1.05</f>
        <v>833.7</v>
      </c>
      <c r="D24" s="91">
        <f t="shared" si="5"/>
        <v>759.15</v>
      </c>
      <c r="E24" s="91">
        <f t="shared" si="5"/>
        <v>721.35</v>
      </c>
      <c r="F24" s="91">
        <f t="shared" si="5"/>
        <v>670.95</v>
      </c>
      <c r="G24" s="91">
        <f t="shared" si="5"/>
        <v>690.9</v>
      </c>
      <c r="H24" s="91">
        <f t="shared" si="5"/>
        <v>725.55000000000007</v>
      </c>
      <c r="I24" s="91">
        <f t="shared" si="5"/>
        <v>761.25</v>
      </c>
      <c r="J24" s="91">
        <f t="shared" si="5"/>
        <v>791.7</v>
      </c>
    </row>
    <row r="25" spans="2:10">
      <c r="B25" s="91">
        <f t="shared" si="1"/>
        <v>401</v>
      </c>
      <c r="C25" s="91">
        <f t="shared" ref="C25:J25" si="6">C9*1.05</f>
        <v>433.65000000000003</v>
      </c>
      <c r="D25" s="91">
        <f t="shared" si="6"/>
        <v>437.85</v>
      </c>
      <c r="E25" s="91">
        <f t="shared" si="6"/>
        <v>372.75</v>
      </c>
      <c r="F25" s="91">
        <f t="shared" si="6"/>
        <v>334.95</v>
      </c>
      <c r="G25" s="91">
        <f t="shared" si="6"/>
        <v>368.55</v>
      </c>
      <c r="H25" s="91">
        <f t="shared" si="6"/>
        <v>412.65000000000003</v>
      </c>
      <c r="I25" s="91">
        <f t="shared" si="6"/>
        <v>474.6</v>
      </c>
      <c r="J25" s="91">
        <f t="shared" si="6"/>
        <v>498.75</v>
      </c>
    </row>
    <row r="26" spans="2:10">
      <c r="B26" s="91">
        <f t="shared" si="1"/>
        <v>1150</v>
      </c>
      <c r="C26" s="91">
        <f t="shared" ref="C26:J26" si="7">C10*1.05</f>
        <v>415.8</v>
      </c>
      <c r="D26" s="91">
        <f t="shared" si="7"/>
        <v>346.5</v>
      </c>
      <c r="E26" s="91">
        <f t="shared" si="7"/>
        <v>512.4</v>
      </c>
      <c r="F26" s="91">
        <f t="shared" si="7"/>
        <v>592.20000000000005</v>
      </c>
      <c r="G26" s="91">
        <f t="shared" si="7"/>
        <v>310.8</v>
      </c>
      <c r="H26" s="91">
        <f t="shared" si="7"/>
        <v>143.85</v>
      </c>
      <c r="I26" s="91">
        <f t="shared" si="7"/>
        <v>110.25</v>
      </c>
      <c r="J26" s="91">
        <f t="shared" si="7"/>
        <v>129.15</v>
      </c>
    </row>
    <row r="27" spans="2:10">
      <c r="B27" s="91">
        <f t="shared" si="1"/>
        <v>377</v>
      </c>
      <c r="C27" s="91">
        <f t="shared" ref="C27:J27" si="8">C11*1.05</f>
        <v>355.95</v>
      </c>
      <c r="D27" s="91">
        <f t="shared" si="8"/>
        <v>338.1</v>
      </c>
      <c r="E27" s="91">
        <f t="shared" si="8"/>
        <v>334.95</v>
      </c>
      <c r="F27" s="91">
        <f t="shared" si="8"/>
        <v>345.45</v>
      </c>
      <c r="G27" s="91">
        <f t="shared" si="8"/>
        <v>359.1</v>
      </c>
      <c r="H27" s="91">
        <f t="shared" si="8"/>
        <v>380.1</v>
      </c>
      <c r="I27" s="91">
        <f t="shared" si="8"/>
        <v>407.40000000000003</v>
      </c>
      <c r="J27" s="91">
        <f t="shared" si="8"/>
        <v>427.35</v>
      </c>
    </row>
    <row r="28" spans="2:10">
      <c r="B28" s="91">
        <f t="shared" si="1"/>
        <v>6544</v>
      </c>
      <c r="C28" s="91">
        <f t="shared" ref="C28:J28" si="9">C12*1.05</f>
        <v>6183.45</v>
      </c>
      <c r="D28" s="91">
        <f t="shared" si="9"/>
        <v>6307.35</v>
      </c>
      <c r="E28" s="91">
        <f t="shared" si="9"/>
        <v>6496.35</v>
      </c>
      <c r="F28" s="91">
        <f t="shared" si="9"/>
        <v>6756.75</v>
      </c>
      <c r="G28" s="91">
        <f t="shared" si="9"/>
        <v>7093.8</v>
      </c>
      <c r="H28" s="91">
        <f t="shared" si="9"/>
        <v>7448.7000000000007</v>
      </c>
      <c r="I28" s="91">
        <f t="shared" si="9"/>
        <v>7896</v>
      </c>
      <c r="J28" s="91">
        <f t="shared" si="9"/>
        <v>8212.0500000000011</v>
      </c>
    </row>
    <row r="29" spans="2:10">
      <c r="B29" s="91">
        <f t="shared" si="1"/>
        <v>13691</v>
      </c>
      <c r="C29" s="91">
        <f t="shared" ref="C29:J29" si="10">C13*1.05</f>
        <v>13801.2</v>
      </c>
      <c r="D29" s="91">
        <f t="shared" si="10"/>
        <v>13386.45</v>
      </c>
      <c r="E29" s="91">
        <f t="shared" si="10"/>
        <v>13654.2</v>
      </c>
      <c r="F29" s="91">
        <f t="shared" si="10"/>
        <v>14064.75</v>
      </c>
      <c r="G29" s="91">
        <f t="shared" si="10"/>
        <v>14626.5</v>
      </c>
      <c r="H29" s="91">
        <f t="shared" si="10"/>
        <v>15651.300000000001</v>
      </c>
      <c r="I29" s="91">
        <f t="shared" si="10"/>
        <v>16902.900000000001</v>
      </c>
      <c r="J29" s="91">
        <f t="shared" si="10"/>
        <v>17579.100000000002</v>
      </c>
    </row>
    <row r="30" spans="2:10">
      <c r="B30" s="91">
        <f t="shared" si="1"/>
        <v>11583</v>
      </c>
      <c r="C30" s="91">
        <f t="shared" ref="C30:J30" si="11">C14*1.05</f>
        <v>10946.25</v>
      </c>
      <c r="D30" s="91">
        <f t="shared" si="11"/>
        <v>10836</v>
      </c>
      <c r="E30" s="91">
        <f t="shared" si="11"/>
        <v>11053.35</v>
      </c>
      <c r="F30" s="91">
        <f t="shared" si="11"/>
        <v>11385.15</v>
      </c>
      <c r="G30" s="91">
        <f t="shared" si="11"/>
        <v>12067.65</v>
      </c>
      <c r="H30" s="91">
        <f t="shared" si="11"/>
        <v>12550.65</v>
      </c>
      <c r="I30" s="91">
        <f t="shared" si="11"/>
        <v>13303.5</v>
      </c>
      <c r="J30" s="91">
        <f t="shared" si="11"/>
        <v>13969.2</v>
      </c>
    </row>
    <row r="31" spans="2:10">
      <c r="B31" s="91">
        <f t="shared" si="1"/>
        <v>1565</v>
      </c>
      <c r="C31" s="91">
        <f t="shared" ref="C31:J31" si="12">C15*1.05</f>
        <v>1560.3</v>
      </c>
      <c r="D31" s="91">
        <f t="shared" si="12"/>
        <v>1514.1000000000001</v>
      </c>
      <c r="E31" s="91">
        <f t="shared" si="12"/>
        <v>1559.25</v>
      </c>
      <c r="F31" s="91">
        <f t="shared" si="12"/>
        <v>1590.75</v>
      </c>
      <c r="G31" s="91">
        <f t="shared" si="12"/>
        <v>1638</v>
      </c>
      <c r="H31" s="91">
        <f t="shared" si="12"/>
        <v>1752.45</v>
      </c>
      <c r="I31" s="91">
        <f t="shared" si="12"/>
        <v>1893.15</v>
      </c>
      <c r="J31" s="91">
        <f t="shared" si="12"/>
        <v>1930.95</v>
      </c>
    </row>
    <row r="32" spans="2:10">
      <c r="B32" s="91">
        <f t="shared" si="1"/>
        <v>158</v>
      </c>
      <c r="C32" s="91">
        <f t="shared" ref="C32:J32" si="13">C16*1.05</f>
        <v>149.1</v>
      </c>
      <c r="D32" s="91">
        <f t="shared" si="13"/>
        <v>141.75</v>
      </c>
      <c r="E32" s="91">
        <f t="shared" si="13"/>
        <v>130.20000000000002</v>
      </c>
      <c r="F32" s="91">
        <f t="shared" si="13"/>
        <v>130.20000000000002</v>
      </c>
      <c r="G32" s="91">
        <f t="shared" si="13"/>
        <v>131.25</v>
      </c>
      <c r="H32" s="91">
        <f t="shared" si="13"/>
        <v>135.45000000000002</v>
      </c>
      <c r="I32" s="91">
        <f t="shared" si="13"/>
        <v>140.70000000000002</v>
      </c>
      <c r="J32" s="91">
        <f t="shared" si="13"/>
        <v>143.85</v>
      </c>
    </row>
    <row r="33" spans="2:10">
      <c r="B33" s="91">
        <f t="shared" si="1"/>
        <v>266</v>
      </c>
      <c r="C33" s="91">
        <f t="shared" ref="C33:J33" si="14">C17*1.05</f>
        <v>321.3</v>
      </c>
      <c r="D33" s="91">
        <f t="shared" si="14"/>
        <v>330.75</v>
      </c>
      <c r="E33" s="91">
        <f t="shared" si="14"/>
        <v>338.1</v>
      </c>
      <c r="F33" s="91">
        <f t="shared" si="14"/>
        <v>341.25</v>
      </c>
      <c r="G33" s="91">
        <f t="shared" si="14"/>
        <v>348.6</v>
      </c>
      <c r="H33" s="91">
        <f t="shared" si="14"/>
        <v>354.90000000000003</v>
      </c>
      <c r="I33" s="91">
        <f t="shared" si="14"/>
        <v>362.25</v>
      </c>
      <c r="J33" s="91">
        <f t="shared" si="14"/>
        <v>369.6</v>
      </c>
    </row>
    <row r="34" spans="2:10">
      <c r="B34" s="91">
        <f t="shared" si="1"/>
        <v>203</v>
      </c>
      <c r="C34" s="91">
        <f t="shared" ref="C34:J34" si="15">C18*1.05</f>
        <v>204.75</v>
      </c>
      <c r="D34" s="91">
        <f t="shared" si="15"/>
        <v>211.05</v>
      </c>
      <c r="E34" s="91">
        <f t="shared" si="15"/>
        <v>213.15</v>
      </c>
      <c r="F34" s="91">
        <f t="shared" si="15"/>
        <v>217.35000000000002</v>
      </c>
      <c r="G34" s="91">
        <f t="shared" si="15"/>
        <v>221.55</v>
      </c>
      <c r="H34" s="91">
        <f t="shared" si="15"/>
        <v>228.9</v>
      </c>
      <c r="I34" s="91">
        <f t="shared" si="15"/>
        <v>233.10000000000002</v>
      </c>
      <c r="J34" s="91">
        <f t="shared" si="15"/>
        <v>240.45000000000002</v>
      </c>
    </row>
    <row r="35" spans="2:10">
      <c r="B35" s="91"/>
      <c r="C35" s="91"/>
      <c r="D35" s="91"/>
      <c r="E35" s="91"/>
      <c r="F35" s="91"/>
      <c r="G35" s="91"/>
      <c r="H35" s="91"/>
      <c r="I35" s="91"/>
      <c r="J35" s="9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4" t="s">
        <v>28</v>
      </c>
      <c r="B3" s="65"/>
      <c r="D3" s="66" t="s">
        <v>152</v>
      </c>
      <c r="E3" s="67"/>
      <c r="F3" s="67"/>
      <c r="G3" s="67"/>
      <c r="H3" s="68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2025-06-30T08:27:40Z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
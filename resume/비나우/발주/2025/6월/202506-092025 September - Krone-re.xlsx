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6월\"/>
    </mc:Choice>
  </mc:AlternateContent>
  <xr:revisionPtr revIDLastSave="0" documentId="13_ncr:1_{639F0771-25D4-419E-874B-05DA962FA01A}" xr6:coauthVersionLast="47" xr6:coauthVersionMax="47" xr10:uidLastSave="{00000000-0000-0000-0000-000000000000}"/>
  <bookViews>
    <workbookView xWindow="28680" yWindow="-1095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" i="1" l="1"/>
  <c r="H43" i="1" s="1"/>
  <c r="G43" i="1"/>
  <c r="F43" i="1"/>
  <c r="E43" i="1"/>
  <c r="H41" i="1"/>
  <c r="J33" i="1"/>
  <c r="J32" i="1"/>
  <c r="J31" i="1"/>
  <c r="J30" i="1"/>
  <c r="I33" i="1"/>
  <c r="I32" i="1"/>
  <c r="F33" i="1"/>
  <c r="E33" i="1"/>
  <c r="F32" i="1"/>
  <c r="E32" i="1"/>
  <c r="I31" i="1"/>
  <c r="I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<sst xmlns="http://schemas.openxmlformats.org/spreadsheetml/2006/main" count="280" uniqueCount="259">
  <si>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</si>
  <si>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</si>
  <si>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</si>
  <si>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</si>
  <si>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</si>
  <si>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</si>
  <si>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</si>
  <si>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</si>
  <si>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</si>
  <si>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</si>
  <si>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</si>
  <si>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</si>
  <si>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</si>
  <si>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</si>
  <si>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</si>
  <si>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</si>
  <si>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</si>
  <si>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</si>
  <si>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</si>
  <si>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</si>
  <si>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</si>
  <si>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</si>
  <si>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</si>
  <si>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</si>
  <si>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</si>
  <si>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</si>
  <si>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</si>
  <si>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</si>
  <si>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</si>
  <si>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</si>
  <si>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</si>
  <si>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</si>
  <si>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</si>
  <si>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</si>
  <si>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</si>
  <si>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</si>
  <si>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</si>
  <si>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</si>
  <si>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</si>
  <si>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</si>
  <si>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</si>
  <si>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</si>
  <si>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</si>
  <si>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</si>
  <si>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</si>
  <si>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</si>
  <si>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</si>
  <si>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</si>
  <si>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</si>
  <si>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</si>
  <si>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</si>
  <si>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</si>
  <si>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</si>
  <si>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</si>
  <si>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</si>
  <si>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</si>
  <si>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</si>
  <si>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</si>
  <si>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</si>
  <si>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</si>
  <si>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</si>
  <si>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</si>
  <si>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</si>
  <si>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</si>
  <si>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</si>
  <si>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</si>
  <si>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</si>
  <si>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</si>
  <si>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</si>
  <si>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</si>
  <si>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</si>
  <si>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</si>
  <si>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</si>
  <si>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</si>
  <si>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</si>
  <si>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</si>
  <si>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</si>
  <si>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</si>
  <si>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</si>
  <si>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</si>
  <si>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</si>
  <si>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</si>
  <si>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</si>
  <si>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</si>
  <si>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</si>
  <si>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</si>
  <si>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</si>
  <si>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</si>
  <si>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</si>
  <si>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</si>
  <si>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</si>
  <si>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</si>
  <si>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</si>
  <si>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</si>
  <si>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</si>
  <si>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</si>
  <si>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</si>
  <si>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</si>
  <si>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</si>
  <si>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</si>
  <si>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</si>
  <si>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</si>
  <si>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</si>
  <si>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</si>
  <si>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</si>
  <si>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</si>
  <si>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</si>
  <si>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</si>
  <si>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</si>
  <si>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</si>
  <si>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</si>
  <si>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</si>
  <si>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</si>
  <si>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</si>
  <si>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</si>
  <si>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</si>
  <si>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</si>
  <si>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</si>
  <si>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</si>
  <si>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</si>
  <si>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</si>
  <si>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</si>
  <si>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</si>
  <si>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</si>
  <si>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</si>
  <si>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</si>
  <si>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</si>
  <si>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</si>
  <si>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</si>
  <si>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</si>
  <si>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</si>
  <si>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</si>
  <si>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</si>
  <si>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</si>
  <si>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</si>
  <si>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</si>
  <si>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</si>
  <si>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</si>
  <si>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</si>
  <si>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</si>
  <si>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</si>
  <si>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</si>
  <si>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</si>
  <si>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</si>
  <si>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</si>
  <si>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</si>
  <si>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</si>
  <si>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</si>
  <si>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</si>
  <si>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</si>
  <si>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</si>
  <si>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</si>
  <si>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</si>
  <si>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</si>
  <si>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</si>
  <si>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</si>
  <si>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</si>
  <si>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</si>
  <si>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</si>
  <si>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</si>
  <si>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</si>
  <si>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</si>
  <si>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</si>
  <si>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</si>
  <si>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</si>
  <si>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</si>
  <si>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</si>
  <si>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</si>
  <si>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</si>
  <si>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</si>
  <si>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</si>
  <si>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</si>
  <si>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</si>
  <si>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</si>
  <si>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</si>
  <si>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</si>
  <si>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</si>
  <si>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</si>
  <si>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</si>
  <si>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</si>
  <si>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</si>
  <si>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</si>
  <si>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</si>
  <si>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</si>
  <si>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</si>
  <si>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</si>
  <si>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</si>
  <si>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</si>
  <si>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</si>
  <si>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</si>
  <si>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</si>
  <si>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</si>
  <si>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</si>
  <si>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</si>
  <si>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</si>
  <si>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</si>
  <si>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</si>
  <si>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</si>
  <si>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</si>
  <si>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</si>
  <si>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</si>
  <si>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</si>
  <si>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</si>
  <si>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</si>
  <si>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</si>
  <si>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</si>
  <si>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</si>
  <si>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</si>
  <si>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</si>
  <si>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</si>
  <si>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</si>
  <si>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</si>
  <si>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</si>
  <si>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</si>
  <si>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</si>
  <si>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</si>
  <si>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</si>
  <si>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</si>
  <si>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</si>
  <si>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</si>
  <si>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</si>
  <si>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</si>
  <si>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</si>
  <si>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</si>
  <si>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</si>
  <si>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</si>
  <si>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</si>
  <si>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</si>
  <si>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</si>
  <si>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</si>
  <si>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</si>
  <si>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</si>
  <si>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</si>
  <si>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</si>
  <si>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</si>
  <si>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</si>
  <si>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</si>
  <si>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</si>
  <si>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</si>
  <si>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</si>
  <si>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</si>
  <si>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</si>
  <si>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</si>
  <si>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</si>
  <si>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</si>
  <si>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</si>
  <si>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</si>
  <si>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</si>
  <si>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W/F/09/2025</t>
  </si>
  <si>
    <t>Fulda</t>
    <phoneticPr fontId="12" type="noConversion"/>
  </si>
  <si>
    <t>September</t>
    <phoneticPr fontId="12" type="noConversion"/>
  </si>
  <si>
    <t>Haps</t>
    <phoneticPr fontId="12" type="noConversion"/>
  </si>
  <si>
    <t>Wexford</t>
    <phoneticPr fontId="12" type="noConversion"/>
  </si>
  <si>
    <t>Fulda &amp; Haps</t>
    <phoneticPr fontId="12" type="noConversion"/>
  </si>
  <si>
    <t xml:space="preserve"> ORDER QUANTITY IN TU</t>
    <phoneticPr fontId="12" type="noConversion"/>
  </si>
  <si>
    <t xml:space="preserve"> ORDER QUANTITY IN PALLETS</t>
    <phoneticPr fontId="12" type="noConversion"/>
  </si>
  <si>
    <t xml:space="preserve"> ORDER QUANTITY IN CONTAINER</t>
    <phoneticPr fontId="12" type="noConversion"/>
  </si>
  <si>
    <t>pallet per container</t>
    <phoneticPr fontId="12" type="noConversion"/>
  </si>
  <si>
    <t>Total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</si>
</sst>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  <numFmt numFmtId="187" formatCode="0.0"/>
    <numFmt numFmtId="188" formatCode="#,##0_);[Red]\(#,##0\)"/>
  </numFmts>
  <fonts count="31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  <font>
      <b/>
      <sz val="10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17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left"/>
    </xf>
    <xf numFmtId="41" fontId="0" fillId="2" borderId="0" xfId="0" applyNumberFormat="1" applyFill="1"/>
    <xf numFmtId="186" fontId="30" fillId="5" borderId="2" xfId="1" applyNumberFormat="1" applyFont="1" applyFill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88" fontId="0" fillId="0" borderId="1" xfId="0" applyNumberFormat="1" applyBorder="1" applyAlignment="1">
      <alignment horizontal="center" vertical="center"/>
    </xf>
    <xf numFmtId="187" fontId="0" fillId="0" borderId="1" xfId="0" applyNumberForma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88" fontId="0" fillId="12" borderId="1" xfId="0" applyNumberFormat="1" applyFill="1" applyBorder="1" applyAlignment="1">
      <alignment horizontal="center" vertical="center"/>
    </xf>
    <xf numFmtId="187" fontId="0" fillId="12" borderId="1" xfId="0" applyNumberForma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zoomScale="90" zoomScaleNormal="90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2.125" style="1" bestFit="1" customWidth="1"/>
    <col min="17" max="17" width="14.125" style="52" bestFit="1" customWidth="1"/>
    <col min="18" max="18" width="16.5" style="1" bestFit="1" customWidth="1"/>
    <col min="19" max="19" width="19.375" style="1" bestFit="1" customWidth="1"/>
    <col min="20" max="20" width="11.125" style="1" bestFit="1" customWidth="1"/>
    <col min="21" max="16384" width="9.125" style="1"/>
  </cols>
  <sheetData>
    <row r="1" spans="1:3" ht="17.25" x14ac:dyDescent="0.3">
      <c r="A1" s="27" t="s">
        <v>240</v>
      </c>
      <c r="B1" s="17"/>
    </row>
    <row r="2" spans="1:3" x14ac:dyDescent="0.3">
      <c r="A2" s="35" t="s">
        <v>28</v>
      </c>
      <c r="B2" s="35" t="s">
        <v>186</v>
      </c>
    </row>
    <row r="3" spans="1:3" x14ac:dyDescent="0.3">
      <c r="A3" s="2" t="s">
        <v>0</v>
      </c>
      <c r="B3" s="72">
        <v>72852</v>
      </c>
    </row>
    <row r="4" spans="1:3" x14ac:dyDescent="0.3">
      <c r="A4" s="2" t="s">
        <v>16</v>
      </c>
      <c r="B4" s="18" t="s">
        <v>17</v>
      </c>
    </row>
    <row r="5" spans="1:3" x14ac:dyDescent="0.3">
      <c r="A5" s="2" t="s">
        <v>30</v>
      </c>
      <c r="B5" s="53">
        <v>26</v>
      </c>
    </row>
    <row r="6" spans="1:3" x14ac:dyDescent="0.3">
      <c r="A6" s="2" t="s">
        <v>241</v>
      </c>
      <c r="B6" s="53">
        <v>9</v>
      </c>
    </row>
    <row r="7" spans="1:3" x14ac:dyDescent="0.3">
      <c r="A7" s="2" t="s">
        <v>242</v>
      </c>
      <c r="B7" s="53">
        <v>2025</v>
      </c>
    </row>
    <row r="8" spans="1:3" x14ac:dyDescent="0.3">
      <c r="A8" s="2" t="s">
        <v>1</v>
      </c>
      <c r="B8" s="16" t="s">
        <v>250</v>
      </c>
      <c r="C8" s="9"/>
    </row>
    <row r="9" spans="1:3" x14ac:dyDescent="0.3">
      <c r="A9" s="2" t="s">
        <v>2</v>
      </c>
      <c r="B9" s="18" t="s">
        <v>248</v>
      </c>
      <c r="C9"/>
    </row>
    <row r="10" spans="1:3" x14ac:dyDescent="0.3">
      <c r="A10" s="2" t="s">
        <v>3</v>
      </c>
      <c r="B10" s="19" t="s">
        <v>12</v>
      </c>
    </row>
    <row r="11" spans="1:3" x14ac:dyDescent="0.3">
      <c r="A11" s="2" t="s">
        <v>4</v>
      </c>
      <c r="B11" s="20" t="s">
        <v>24</v>
      </c>
    </row>
    <row r="12" spans="1:3" x14ac:dyDescent="0.3">
      <c r="A12" s="2" t="s">
        <v>5</v>
      </c>
      <c r="B12" s="19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4">
        <v>1</v>
      </c>
    </row>
    <row r="15" spans="1:3" x14ac:dyDescent="0.3">
      <c r="A15" s="10" t="s">
        <v>21</v>
      </c>
      <c r="B15" s="23">
        <v>1</v>
      </c>
      <c r="C15"/>
    </row>
    <row r="16" spans="1:3" x14ac:dyDescent="0.3">
      <c r="A16" s="11"/>
    </row>
    <row r="17" spans="1:20" ht="17.25" thickBot="1" x14ac:dyDescent="0.35"/>
    <row r="18" spans="1:20" ht="63" customHeight="1" thickBot="1" x14ac:dyDescent="0.35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O18" s="75" t="s">
        <v>247</v>
      </c>
      <c r="P18" s="62" t="s">
        <v>195</v>
      </c>
      <c r="Q18" s="63" t="s">
        <v>196</v>
      </c>
      <c r="R18" s="63" t="s">
        <v>197</v>
      </c>
      <c r="S18" s="63" t="s">
        <v>198</v>
      </c>
      <c r="T18" s="63" t="s">
        <v>199</v>
      </c>
    </row>
    <row r="19" spans="1:20" ht="17.25" thickBot="1" x14ac:dyDescent="0.35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0">
        <v>96</v>
      </c>
      <c r="H19" s="25">
        <v>36</v>
      </c>
      <c r="I19" s="25">
        <f>H19*G19</f>
        <v>3456</v>
      </c>
      <c r="J19" s="74">
        <f t="shared" ref="J19:J25" si="0">IF(G19="","",K19/G19)</f>
        <v>46</v>
      </c>
      <c r="K19" s="48">
        <v>4416</v>
      </c>
      <c r="L19" s="11"/>
      <c r="M19" s="1">
        <f t="shared" ref="M19:M21" si="1">K19*24</f>
        <v>105984</v>
      </c>
      <c r="O19" s="78"/>
      <c r="P19" s="87" t="s">
        <v>200</v>
      </c>
      <c r="Q19" s="64" t="s">
        <v>201</v>
      </c>
      <c r="R19" s="65" t="s">
        <v>202</v>
      </c>
      <c r="S19" s="65" t="s">
        <v>203</v>
      </c>
      <c r="T19" s="73" t="s">
        <v>204</v>
      </c>
    </row>
    <row r="20" spans="1:20" ht="17.25" thickBot="1" x14ac:dyDescent="0.35">
      <c r="A20" s="55">
        <v>677045</v>
      </c>
      <c r="B20" s="55" t="s">
        <v>189</v>
      </c>
      <c r="C20" s="56">
        <v>800</v>
      </c>
      <c r="D20" s="56" t="s">
        <v>249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0">
        <v>96</v>
      </c>
      <c r="H20" s="25">
        <v>137</v>
      </c>
      <c r="I20" s="25">
        <f t="shared" ref="I20:I25" si="2">H20*G20</f>
        <v>13152</v>
      </c>
      <c r="J20" s="74">
        <f t="shared" si="0"/>
        <v>138</v>
      </c>
      <c r="K20" s="48">
        <v>13248</v>
      </c>
      <c r="L20" s="13"/>
      <c r="M20" s="1">
        <f t="shared" si="1"/>
        <v>317952</v>
      </c>
      <c r="O20" s="78"/>
      <c r="P20" s="88"/>
      <c r="Q20" s="64" t="s">
        <v>205</v>
      </c>
      <c r="R20" s="65" t="s">
        <v>206</v>
      </c>
      <c r="S20" s="65" t="s">
        <v>207</v>
      </c>
      <c r="T20" s="73" t="s">
        <v>208</v>
      </c>
    </row>
    <row r="21" spans="1:20" ht="17.25" thickBot="1" x14ac:dyDescent="0.35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0">
        <v>96</v>
      </c>
      <c r="H21" s="25">
        <v>110</v>
      </c>
      <c r="I21" s="25">
        <f t="shared" si="2"/>
        <v>10560</v>
      </c>
      <c r="J21" s="74">
        <f t="shared" si="0"/>
        <v>106</v>
      </c>
      <c r="K21" s="48">
        <v>10176</v>
      </c>
      <c r="M21" s="1">
        <f t="shared" si="1"/>
        <v>244224</v>
      </c>
      <c r="O21" s="78"/>
      <c r="P21" s="88"/>
      <c r="Q21" s="64" t="s">
        <v>209</v>
      </c>
      <c r="R21" s="65" t="s">
        <v>210</v>
      </c>
      <c r="S21" s="65" t="s">
        <v>211</v>
      </c>
      <c r="T21" s="73" t="s">
        <v>212</v>
      </c>
    </row>
    <row r="22" spans="1:20" ht="17.25" thickBot="1" x14ac:dyDescent="0.35">
      <c r="A22" s="76">
        <v>708117</v>
      </c>
      <c r="B22" s="76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0">
        <v>45</v>
      </c>
      <c r="H22" s="25"/>
      <c r="I22" s="25">
        <f t="shared" si="2"/>
        <v>0</v>
      </c>
      <c r="J22" s="79">
        <f t="shared" si="0"/>
        <v>1</v>
      </c>
      <c r="K22" s="48">
        <v>45</v>
      </c>
      <c r="M22" s="1">
        <f t="shared" ref="M22:M24" si="3">K22*7</f>
        <v>315</v>
      </c>
      <c r="O22" s="78"/>
      <c r="P22" s="88"/>
      <c r="Q22" s="64" t="s">
        <v>213</v>
      </c>
      <c r="R22" s="65" t="s">
        <v>214</v>
      </c>
      <c r="S22" s="65" t="s">
        <v>215</v>
      </c>
      <c r="T22" s="73" t="s">
        <v>216</v>
      </c>
    </row>
    <row r="23" spans="1:20" ht="17.25" thickBot="1" x14ac:dyDescent="0.35">
      <c r="A23" s="76">
        <v>708111</v>
      </c>
      <c r="B23" s="76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0">
        <v>45</v>
      </c>
      <c r="H23" s="25"/>
      <c r="I23" s="25">
        <f t="shared" si="2"/>
        <v>0</v>
      </c>
      <c r="J23" s="79">
        <f t="shared" si="0"/>
        <v>20</v>
      </c>
      <c r="K23" s="48">
        <v>900</v>
      </c>
      <c r="M23" s="1">
        <f t="shared" si="3"/>
        <v>6300</v>
      </c>
      <c r="O23" s="78"/>
      <c r="P23" s="89"/>
      <c r="Q23" s="64" t="s">
        <v>217</v>
      </c>
      <c r="R23" s="65" t="s">
        <v>218</v>
      </c>
      <c r="S23" s="65" t="s">
        <v>219</v>
      </c>
      <c r="T23" s="73" t="s">
        <v>220</v>
      </c>
    </row>
    <row r="24" spans="1:20" ht="17.25" thickBot="1" x14ac:dyDescent="0.35">
      <c r="A24" s="77">
        <v>708112</v>
      </c>
      <c r="B24" s="77" t="s">
        <v>193</v>
      </c>
      <c r="C24" s="58">
        <v>800</v>
      </c>
      <c r="D24" s="58" t="s">
        <v>169</v>
      </c>
      <c r="E24" s="59" t="str">
        <f>VLOOKUP($D24,'[1]Lookup info'!$D:$H,2,FALSE)</f>
        <v>0023</v>
      </c>
      <c r="F24" s="59" t="str">
        <f>VLOOKUP($D24,'[1]Lookup info'!$D:$H,5,FALSE)</f>
        <v>W</v>
      </c>
      <c r="G24" s="60">
        <v>45</v>
      </c>
      <c r="H24" s="25"/>
      <c r="I24" s="25">
        <f t="shared" si="2"/>
        <v>0</v>
      </c>
      <c r="J24" s="79">
        <f t="shared" si="0"/>
        <v>0</v>
      </c>
      <c r="K24" s="48">
        <v>0</v>
      </c>
      <c r="L24"/>
      <c r="M24" s="1">
        <f t="shared" si="3"/>
        <v>0</v>
      </c>
      <c r="O24" s="78"/>
      <c r="P24" s="87" t="s">
        <v>221</v>
      </c>
      <c r="Q24" s="66" t="s">
        <v>222</v>
      </c>
      <c r="R24" s="65" t="s">
        <v>234</v>
      </c>
      <c r="S24" s="65" t="s">
        <v>235</v>
      </c>
      <c r="T24" s="65" t="s">
        <v>220</v>
      </c>
    </row>
    <row r="25" spans="1:20" ht="17.25" thickBot="1" x14ac:dyDescent="0.35">
      <c r="A25" s="77">
        <v>708113</v>
      </c>
      <c r="B25" s="77" t="s">
        <v>194</v>
      </c>
      <c r="C25" s="58">
        <v>800</v>
      </c>
      <c r="D25" s="58" t="s">
        <v>169</v>
      </c>
      <c r="E25" s="59" t="str">
        <f>VLOOKUP($D25,'[1]Lookup info'!$D:$H,2,FALSE)</f>
        <v>0023</v>
      </c>
      <c r="F25" s="59" t="str">
        <f>VLOOKUP($D25,'[1]Lookup info'!$D:$H,5,FALSE)</f>
        <v>W</v>
      </c>
      <c r="G25" s="60">
        <v>45</v>
      </c>
      <c r="H25" s="25"/>
      <c r="I25" s="25">
        <f t="shared" si="2"/>
        <v>0</v>
      </c>
      <c r="J25" s="79">
        <f t="shared" si="0"/>
        <v>1</v>
      </c>
      <c r="K25" s="48">
        <v>45</v>
      </c>
      <c r="L25"/>
      <c r="O25" s="78"/>
      <c r="P25" s="88"/>
      <c r="Q25" s="66" t="s">
        <v>223</v>
      </c>
      <c r="R25" s="65" t="s">
        <v>234</v>
      </c>
      <c r="S25" s="65" t="s">
        <v>235</v>
      </c>
      <c r="T25" s="65" t="s">
        <v>220</v>
      </c>
    </row>
    <row r="26" spans="1:20" ht="17.25" thickBot="1" x14ac:dyDescent="0.35">
      <c r="A26" s="68">
        <v>698408</v>
      </c>
      <c r="B26" s="68" t="s">
        <v>236</v>
      </c>
      <c r="C26" s="69">
        <v>800</v>
      </c>
      <c r="D26" s="69" t="s">
        <v>173</v>
      </c>
      <c r="E26" s="70" t="str">
        <f>VLOOKUP($D26,'Lookup info'!$D:$H,2,FALSE)</f>
        <v>0120</v>
      </c>
      <c r="F26" s="70" t="str">
        <f>VLOOKUP($D26,'Lookup info'!$D:$H,5,FALSE)</f>
        <v>F</v>
      </c>
      <c r="G26" s="71">
        <v>96</v>
      </c>
      <c r="H26" s="54">
        <v>12</v>
      </c>
      <c r="I26" s="54">
        <f t="shared" ref="I26:I33" si="4">H26*G26</f>
        <v>1152</v>
      </c>
      <c r="J26" s="74">
        <f t="shared" ref="J26:J33" si="5">IF(G26="","",K26/G26)</f>
        <v>8</v>
      </c>
      <c r="K26" s="48">
        <v>768</v>
      </c>
      <c r="L26"/>
      <c r="O26" s="78"/>
      <c r="P26" s="88"/>
      <c r="Q26" s="66" t="s">
        <v>224</v>
      </c>
      <c r="R26" s="65" t="s">
        <v>225</v>
      </c>
      <c r="S26" s="65" t="s">
        <v>226</v>
      </c>
      <c r="T26" s="65" t="s">
        <v>227</v>
      </c>
    </row>
    <row r="27" spans="1:20" ht="17.25" thickBot="1" x14ac:dyDescent="0.35">
      <c r="A27" s="68">
        <v>698409</v>
      </c>
      <c r="B27" s="68" t="s">
        <v>237</v>
      </c>
      <c r="C27" s="69">
        <v>800</v>
      </c>
      <c r="D27" s="69" t="s">
        <v>173</v>
      </c>
      <c r="E27" s="70" t="str">
        <f>VLOOKUP($D27,'Lookup info'!$D:$H,2,FALSE)</f>
        <v>0120</v>
      </c>
      <c r="F27" s="70" t="str">
        <f>VLOOKUP($D27,'Lookup info'!$D:$H,5,FALSE)</f>
        <v>F</v>
      </c>
      <c r="G27" s="71">
        <v>96</v>
      </c>
      <c r="H27" s="54"/>
      <c r="I27" s="54">
        <f t="shared" si="4"/>
        <v>0</v>
      </c>
      <c r="J27" s="74">
        <f t="shared" si="5"/>
        <v>0</v>
      </c>
      <c r="K27" s="48">
        <v>0</v>
      </c>
      <c r="L27"/>
      <c r="P27" s="89"/>
      <c r="Q27" s="66" t="s">
        <v>217</v>
      </c>
      <c r="R27" s="65" t="s">
        <v>228</v>
      </c>
      <c r="S27" s="65" t="s">
        <v>229</v>
      </c>
      <c r="T27" s="65" t="s">
        <v>230</v>
      </c>
    </row>
    <row r="28" spans="1:20" ht="17.25" thickBot="1" x14ac:dyDescent="0.35">
      <c r="A28" s="68">
        <v>653156</v>
      </c>
      <c r="B28" s="68" t="s">
        <v>238</v>
      </c>
      <c r="C28" s="69">
        <v>400</v>
      </c>
      <c r="D28" s="69" t="s">
        <v>168</v>
      </c>
      <c r="E28" s="70" t="str">
        <f>VLOOKUP($D28,'Lookup info'!$D:$H,2,FALSE)</f>
        <v>0002</v>
      </c>
      <c r="F28" s="70" t="str">
        <f>VLOOKUP($D28,'Lookup info'!$D:$H,5,FALSE)</f>
        <v>C</v>
      </c>
      <c r="G28" s="71">
        <v>42</v>
      </c>
      <c r="H28" s="54">
        <v>3</v>
      </c>
      <c r="I28" s="54">
        <f t="shared" si="4"/>
        <v>126</v>
      </c>
      <c r="J28" s="74">
        <f t="shared" si="5"/>
        <v>0</v>
      </c>
      <c r="K28" s="48">
        <v>0</v>
      </c>
      <c r="L28"/>
      <c r="P28" s="61"/>
      <c r="Q28" s="61"/>
      <c r="R28" s="67" t="s">
        <v>231</v>
      </c>
      <c r="S28" s="65" t="s">
        <v>232</v>
      </c>
      <c r="T28" s="65" t="s">
        <v>233</v>
      </c>
    </row>
    <row r="29" spans="1:20" x14ac:dyDescent="0.3">
      <c r="A29" s="68">
        <v>653299</v>
      </c>
      <c r="B29" s="68" t="s">
        <v>239</v>
      </c>
      <c r="C29" s="69">
        <v>400</v>
      </c>
      <c r="D29" s="69" t="s">
        <v>251</v>
      </c>
      <c r="E29" s="70" t="str">
        <f>VLOOKUP($D29,'Lookup info'!$D:$H,2,FALSE)</f>
        <v>0002</v>
      </c>
      <c r="F29" s="70" t="str">
        <f>VLOOKUP($D29,'Lookup info'!$D:$H,5,FALSE)</f>
        <v>C</v>
      </c>
      <c r="G29" s="71">
        <v>42</v>
      </c>
      <c r="H29" s="54">
        <v>0.5</v>
      </c>
      <c r="I29" s="54">
        <f t="shared" si="4"/>
        <v>21</v>
      </c>
      <c r="J29" s="74">
        <f t="shared" si="5"/>
        <v>1</v>
      </c>
      <c r="K29" s="48">
        <v>42</v>
      </c>
      <c r="L29"/>
      <c r="P29" s="61"/>
      <c r="Q29" s="61"/>
      <c r="R29" s="61"/>
      <c r="S29" s="61"/>
      <c r="T29" s="61"/>
    </row>
    <row r="30" spans="1:20" x14ac:dyDescent="0.3">
      <c r="A30" s="68">
        <v>703818</v>
      </c>
      <c r="B30" s="68" t="s">
        <v>243</v>
      </c>
      <c r="C30" s="69"/>
      <c r="D30" s="69" t="s">
        <v>171</v>
      </c>
      <c r="E30" s="70" t="str">
        <f>VLOOKUP($D30,'Lookup info'!$D:$H,2,FALSE)</f>
        <v>0074</v>
      </c>
      <c r="F30" s="70" t="str">
        <f>VLOOKUP($D30,'Lookup info'!$D:$H,5,FALSE)</f>
        <v>O</v>
      </c>
      <c r="G30" s="71">
        <v>128</v>
      </c>
      <c r="H30" s="54"/>
      <c r="I30" s="54">
        <f t="shared" si="4"/>
        <v>0</v>
      </c>
      <c r="J30" s="74">
        <f t="shared" si="5"/>
        <v>0</v>
      </c>
      <c r="K30" s="48">
        <v>0</v>
      </c>
      <c r="L30"/>
      <c r="O30" s="75">
        <v>3333</v>
      </c>
      <c r="P30" s="61"/>
      <c r="Q30" s="61"/>
      <c r="R30" s="61"/>
      <c r="S30" s="61"/>
      <c r="T30" s="61"/>
    </row>
    <row r="31" spans="1:20" x14ac:dyDescent="0.3">
      <c r="A31" s="68">
        <v>703819</v>
      </c>
      <c r="B31" s="68" t="s">
        <v>244</v>
      </c>
      <c r="C31" s="69"/>
      <c r="D31" s="69" t="s">
        <v>171</v>
      </c>
      <c r="E31" s="70" t="str">
        <f>VLOOKUP($D31,'Lookup info'!$D:$H,2,FALSE)</f>
        <v>0074</v>
      </c>
      <c r="F31" s="70" t="str">
        <f>VLOOKUP($D31,'Lookup info'!$D:$H,5,FALSE)</f>
        <v>O</v>
      </c>
      <c r="G31" s="71">
        <v>128</v>
      </c>
      <c r="H31" s="54"/>
      <c r="I31" s="54">
        <f t="shared" si="4"/>
        <v>0</v>
      </c>
      <c r="J31" s="74">
        <f t="shared" si="5"/>
        <v>0</v>
      </c>
      <c r="K31" s="48">
        <v>0</v>
      </c>
      <c r="L31"/>
      <c r="O31" s="75">
        <v>3333</v>
      </c>
      <c r="P31" s="61"/>
      <c r="Q31" s="61"/>
      <c r="R31" s="61"/>
      <c r="S31" s="61"/>
      <c r="T31" s="61"/>
    </row>
    <row r="32" spans="1:20" x14ac:dyDescent="0.3">
      <c r="A32" s="68">
        <v>704052</v>
      </c>
      <c r="B32" s="68" t="s">
        <v>245</v>
      </c>
      <c r="C32" s="69"/>
      <c r="D32" s="56" t="s">
        <v>169</v>
      </c>
      <c r="E32" s="70" t="str">
        <f>VLOOKUP($D32,'Lookup info'!$D:$H,2,FALSE)</f>
        <v>0023</v>
      </c>
      <c r="F32" s="70" t="str">
        <f>VLOOKUP($D32,'Lookup info'!$D:$H,5,FALSE)</f>
        <v>W</v>
      </c>
      <c r="G32" s="71">
        <v>90</v>
      </c>
      <c r="H32" s="54"/>
      <c r="I32" s="54">
        <f t="shared" si="4"/>
        <v>0</v>
      </c>
      <c r="J32" s="74">
        <f t="shared" si="5"/>
        <v>0</v>
      </c>
      <c r="K32" s="48">
        <v>0</v>
      </c>
      <c r="L32"/>
      <c r="O32" s="75">
        <v>600</v>
      </c>
      <c r="P32" s="61"/>
      <c r="Q32" s="61"/>
      <c r="R32" s="61"/>
      <c r="S32" s="61"/>
      <c r="T32" s="61"/>
    </row>
    <row r="33" spans="1:20" x14ac:dyDescent="0.3">
      <c r="A33" s="68">
        <v>704054</v>
      </c>
      <c r="B33" s="68" t="s">
        <v>246</v>
      </c>
      <c r="C33" s="69"/>
      <c r="D33" s="56" t="s">
        <v>169</v>
      </c>
      <c r="E33" s="70" t="str">
        <f>VLOOKUP($D33,'Lookup info'!$D:$H,2,FALSE)</f>
        <v>0023</v>
      </c>
      <c r="F33" s="70" t="str">
        <f>VLOOKUP($D33,'Lookup info'!$D:$H,5,FALSE)</f>
        <v>W</v>
      </c>
      <c r="G33" s="71">
        <v>90</v>
      </c>
      <c r="H33" s="54"/>
      <c r="I33" s="54">
        <f t="shared" si="4"/>
        <v>0</v>
      </c>
      <c r="J33" s="74">
        <f t="shared" si="5"/>
        <v>0</v>
      </c>
      <c r="K33" s="48">
        <v>0</v>
      </c>
      <c r="L33"/>
      <c r="O33" s="75">
        <v>600</v>
      </c>
      <c r="P33" s="61"/>
      <c r="Q33" s="61"/>
      <c r="R33" s="61"/>
      <c r="S33" s="61"/>
      <c r="T33" s="61"/>
    </row>
    <row r="34" spans="1:20" x14ac:dyDescent="0.3">
      <c r="A34" s="8"/>
      <c r="B34" s="3"/>
      <c r="C34" s="3"/>
      <c r="D34" s="3"/>
      <c r="E34" s="3"/>
      <c r="F34" s="3"/>
      <c r="G34" s="3"/>
      <c r="J34" s="51"/>
      <c r="K34" s="3"/>
    </row>
    <row r="35" spans="1:20" x14ac:dyDescent="0.3">
      <c r="A35" s="8"/>
      <c r="B35" s="8"/>
      <c r="C35" s="3"/>
      <c r="J35" s="8" t="s">
        <v>19</v>
      </c>
      <c r="K35" s="3"/>
    </row>
    <row r="36" spans="1:20" x14ac:dyDescent="0.3">
      <c r="A36" s="8"/>
      <c r="B36" s="8"/>
      <c r="C36" s="3"/>
      <c r="J36" s="8" t="s">
        <v>20</v>
      </c>
      <c r="K36" s="26"/>
    </row>
    <row r="37" spans="1:20" x14ac:dyDescent="0.3">
      <c r="A37" s="11"/>
      <c r="B37" s="11"/>
    </row>
    <row r="39" spans="1:20" x14ac:dyDescent="0.3">
      <c r="A39"/>
      <c r="B39"/>
      <c r="C39"/>
      <c r="D39"/>
      <c r="E39"/>
      <c r="F39"/>
      <c r="G39"/>
      <c r="H39"/>
      <c r="I39"/>
      <c r="J39" s="21"/>
    </row>
    <row r="40" spans="1:20" ht="36" x14ac:dyDescent="0.3">
      <c r="A40"/>
      <c r="B40"/>
      <c r="C40"/>
      <c r="D40" s="80"/>
      <c r="E40" s="80" t="s">
        <v>254</v>
      </c>
      <c r="F40" s="80" t="s">
        <v>255</v>
      </c>
      <c r="G40" s="80" t="s">
        <v>257</v>
      </c>
      <c r="H40" s="80" t="s">
        <v>256</v>
      </c>
      <c r="I40"/>
      <c r="J40"/>
      <c r="K40" s="21"/>
      <c r="Q40" s="1"/>
      <c r="R40" s="52"/>
    </row>
    <row r="41" spans="1:20" x14ac:dyDescent="0.3">
      <c r="A41"/>
      <c r="B41"/>
      <c r="C41"/>
      <c r="D41" s="81" t="s">
        <v>252</v>
      </c>
      <c r="E41" s="82">
        <v>990</v>
      </c>
      <c r="F41" s="82">
        <v>22</v>
      </c>
      <c r="G41" s="82">
        <v>22</v>
      </c>
      <c r="H41" s="83">
        <f>F41/22</f>
        <v>1</v>
      </c>
      <c r="I41"/>
      <c r="J41"/>
      <c r="K41" s="21"/>
      <c r="Q41" s="1"/>
      <c r="R41" s="52"/>
    </row>
    <row r="42" spans="1:20" x14ac:dyDescent="0.3">
      <c r="A42"/>
      <c r="B42"/>
      <c r="C42"/>
      <c r="D42" s="84" t="s">
        <v>253</v>
      </c>
      <c r="E42" s="82">
        <v>29898</v>
      </c>
      <c r="F42" s="82">
        <v>312</v>
      </c>
      <c r="G42" s="82">
        <v>24</v>
      </c>
      <c r="H42" s="83">
        <f>F42/G42</f>
        <v>13</v>
      </c>
      <c r="I42"/>
      <c r="J42"/>
      <c r="K42" s="21"/>
      <c r="Q42" s="1"/>
      <c r="R42" s="52"/>
    </row>
    <row r="43" spans="1:20" x14ac:dyDescent="0.3">
      <c r="A43"/>
      <c r="B43"/>
      <c r="C43"/>
      <c r="D43" s="84" t="s">
        <v>258</v>
      </c>
      <c r="E43" s="85">
        <f>SUM(E41:E42)</f>
        <v>30888</v>
      </c>
      <c r="F43" s="85">
        <f>SUM(F41:F42)</f>
        <v>334</v>
      </c>
      <c r="G43" s="85">
        <f>SUM(G41:G42)</f>
        <v>46</v>
      </c>
      <c r="H43" s="86">
        <f>SUM(H41:H42)</f>
        <v>14</v>
      </c>
      <c r="I43"/>
      <c r="J43" s="21"/>
    </row>
    <row r="44" spans="1:20" x14ac:dyDescent="0.3">
      <c r="A44" s="22"/>
      <c r="B44"/>
      <c r="C44"/>
      <c r="D44"/>
      <c r="E44"/>
      <c r="F44"/>
      <c r="G44"/>
      <c r="H44"/>
      <c r="I44"/>
      <c r="J44" s="21"/>
    </row>
    <row r="45" spans="1:20" x14ac:dyDescent="0.3">
      <c r="A45"/>
      <c r="B45"/>
      <c r="C45"/>
      <c r="D45"/>
      <c r="E45"/>
      <c r="F45"/>
      <c r="G45"/>
      <c r="H45"/>
      <c r="I45" s="50"/>
      <c r="J45" s="21"/>
    </row>
    <row r="46" spans="1:20" x14ac:dyDescent="0.3">
      <c r="A46"/>
      <c r="B46"/>
      <c r="C46"/>
      <c r="D46"/>
      <c r="E46"/>
      <c r="F46"/>
      <c r="G46"/>
      <c r="H46"/>
      <c r="I46" s="49"/>
      <c r="J46" s="21"/>
    </row>
    <row r="47" spans="1:20" x14ac:dyDescent="0.3">
      <c r="A47"/>
      <c r="B47"/>
      <c r="C47"/>
      <c r="D47"/>
      <c r="E47"/>
      <c r="F47"/>
      <c r="G47"/>
      <c r="H47"/>
      <c r="I47" s="49"/>
      <c r="J47" s="21"/>
    </row>
    <row r="48" spans="1:20" x14ac:dyDescent="0.3">
      <c r="I48"/>
    </row>
    <row r="49" spans="9:9" x14ac:dyDescent="0.3">
      <c r="I49"/>
    </row>
    <row r="50" spans="9:9" x14ac:dyDescent="0.3">
      <c r="I50"/>
    </row>
    <row r="51" spans="9:9" x14ac:dyDescent="0.3">
      <c r="I51"/>
    </row>
    <row r="52" spans="9:9" x14ac:dyDescent="0.3">
      <c r="I52"/>
    </row>
    <row r="53" spans="9:9" x14ac:dyDescent="0.3">
      <c r="I53"/>
    </row>
  </sheetData>
  <autoFilter ref="A18:M29" xr:uid="{00000000-0001-0000-0000-000000000000}"/>
  <mergeCells count="2">
    <mergeCell ref="P19:P23"/>
    <mergeCell ref="P24:P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47" t="s">
        <v>184</v>
      </c>
    </row>
    <row r="2" spans="1:8" ht="17.25" thickBot="1" x14ac:dyDescent="0.35"/>
    <row r="3" spans="1:8" ht="17.25" thickBot="1" x14ac:dyDescent="0.35">
      <c r="A3" s="90" t="s">
        <v>28</v>
      </c>
      <c r="B3" s="91"/>
      <c r="D3" s="92" t="s">
        <v>152</v>
      </c>
      <c r="E3" s="93"/>
      <c r="F3" s="93"/>
      <c r="G3" s="93"/>
      <c r="H3" s="94"/>
    </row>
    <row r="4" spans="1:8" ht="17.25" thickBot="1" x14ac:dyDescent="0.35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 x14ac:dyDescent="0.3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 x14ac:dyDescent="0.3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 x14ac:dyDescent="0.3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 x14ac:dyDescent="0.3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 x14ac:dyDescent="0.3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 x14ac:dyDescent="0.3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 x14ac:dyDescent="0.3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 x14ac:dyDescent="0.3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 x14ac:dyDescent="0.3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 x14ac:dyDescent="0.3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 x14ac:dyDescent="0.3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 x14ac:dyDescent="0.3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 x14ac:dyDescent="0.3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 x14ac:dyDescent="0.3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 x14ac:dyDescent="0.3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 x14ac:dyDescent="0.3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 x14ac:dyDescent="0.3">
      <c r="A21" s="29" t="s">
        <v>50</v>
      </c>
      <c r="B21" s="30" t="s">
        <v>90</v>
      </c>
      <c r="D21" s="31" t="str">
        <f t="shared" si="0"/>
        <v/>
      </c>
      <c r="H21" s="32"/>
    </row>
    <row r="22" spans="1:8" x14ac:dyDescent="0.3">
      <c r="A22" s="29" t="s">
        <v>51</v>
      </c>
      <c r="B22" s="30" t="s">
        <v>91</v>
      </c>
      <c r="D22" s="31" t="str">
        <f t="shared" si="0"/>
        <v/>
      </c>
      <c r="H22" s="32"/>
    </row>
    <row r="23" spans="1:8" x14ac:dyDescent="0.3">
      <c r="A23" s="29" t="s">
        <v>52</v>
      </c>
      <c r="B23" s="30" t="s">
        <v>92</v>
      </c>
      <c r="D23" s="31" t="str">
        <f t="shared" si="0"/>
        <v/>
      </c>
      <c r="H23" s="32"/>
    </row>
    <row r="24" spans="1:8" x14ac:dyDescent="0.3">
      <c r="A24" s="29" t="s">
        <v>53</v>
      </c>
      <c r="B24" s="30" t="s">
        <v>93</v>
      </c>
      <c r="D24" s="31" t="str">
        <f t="shared" si="0"/>
        <v/>
      </c>
      <c r="H24" s="32"/>
    </row>
    <row r="25" spans="1:8" x14ac:dyDescent="0.3">
      <c r="A25" s="29" t="s">
        <v>54</v>
      </c>
      <c r="B25" s="30" t="s">
        <v>94</v>
      </c>
      <c r="D25" s="31" t="str">
        <f t="shared" si="0"/>
        <v/>
      </c>
      <c r="H25" s="32"/>
    </row>
    <row r="26" spans="1:8" x14ac:dyDescent="0.3">
      <c r="A26" s="29" t="s">
        <v>55</v>
      </c>
      <c r="B26" s="30" t="s">
        <v>95</v>
      </c>
      <c r="D26" s="31" t="str">
        <f t="shared" si="0"/>
        <v/>
      </c>
      <c r="H26" s="32"/>
    </row>
    <row r="27" spans="1:8" x14ac:dyDescent="0.3">
      <c r="A27" s="29" t="s">
        <v>56</v>
      </c>
      <c r="B27" s="30" t="s">
        <v>96</v>
      </c>
      <c r="D27" s="31" t="str">
        <f t="shared" si="0"/>
        <v/>
      </c>
      <c r="H27" s="32"/>
    </row>
    <row r="28" spans="1:8" x14ac:dyDescent="0.3">
      <c r="A28" s="29" t="s">
        <v>57</v>
      </c>
      <c r="B28" s="30" t="s">
        <v>97</v>
      </c>
      <c r="D28" s="31" t="str">
        <f t="shared" si="0"/>
        <v/>
      </c>
      <c r="H28" s="32"/>
    </row>
    <row r="29" spans="1:8" x14ac:dyDescent="0.3">
      <c r="A29" s="29" t="s">
        <v>58</v>
      </c>
      <c r="B29" s="30" t="s">
        <v>98</v>
      </c>
      <c r="D29" s="31" t="str">
        <f t="shared" si="0"/>
        <v/>
      </c>
      <c r="H29" s="32"/>
    </row>
    <row r="30" spans="1:8" x14ac:dyDescent="0.3">
      <c r="A30" s="29" t="s">
        <v>59</v>
      </c>
      <c r="B30" s="30" t="s">
        <v>99</v>
      </c>
      <c r="D30" s="31" t="str">
        <f t="shared" si="0"/>
        <v/>
      </c>
      <c r="H30" s="32"/>
    </row>
    <row r="31" spans="1:8" x14ac:dyDescent="0.3">
      <c r="A31" s="29" t="s">
        <v>60</v>
      </c>
      <c r="B31" s="30" t="s">
        <v>100</v>
      </c>
      <c r="D31" s="31" t="str">
        <f t="shared" si="0"/>
        <v/>
      </c>
      <c r="H31" s="32"/>
    </row>
    <row r="32" spans="1:8" x14ac:dyDescent="0.3">
      <c r="A32" s="29" t="s">
        <v>61</v>
      </c>
      <c r="B32" s="30" t="s">
        <v>101</v>
      </c>
      <c r="D32" s="31" t="str">
        <f t="shared" si="0"/>
        <v/>
      </c>
      <c r="H32" s="32"/>
    </row>
    <row r="33" spans="1:8" x14ac:dyDescent="0.3">
      <c r="A33" s="29" t="s">
        <v>62</v>
      </c>
      <c r="B33" s="30" t="s">
        <v>102</v>
      </c>
      <c r="D33" s="31" t="str">
        <f t="shared" si="0"/>
        <v/>
      </c>
      <c r="H33" s="32"/>
    </row>
    <row r="34" spans="1:8" x14ac:dyDescent="0.3">
      <c r="A34" s="29" t="s">
        <v>63</v>
      </c>
      <c r="B34" s="30" t="s">
        <v>103</v>
      </c>
      <c r="D34" s="31" t="str">
        <f t="shared" si="0"/>
        <v/>
      </c>
      <c r="H34" s="32"/>
    </row>
    <row r="35" spans="1:8" x14ac:dyDescent="0.3">
      <c r="A35" s="29" t="s">
        <v>64</v>
      </c>
      <c r="B35" s="30" t="s">
        <v>104</v>
      </c>
      <c r="D35" s="31" t="str">
        <f t="shared" si="0"/>
        <v/>
      </c>
      <c r="H35" s="32"/>
    </row>
    <row r="36" spans="1:8" x14ac:dyDescent="0.3">
      <c r="A36" s="29" t="s">
        <v>65</v>
      </c>
      <c r="B36" s="30" t="s">
        <v>105</v>
      </c>
      <c r="D36" s="31" t="str">
        <f t="shared" si="0"/>
        <v/>
      </c>
      <c r="H36" s="32"/>
    </row>
    <row r="37" spans="1:8" x14ac:dyDescent="0.3">
      <c r="A37" s="29" t="s">
        <v>66</v>
      </c>
      <c r="B37" s="30" t="s">
        <v>106</v>
      </c>
      <c r="D37" s="31" t="str">
        <f t="shared" si="0"/>
        <v/>
      </c>
      <c r="H37" s="32"/>
    </row>
    <row r="38" spans="1:8" x14ac:dyDescent="0.3">
      <c r="A38" s="29" t="s">
        <v>67</v>
      </c>
      <c r="B38" s="30" t="s">
        <v>107</v>
      </c>
      <c r="D38" s="31" t="str">
        <f t="shared" si="0"/>
        <v/>
      </c>
      <c r="H38" s="32"/>
    </row>
    <row r="39" spans="1:8" x14ac:dyDescent="0.3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 x14ac:dyDescent="0.35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 x14ac:dyDescent="0.3">
      <c r="A41" s="29" t="s">
        <v>70</v>
      </c>
      <c r="B41" s="30" t="s">
        <v>110</v>
      </c>
    </row>
    <row r="42" spans="1:8" x14ac:dyDescent="0.3">
      <c r="A42" s="29" t="s">
        <v>71</v>
      </c>
      <c r="B42" s="30" t="s">
        <v>111</v>
      </c>
    </row>
    <row r="43" spans="1:8" x14ac:dyDescent="0.3">
      <c r="A43" s="29" t="s">
        <v>72</v>
      </c>
      <c r="B43" s="30" t="s">
        <v>112</v>
      </c>
    </row>
    <row r="44" spans="1:8" x14ac:dyDescent="0.3">
      <c r="A44" s="29" t="s">
        <v>73</v>
      </c>
      <c r="B44" s="30" t="s">
        <v>113</v>
      </c>
    </row>
    <row r="45" spans="1:8" x14ac:dyDescent="0.3">
      <c r="A45" s="29" t="s">
        <v>74</v>
      </c>
      <c r="B45" s="30" t="s">
        <v>114</v>
      </c>
    </row>
    <row r="46" spans="1:8" x14ac:dyDescent="0.3">
      <c r="A46" s="31" t="s">
        <v>186</v>
      </c>
      <c r="B46" s="32" t="s">
        <v>187</v>
      </c>
    </row>
    <row r="47" spans="1:8" x14ac:dyDescent="0.3">
      <c r="A47" s="31"/>
      <c r="B47" s="32"/>
    </row>
    <row r="48" spans="1:8" x14ac:dyDescent="0.3">
      <c r="A48" s="31"/>
      <c r="B48" s="32"/>
    </row>
    <row r="49" spans="1:2" x14ac:dyDescent="0.3">
      <c r="A49" s="31"/>
      <c r="B49" s="32"/>
    </row>
    <row r="50" spans="1:2" x14ac:dyDescent="0.3">
      <c r="A50" s="31"/>
      <c r="B50" s="32"/>
    </row>
    <row r="51" spans="1:2" x14ac:dyDescent="0.3">
      <c r="A51" s="31"/>
      <c r="B51" s="32"/>
    </row>
    <row r="52" spans="1:2" x14ac:dyDescent="0.3">
      <c r="A52" s="31"/>
      <c r="B52" s="32"/>
    </row>
    <row r="53" spans="1:2" x14ac:dyDescent="0.3">
      <c r="A53" s="31"/>
      <c r="B53" s="32"/>
    </row>
    <row r="54" spans="1:2" x14ac:dyDescent="0.3">
      <c r="A54" s="31"/>
      <c r="B54" s="32"/>
    </row>
    <row r="55" spans="1:2" x14ac:dyDescent="0.3">
      <c r="A55" s="31"/>
      <c r="B55" s="32"/>
    </row>
    <row r="56" spans="1:2" x14ac:dyDescent="0.3">
      <c r="A56" s="31"/>
      <c r="B56" s="32"/>
    </row>
    <row r="57" spans="1:2" x14ac:dyDescent="0.3">
      <c r="A57" s="31"/>
      <c r="B57" s="32"/>
    </row>
    <row r="58" spans="1:2" x14ac:dyDescent="0.3">
      <c r="A58" s="31"/>
      <c r="B58" s="32"/>
    </row>
    <row r="59" spans="1:2" x14ac:dyDescent="0.3">
      <c r="A59" s="31"/>
      <c r="B59" s="32"/>
    </row>
    <row r="60" spans="1:2" x14ac:dyDescent="0.3">
      <c r="A60" s="31"/>
      <c r="B60" s="32"/>
    </row>
    <row r="61" spans="1:2" x14ac:dyDescent="0.3">
      <c r="A61" s="31"/>
      <c r="B61" s="32"/>
    </row>
    <row r="62" spans="1:2" x14ac:dyDescent="0.3">
      <c r="A62" s="31"/>
      <c r="B62" s="32"/>
    </row>
    <row r="63" spans="1:2" x14ac:dyDescent="0.3">
      <c r="A63" s="31"/>
      <c r="B63" s="32"/>
    </row>
    <row r="64" spans="1:2" x14ac:dyDescent="0.3">
      <c r="A64" s="31"/>
      <c r="B64" s="32"/>
    </row>
    <row r="65" spans="1:2" x14ac:dyDescent="0.3">
      <c r="A65" s="31"/>
      <c r="B65" s="32"/>
    </row>
    <row r="66" spans="1:2" x14ac:dyDescent="0.3">
      <c r="A66" s="31"/>
      <c r="B66" s="32"/>
    </row>
    <row r="67" spans="1:2" x14ac:dyDescent="0.3">
      <c r="A67" s="31"/>
      <c r="B67" s="32"/>
    </row>
    <row r="68" spans="1:2" x14ac:dyDescent="0.3">
      <c r="A68" s="31"/>
      <c r="B68" s="32"/>
    </row>
    <row r="69" spans="1:2" x14ac:dyDescent="0.3">
      <c r="A69" s="31"/>
      <c r="B69" s="32"/>
    </row>
    <row r="70" spans="1:2" x14ac:dyDescent="0.3">
      <c r="A70" s="31"/>
      <c r="B70" s="32"/>
    </row>
    <row r="71" spans="1:2" x14ac:dyDescent="0.3">
      <c r="A71" s="31"/>
      <c r="B71" s="32"/>
    </row>
    <row r="72" spans="1:2" x14ac:dyDescent="0.3">
      <c r="A72" s="31"/>
      <c r="B72" s="32"/>
    </row>
    <row r="73" spans="1:2" x14ac:dyDescent="0.3">
      <c r="A73" s="31"/>
      <c r="B73" s="32"/>
    </row>
    <row r="74" spans="1:2" x14ac:dyDescent="0.3">
      <c r="A74" s="31"/>
      <c r="B74" s="32"/>
    </row>
    <row r="75" spans="1:2" x14ac:dyDescent="0.3">
      <c r="A75" s="31"/>
      <c r="B75" s="32"/>
    </row>
    <row r="76" spans="1:2" x14ac:dyDescent="0.3">
      <c r="A76" s="31"/>
      <c r="B76" s="32"/>
    </row>
    <row r="77" spans="1:2" x14ac:dyDescent="0.3">
      <c r="A77" s="31"/>
      <c r="B77" s="32"/>
    </row>
    <row r="78" spans="1:2" x14ac:dyDescent="0.3">
      <c r="A78" s="31"/>
      <c r="B78" s="32"/>
    </row>
    <row r="79" spans="1:2" x14ac:dyDescent="0.3">
      <c r="A79" s="31"/>
      <c r="B79" s="32"/>
    </row>
    <row r="80" spans="1:2" x14ac:dyDescent="0.3">
      <c r="A80" s="31"/>
      <c r="B80" s="32"/>
    </row>
    <row r="81" spans="1:2" x14ac:dyDescent="0.3">
      <c r="A81" s="31"/>
      <c r="B81" s="32"/>
    </row>
    <row r="82" spans="1:2" x14ac:dyDescent="0.3">
      <c r="A82" s="31"/>
      <c r="B82" s="32"/>
    </row>
    <row r="83" spans="1:2" x14ac:dyDescent="0.3">
      <c r="A83" s="31"/>
      <c r="B83" s="32"/>
    </row>
    <row r="84" spans="1:2" x14ac:dyDescent="0.3">
      <c r="A84" s="31"/>
      <c r="B84" s="32"/>
    </row>
    <row r="85" spans="1:2" x14ac:dyDescent="0.3">
      <c r="A85" s="31"/>
      <c r="B85" s="32"/>
    </row>
    <row r="86" spans="1:2" x14ac:dyDescent="0.3">
      <c r="A86" s="31"/>
      <c r="B86" s="32"/>
    </row>
    <row r="87" spans="1:2" x14ac:dyDescent="0.3">
      <c r="A87" s="31"/>
      <c r="B87" s="32"/>
    </row>
    <row r="88" spans="1:2" x14ac:dyDescent="0.3">
      <c r="A88" s="31"/>
      <c r="B88" s="32"/>
    </row>
    <row r="89" spans="1:2" x14ac:dyDescent="0.3">
      <c r="A89" s="31"/>
      <c r="B89" s="32"/>
    </row>
    <row r="90" spans="1:2" x14ac:dyDescent="0.3">
      <c r="A90" s="31"/>
      <c r="B90" s="32"/>
    </row>
    <row r="91" spans="1:2" x14ac:dyDescent="0.3">
      <c r="A91" s="31"/>
      <c r="B91" s="32"/>
    </row>
    <row r="92" spans="1:2" x14ac:dyDescent="0.3">
      <c r="A92" s="31"/>
      <c r="B92" s="32"/>
    </row>
    <row r="93" spans="1:2" x14ac:dyDescent="0.3">
      <c r="A93" s="31"/>
      <c r="B93" s="32"/>
    </row>
    <row r="94" spans="1:2" x14ac:dyDescent="0.3">
      <c r="A94" s="31"/>
      <c r="B94" s="32"/>
    </row>
    <row r="95" spans="1:2" x14ac:dyDescent="0.3">
      <c r="A95" s="31"/>
      <c r="B95" s="32"/>
    </row>
    <row r="96" spans="1:2" x14ac:dyDescent="0.3">
      <c r="A96" s="31"/>
      <c r="B96" s="32"/>
    </row>
    <row r="97" spans="1:2" x14ac:dyDescent="0.3">
      <c r="A97" s="31"/>
      <c r="B97" s="32"/>
    </row>
    <row r="98" spans="1:2" x14ac:dyDescent="0.3">
      <c r="A98" s="31"/>
      <c r="B98" s="32"/>
    </row>
    <row r="99" spans="1:2" x14ac:dyDescent="0.3">
      <c r="A99" s="31"/>
      <c r="B99" s="32"/>
    </row>
    <row r="100" spans="1:2" x14ac:dyDescent="0.3">
      <c r="A100" s="31"/>
      <c r="B100" s="32"/>
    </row>
    <row r="101" spans="1:2" x14ac:dyDescent="0.3">
      <c r="A101" s="31"/>
      <c r="B101" s="32"/>
    </row>
    <row r="102" spans="1:2" x14ac:dyDescent="0.3">
      <c r="A102" s="31"/>
      <c r="B102" s="32"/>
    </row>
    <row r="103" spans="1:2" x14ac:dyDescent="0.3">
      <c r="A103" s="31"/>
      <c r="B103" s="32"/>
    </row>
    <row r="104" spans="1:2" ht="17.25" thickBot="1" x14ac:dyDescent="0.35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2025-07-10T08:56:21Z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
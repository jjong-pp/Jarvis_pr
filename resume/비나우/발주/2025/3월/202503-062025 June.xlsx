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3월\"/>
    </mc:Choice>
  </mc:AlternateContent>
  <xr:revisionPtr revIDLastSave="0" documentId="13_ncr:1_{53FCC739-FD72-4DC0-9AC8-AD3DDCC134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K24" i="1" l="1"/>
  <c r="J19" i="1"/>
  <c r="J23" i="1" l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F21" i="1"/>
  <c r="F20" i="1"/>
  <c r="F24" i="1"/>
  <c r="F23" i="1"/>
  <c r="E23" i="1"/>
  <c r="F22" i="1"/>
  <c r="E22" i="1"/>
  <c r="M19" i="1" l="1"/>
  <c r="J22" i="1"/>
  <c r="M22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<sst xmlns="http://schemas.openxmlformats.org/spreadsheetml/2006/main" count="231" uniqueCount="207">
  <si>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</si>
  <si>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</si>
  <si>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</si>
  <si>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</si>
  <si>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</si>
  <si>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</si>
  <si>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</si>
  <si>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</si>
  <si>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</si>
  <si>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</si>
  <si>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</si>
  <si>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</si>
  <si>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</si>
  <si>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</si>
  <si>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</si>
  <si>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</si>
  <si>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</si>
  <si>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</si>
  <si>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</si>
  <si>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</si>
  <si>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</si>
  <si>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</si>
  <si>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</si>
  <si>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</si>
  <si>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</si>
  <si>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</si>
  <si>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</si>
  <si>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</si>
  <si>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</si>
  <si>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</si>
  <si>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</si>
  <si>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</si>
  <si>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</si>
  <si>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</si>
  <si>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</si>
  <si>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</si>
  <si>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</si>
  <si>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</si>
  <si>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</si>
  <si>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</si>
  <si>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</si>
  <si>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</si>
  <si>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</si>
  <si>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</si>
  <si>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</si>
  <si>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</si>
  <si>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</si>
  <si>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</si>
  <si>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</si>
  <si>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</si>
  <si>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</si>
  <si>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</si>
  <si>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</si>
  <si>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</si>
  <si>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</si>
  <si>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</si>
  <si>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</si>
  <si>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</si>
  <si>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</si>
  <si>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</si>
  <si>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</si>
  <si>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</si>
  <si>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</si>
  <si>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</si>
  <si>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</si>
  <si>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</si>
  <si>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</si>
  <si>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</si>
  <si>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</si>
  <si>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</si>
  <si>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</si>
  <si>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</si>
  <si>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</si>
  <si>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</si>
  <si>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</si>
  <si>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</si>
  <si>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</si>
  <si>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</si>
  <si>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</si>
  <si>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</si>
  <si>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</si>
  <si>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</si>
  <si>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</si>
  <si>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</si>
  <si>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</si>
  <si>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</si>
  <si>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</si>
  <si>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</si>
  <si>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</si>
  <si>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</si>
  <si>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</si>
  <si>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</si>
  <si>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</si>
  <si>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</si>
  <si>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</si>
  <si>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</si>
  <si>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</si>
  <si>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</si>
  <si>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</si>
  <si>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</si>
  <si>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</si>
  <si>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</si>
  <si>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</si>
  <si>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</si>
  <si>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</si>
  <si>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</si>
  <si>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</si>
  <si>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</si>
  <si>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</si>
  <si>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</si>
  <si>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</si>
  <si>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</si>
  <si>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</si>
  <si>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</si>
  <si>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</si>
  <si>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</si>
  <si>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</si>
  <si>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</si>
  <si>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</si>
  <si>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</si>
  <si>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</si>
  <si>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</si>
  <si>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</si>
  <si>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</si>
  <si>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</si>
  <si>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</si>
  <si>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</si>
  <si>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</si>
  <si>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</si>
  <si>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</si>
  <si>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</si>
  <si>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</si>
  <si>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</si>
  <si>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</si>
  <si>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</si>
  <si>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</si>
  <si>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</si>
  <si>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</si>
  <si>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</si>
  <si>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</si>
  <si>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</si>
  <si>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</si>
  <si>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</si>
  <si>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</si>
  <si>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</si>
  <si>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</si>
  <si>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</si>
  <si>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</si>
  <si>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</si>
  <si>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</si>
  <si>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</si>
  <si>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</si>
  <si>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</si>
  <si>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</si>
  <si>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</si>
  <si>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</si>
  <si>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</si>
  <si>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</si>
  <si>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</si>
  <si>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</si>
  <si>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</si>
  <si>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</si>
  <si>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</si>
  <si>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</si>
  <si>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</si>
  <si>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</si>
  <si>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</si>
  <si>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</si>
  <si>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</si>
  <si>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</si>
  <si>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</si>
  <si>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</si>
  <si>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</si>
  <si>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</si>
  <si>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</si>
  <si>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</si>
  <si>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</si>
  <si>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</si>
  <si>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</si>
  <si>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</si>
  <si>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</si>
  <si>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</si>
  <si>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</si>
  <si>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</si>
  <si>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</si>
  <si>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</si>
  <si>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</si>
  <si>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</si>
  <si>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</si>
  <si>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</si>
  <si>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</si>
  <si>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</si>
  <si>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</si>
  <si>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</si>
  <si>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</si>
  <si>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</si>
  <si>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</si>
  <si>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</si>
  <si>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</si>
  <si>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</si>
  <si>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</si>
  <si>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</si>
  <si>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</si>
  <si>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</si>
  <si>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</si>
  <si>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June</t>
  </si>
  <si>
    <t>W/H/06/2025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</si>
</sst>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3" fontId="23" fillId="0" borderId="0" xfId="0" applyNumberFormat="1" applyFo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27</v>
      </c>
    </row>
    <row r="6" spans="1:3">
      <c r="A6" s="2" t="s">
        <v>203</v>
      </c>
      <c r="B6" s="58">
        <v>6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20</v>
      </c>
      <c r="I19" s="27">
        <f>H19*G19</f>
        <v>2880</v>
      </c>
      <c r="J19" s="59">
        <f t="shared" ref="J19" si="0">IF(G19="","",K19/G19)</f>
        <v>11</v>
      </c>
      <c r="K19" s="52">
        <v>1584</v>
      </c>
      <c r="L19" s="11"/>
      <c r="M19" s="1">
        <f t="shared" ref="M19:M21" si="1">K19*24</f>
        <v>38016</v>
      </c>
      <c r="N19" s="62"/>
      <c r="O19" s="60"/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24</v>
      </c>
      <c r="I20" s="27">
        <f t="shared" ref="I20:I23" si="2">H20*G20</f>
        <v>3456</v>
      </c>
      <c r="J20" s="59">
        <f t="shared" ref="J20" si="3">IF(G20="","",K20/G20)</f>
        <v>11</v>
      </c>
      <c r="K20" s="52">
        <v>1584</v>
      </c>
      <c r="L20" s="13"/>
      <c r="M20" s="1">
        <f t="shared" si="1"/>
        <v>38016</v>
      </c>
      <c r="N20" s="57"/>
      <c r="O20" s="60"/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4">IF(G21="","",K21/G21)</f>
        <v>0</v>
      </c>
      <c r="K21" s="52">
        <v>0</v>
      </c>
      <c r="M21" s="1">
        <f t="shared" si="1"/>
        <v>0</v>
      </c>
      <c r="N21" s="57"/>
      <c r="O21" s="60"/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24</v>
      </c>
      <c r="K22" s="52">
        <v>2304</v>
      </c>
      <c r="M22" s="1">
        <f t="shared" ref="M22:M26" si="5">K22*7</f>
        <v>16128</v>
      </c>
      <c r="N22" s="57"/>
      <c r="O22" s="60"/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18</v>
      </c>
      <c r="I23" s="27">
        <f t="shared" si="2"/>
        <v>1728</v>
      </c>
      <c r="J23" s="59">
        <f t="shared" si="4"/>
        <v>0</v>
      </c>
      <c r="K23" s="52">
        <v>0</v>
      </c>
      <c r="M23" s="1">
        <f t="shared" si="5"/>
        <v>0</v>
      </c>
      <c r="N23" s="57"/>
      <c r="O23" s="60"/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6</v>
      </c>
      <c r="I24" s="27">
        <f>H24*G24</f>
        <v>576</v>
      </c>
      <c r="J24" s="59">
        <f t="shared" si="4"/>
        <v>0</v>
      </c>
      <c r="K24" s="52">
        <f t="shared" ref="K24" si="6">N24/4</f>
        <v>0</v>
      </c>
      <c r="L24"/>
      <c r="M24" s="1">
        <f t="shared" si="5"/>
        <v>0</v>
      </c>
      <c r="N24" s="57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7">H25*G25</f>
        <v>0</v>
      </c>
      <c r="J25" s="52">
        <f t="shared" si="4"/>
        <v>0</v>
      </c>
      <c r="K25" s="52"/>
      <c r="M25" s="1">
        <f t="shared" ref="M25" si="8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7"/>
        <v>0</v>
      </c>
      <c r="J26" s="52">
        <f t="shared" ref="J26" si="9">IF(G26="","",K26/G26)</f>
        <v>0</v>
      </c>
      <c r="K26" s="52"/>
      <c r="L26" s="14"/>
      <c r="M26" s="14">
        <f t="shared" si="5"/>
        <v>0</v>
      </c>
      <c r="O26" s="61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7"/>
        <v>0</v>
      </c>
      <c r="J27" s="52">
        <f t="shared" ref="J27:J28" si="10">IF(G27="","",K27/G27)</f>
        <v>0</v>
      </c>
      <c r="K27" s="52"/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7"/>
        <v>0</v>
      </c>
      <c r="J28" s="52">
        <f t="shared" si="10"/>
        <v>0</v>
      </c>
      <c r="K28" s="52"/>
      <c r="L28" s="11"/>
      <c r="M28" s="1">
        <f t="shared" ref="M28:M31" si="11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7"/>
        <v>0</v>
      </c>
      <c r="J29" s="52">
        <f t="shared" ref="J29:J32" si="12">IF(G29="","",K29/G29)</f>
        <v>0</v>
      </c>
      <c r="K29" s="52"/>
      <c r="L29" s="13"/>
      <c r="M29" s="1">
        <f t="shared" si="11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7"/>
        <v>0</v>
      </c>
      <c r="J30" s="52">
        <f t="shared" si="12"/>
        <v>0</v>
      </c>
      <c r="K30" s="52">
        <v>0</v>
      </c>
      <c r="M30" s="1">
        <f t="shared" si="11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7"/>
        <v>0</v>
      </c>
      <c r="J31" s="52">
        <f t="shared" si="12"/>
        <v>0</v>
      </c>
      <c r="K31" s="52">
        <v>0</v>
      </c>
      <c r="M31" s="1">
        <f t="shared" si="11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7"/>
        <v>0</v>
      </c>
      <c r="J32" s="52">
        <f t="shared" si="12"/>
        <v>0</v>
      </c>
      <c r="K32" s="52">
        <v>0</v>
      </c>
      <c r="M32" s="1">
        <f t="shared" ref="M32" si="13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3" t="s">
        <v>28</v>
      </c>
      <c r="B3" s="64"/>
      <c r="D3" s="65" t="s">
        <v>152</v>
      </c>
      <c r="E3" s="66"/>
      <c r="F3" s="66"/>
      <c r="G3" s="66"/>
      <c r="H3" s="6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2025-04-01T00:31:23Z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
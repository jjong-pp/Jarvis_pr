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4월\"/>
    </mc:Choice>
  </mc:AlternateContent>
  <xr:revisionPtr revIDLastSave="0" documentId="13_ncr:1_{01AF68BF-C12D-43BF-A807-24404EA061B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J33" i="1" l="1"/>
  <c r="J32" i="1"/>
  <c r="J31" i="1"/>
  <c r="J30" i="1"/>
  <c r="I33" i="1"/>
  <c r="I32" i="1"/>
  <c r="F33" i="1"/>
  <c r="E33" i="1"/>
  <c r="F32" i="1"/>
  <c r="E32" i="1"/>
  <c r="I31" i="1"/>
  <c r="I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<sst xmlns="http://schemas.openxmlformats.org/spreadsheetml/2006/main" count="273" uniqueCount="250">
  <si>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</si>
  <si>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</si>
  <si>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</si>
  <si>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</si>
  <si>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</si>
  <si>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</si>
  <si>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</si>
  <si>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</si>
  <si>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</si>
  <si>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</si>
  <si>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</si>
  <si>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</si>
  <si>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</si>
  <si>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</si>
  <si>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</si>
  <si>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</si>
  <si>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</si>
  <si>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</si>
  <si>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</si>
  <si>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</si>
  <si>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</si>
  <si>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</si>
  <si>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</si>
  <si>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</si>
  <si>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</si>
  <si>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</si>
  <si>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</si>
  <si>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</si>
  <si>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</si>
  <si>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</si>
  <si>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</si>
  <si>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</si>
  <si>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</si>
  <si>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</si>
  <si>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</si>
  <si>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</si>
  <si>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</si>
  <si>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</si>
  <si>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</si>
  <si>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</si>
  <si>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</si>
  <si>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</si>
  <si>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</si>
  <si>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</si>
  <si>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</si>
  <si>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</si>
  <si>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</si>
  <si>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</si>
  <si>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</si>
  <si>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</si>
  <si>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</si>
  <si>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</si>
  <si>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</si>
  <si>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</si>
  <si>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</si>
  <si>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</si>
  <si>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</si>
  <si>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</si>
  <si>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</si>
  <si>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</si>
  <si>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</si>
  <si>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</si>
  <si>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</si>
  <si>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</si>
  <si>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</si>
  <si>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</si>
  <si>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</si>
  <si>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</si>
  <si>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</si>
  <si>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</si>
  <si>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</si>
  <si>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</si>
  <si>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</si>
  <si>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</si>
  <si>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</si>
  <si>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</si>
  <si>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</si>
  <si>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</si>
  <si>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</si>
  <si>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</si>
  <si>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</si>
  <si>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</si>
  <si>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</si>
  <si>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</si>
  <si>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</si>
  <si>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</si>
  <si>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</si>
  <si>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</si>
  <si>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</si>
  <si>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</si>
  <si>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</si>
  <si>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</si>
  <si>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</si>
  <si>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</si>
  <si>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</si>
  <si>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</si>
  <si>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</si>
  <si>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</si>
  <si>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</si>
  <si>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</si>
  <si>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</si>
  <si>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</si>
  <si>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</si>
  <si>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</si>
  <si>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</si>
  <si>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</si>
  <si>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</si>
  <si>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</si>
  <si>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</si>
  <si>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</si>
  <si>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</si>
  <si>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</si>
  <si>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</si>
  <si>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</si>
  <si>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</si>
  <si>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</si>
  <si>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</si>
  <si>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</si>
  <si>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</si>
  <si>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</si>
  <si>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</si>
  <si>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</si>
  <si>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</si>
  <si>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</si>
  <si>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</si>
  <si>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</si>
  <si>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</si>
  <si>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</si>
  <si>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</si>
  <si>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</si>
  <si>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</si>
  <si>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</si>
  <si>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</si>
  <si>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</si>
  <si>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</si>
  <si>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</si>
  <si>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</si>
  <si>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</si>
  <si>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</si>
  <si>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</si>
  <si>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</si>
  <si>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</si>
  <si>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</si>
  <si>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</si>
  <si>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</si>
  <si>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</si>
  <si>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</si>
  <si>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</si>
  <si>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</si>
  <si>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</si>
  <si>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</si>
  <si>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</si>
  <si>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</si>
  <si>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</si>
  <si>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</si>
  <si>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</si>
  <si>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</si>
  <si>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</si>
  <si>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</si>
  <si>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</si>
  <si>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</si>
  <si>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</si>
  <si>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</si>
  <si>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</si>
  <si>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</si>
  <si>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</si>
  <si>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</si>
  <si>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</si>
  <si>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</si>
  <si>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</si>
  <si>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</si>
  <si>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</si>
  <si>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</si>
  <si>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</si>
  <si>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</si>
  <si>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</si>
  <si>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</si>
  <si>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</si>
  <si>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</si>
  <si>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</si>
  <si>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</si>
  <si>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</si>
  <si>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</si>
  <si>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</si>
  <si>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</si>
  <si>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</si>
  <si>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</si>
  <si>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</si>
  <si>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</si>
  <si>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</si>
  <si>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</si>
  <si>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</si>
  <si>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</si>
  <si>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</si>
  <si>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</si>
  <si>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</si>
  <si>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</si>
  <si>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</si>
  <si>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</si>
  <si>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</si>
  <si>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</si>
  <si>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</si>
  <si>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</si>
  <si>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</si>
  <si>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</si>
  <si>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</si>
  <si>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</si>
  <si>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</si>
  <si>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</si>
  <si>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</si>
  <si>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</si>
  <si>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</si>
  <si>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</si>
  <si>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</si>
  <si>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</si>
  <si>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</si>
  <si>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</si>
  <si>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</si>
  <si>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</si>
  <si>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</si>
  <si>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</si>
  <si>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</si>
  <si>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</si>
  <si>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</si>
  <si>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</si>
  <si>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</si>
  <si>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</si>
  <si>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</si>
  <si>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</si>
  <si>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</si>
  <si>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</si>
  <si>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</si>
  <si>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</si>
  <si>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</si>
  <si>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</si>
  <si>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</si>
  <si>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</si>
  <si>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</si>
  <si>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</si>
  <si>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</si>
  <si>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</si>
  <si>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</si>
  <si>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</si>
  <si>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</si>
  <si>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</si>
  <si>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</si>
  <si>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</si>
  <si>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</si>
  <si>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July</t>
  </si>
  <si>
    <t>W/F/07/2025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</si>
</sst>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zoomScale="90" zoomScaleNormal="9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73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25</v>
      </c>
    </row>
    <row r="6" spans="1:3">
      <c r="A6" s="2" t="s">
        <v>241</v>
      </c>
      <c r="B6" s="53">
        <v>7</v>
      </c>
    </row>
    <row r="7" spans="1:3">
      <c r="A7" s="2" t="s">
        <v>242</v>
      </c>
      <c r="B7" s="53">
        <v>2025</v>
      </c>
    </row>
    <row r="8" spans="1:3">
      <c r="A8" s="2" t="s">
        <v>1</v>
      </c>
      <c r="B8" s="16" t="s">
        <v>248</v>
      </c>
      <c r="C8" s="9"/>
    </row>
    <row r="9" spans="1:3">
      <c r="A9" s="2" t="s">
        <v>2</v>
      </c>
      <c r="B9" s="18" t="s">
        <v>249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O18" s="63" t="s">
        <v>195</v>
      </c>
      <c r="P18" s="64" t="s">
        <v>196</v>
      </c>
      <c r="Q18" s="64" t="s">
        <v>197</v>
      </c>
      <c r="R18" s="64" t="s">
        <v>198</v>
      </c>
      <c r="S18" s="64" t="s">
        <v>199</v>
      </c>
    </row>
    <row r="19" spans="1:19" ht="17.25" thickBot="1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1">
        <v>96</v>
      </c>
      <c r="H19" s="25">
        <v>46</v>
      </c>
      <c r="I19" s="25">
        <f>H19*G19</f>
        <v>4416</v>
      </c>
      <c r="J19" s="75">
        <f t="shared" ref="J19:J25" si="0">IF(G19="","",K19/G19)</f>
        <v>0</v>
      </c>
      <c r="K19" s="48">
        <v>0</v>
      </c>
      <c r="L19" s="11"/>
      <c r="M19" s="1">
        <f t="shared" ref="M19:M21" si="1">K19*24</f>
        <v>0</v>
      </c>
      <c r="O19" s="77" t="s">
        <v>200</v>
      </c>
      <c r="P19" s="65" t="s">
        <v>201</v>
      </c>
      <c r="Q19" s="66" t="s">
        <v>202</v>
      </c>
      <c r="R19" s="66" t="s">
        <v>203</v>
      </c>
      <c r="S19" s="74" t="s">
        <v>204</v>
      </c>
    </row>
    <row r="20" spans="1:19" ht="17.25" thickBot="1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1">
        <v>96</v>
      </c>
      <c r="H20" s="25">
        <v>43</v>
      </c>
      <c r="I20" s="25">
        <f t="shared" ref="I20:I25" si="2">H20*G20</f>
        <v>4128</v>
      </c>
      <c r="J20" s="75">
        <f t="shared" si="0"/>
        <v>48</v>
      </c>
      <c r="K20" s="48">
        <v>4608</v>
      </c>
      <c r="L20" s="13"/>
      <c r="M20" s="1">
        <f t="shared" si="1"/>
        <v>110592</v>
      </c>
      <c r="O20" s="78"/>
      <c r="P20" s="65" t="s">
        <v>205</v>
      </c>
      <c r="Q20" s="66" t="s">
        <v>206</v>
      </c>
      <c r="R20" s="66" t="s">
        <v>207</v>
      </c>
      <c r="S20" s="74" t="s">
        <v>208</v>
      </c>
    </row>
    <row r="21" spans="1:19" ht="17.25" thickBot="1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1">
        <v>96</v>
      </c>
      <c r="H21" s="25">
        <v>55</v>
      </c>
      <c r="I21" s="25">
        <f t="shared" si="2"/>
        <v>5280</v>
      </c>
      <c r="J21" s="75">
        <f t="shared" si="0"/>
        <v>26</v>
      </c>
      <c r="K21" s="48">
        <v>2496</v>
      </c>
      <c r="M21" s="1">
        <f t="shared" si="1"/>
        <v>59904</v>
      </c>
      <c r="O21" s="78"/>
      <c r="P21" s="65" t="s">
        <v>209</v>
      </c>
      <c r="Q21" s="66" t="s">
        <v>210</v>
      </c>
      <c r="R21" s="66" t="s">
        <v>211</v>
      </c>
      <c r="S21" s="74" t="s">
        <v>212</v>
      </c>
    </row>
    <row r="22" spans="1:19" ht="17.25" thickBot="1">
      <c r="A22" s="55">
        <v>673676</v>
      </c>
      <c r="B22" s="55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1">
        <v>45</v>
      </c>
      <c r="H22" s="25"/>
      <c r="I22" s="25">
        <f t="shared" si="2"/>
        <v>0</v>
      </c>
      <c r="J22" s="75">
        <f t="shared" si="0"/>
        <v>0</v>
      </c>
      <c r="K22" s="48">
        <v>0</v>
      </c>
      <c r="M22" s="1">
        <f t="shared" ref="M22:M24" si="3">K22*7</f>
        <v>0</v>
      </c>
      <c r="O22" s="78"/>
      <c r="P22" s="65" t="s">
        <v>213</v>
      </c>
      <c r="Q22" s="66" t="s">
        <v>214</v>
      </c>
      <c r="R22" s="66" t="s">
        <v>215</v>
      </c>
      <c r="S22" s="74" t="s">
        <v>216</v>
      </c>
    </row>
    <row r="23" spans="1:19" ht="17.25" thickBot="1">
      <c r="A23" s="55">
        <v>673674</v>
      </c>
      <c r="B23" s="55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1">
        <v>45</v>
      </c>
      <c r="H23" s="25"/>
      <c r="I23" s="25">
        <f t="shared" si="2"/>
        <v>0</v>
      </c>
      <c r="J23" s="75">
        <f t="shared" si="0"/>
        <v>0</v>
      </c>
      <c r="K23" s="48">
        <v>0</v>
      </c>
      <c r="M23" s="1">
        <f t="shared" si="3"/>
        <v>0</v>
      </c>
      <c r="O23" s="79"/>
      <c r="P23" s="65" t="s">
        <v>217</v>
      </c>
      <c r="Q23" s="66" t="s">
        <v>218</v>
      </c>
      <c r="R23" s="66" t="s">
        <v>219</v>
      </c>
      <c r="S23" s="74" t="s">
        <v>220</v>
      </c>
    </row>
    <row r="24" spans="1:19" ht="17.25" thickBot="1">
      <c r="A24" s="58">
        <v>673672</v>
      </c>
      <c r="B24" s="58" t="s">
        <v>193</v>
      </c>
      <c r="C24" s="59">
        <v>800</v>
      </c>
      <c r="D24" s="59" t="s">
        <v>169</v>
      </c>
      <c r="E24" s="60" t="str">
        <f>VLOOKUP($D24,'[1]Lookup info'!$D:$H,2,FALSE)</f>
        <v>0023</v>
      </c>
      <c r="F24" s="60" t="str">
        <f>VLOOKUP($D24,'[1]Lookup info'!$D:$H,5,FALSE)</f>
        <v>W</v>
      </c>
      <c r="G24" s="61">
        <v>45</v>
      </c>
      <c r="H24" s="25"/>
      <c r="I24" s="25">
        <f t="shared" si="2"/>
        <v>0</v>
      </c>
      <c r="J24" s="75">
        <f t="shared" si="0"/>
        <v>0</v>
      </c>
      <c r="K24" s="48">
        <v>0</v>
      </c>
      <c r="L24"/>
      <c r="M24" s="1">
        <f t="shared" si="3"/>
        <v>0</v>
      </c>
      <c r="O24" s="77" t="s">
        <v>221</v>
      </c>
      <c r="P24" s="67" t="s">
        <v>222</v>
      </c>
      <c r="Q24" s="66" t="s">
        <v>234</v>
      </c>
      <c r="R24" s="66" t="s">
        <v>235</v>
      </c>
      <c r="S24" s="66" t="s">
        <v>220</v>
      </c>
    </row>
    <row r="25" spans="1:19" ht="17.25" thickBot="1">
      <c r="A25" s="58">
        <v>673641</v>
      </c>
      <c r="B25" s="58" t="s">
        <v>194</v>
      </c>
      <c r="C25" s="59">
        <v>800</v>
      </c>
      <c r="D25" s="59" t="s">
        <v>169</v>
      </c>
      <c r="E25" s="60" t="str">
        <f>VLOOKUP($D25,'[1]Lookup info'!$D:$H,2,FALSE)</f>
        <v>0023</v>
      </c>
      <c r="F25" s="60" t="str">
        <f>VLOOKUP($D25,'[1]Lookup info'!$D:$H,5,FALSE)</f>
        <v>W</v>
      </c>
      <c r="G25" s="61">
        <v>45</v>
      </c>
      <c r="H25" s="25"/>
      <c r="I25" s="25">
        <f t="shared" si="2"/>
        <v>0</v>
      </c>
      <c r="J25" s="75">
        <f t="shared" si="0"/>
        <v>0</v>
      </c>
      <c r="K25" s="48">
        <v>0</v>
      </c>
      <c r="L25"/>
      <c r="O25" s="78"/>
      <c r="P25" s="67" t="s">
        <v>223</v>
      </c>
      <c r="Q25" s="66" t="s">
        <v>234</v>
      </c>
      <c r="R25" s="66" t="s">
        <v>235</v>
      </c>
      <c r="S25" s="66" t="s">
        <v>220</v>
      </c>
    </row>
    <row r="26" spans="1:19" ht="17.25" thickBot="1">
      <c r="A26" s="69">
        <v>698408</v>
      </c>
      <c r="B26" s="69" t="s">
        <v>236</v>
      </c>
      <c r="C26" s="70">
        <v>800</v>
      </c>
      <c r="D26" s="70" t="s">
        <v>173</v>
      </c>
      <c r="E26" s="71" t="str">
        <f>VLOOKUP($D26,'Lookup info'!$D:$H,2,FALSE)</f>
        <v>0120</v>
      </c>
      <c r="F26" s="71" t="str">
        <f>VLOOKUP($D26,'Lookup info'!$D:$H,5,FALSE)</f>
        <v>F</v>
      </c>
      <c r="G26" s="72">
        <v>96</v>
      </c>
      <c r="H26" s="54">
        <v>4</v>
      </c>
      <c r="I26" s="54">
        <f t="shared" ref="I26:I33" si="4">H26*G26</f>
        <v>384</v>
      </c>
      <c r="J26" s="75">
        <f t="shared" ref="J26:J33" si="5">IF(G26="","",K26/G26)</f>
        <v>1</v>
      </c>
      <c r="K26" s="48">
        <v>96</v>
      </c>
      <c r="L26"/>
      <c r="O26" s="78"/>
      <c r="P26" s="67" t="s">
        <v>224</v>
      </c>
      <c r="Q26" s="66" t="s">
        <v>225</v>
      </c>
      <c r="R26" s="66" t="s">
        <v>226</v>
      </c>
      <c r="S26" s="66" t="s">
        <v>227</v>
      </c>
    </row>
    <row r="27" spans="1:19" ht="17.25" thickBot="1">
      <c r="A27" s="69">
        <v>698409</v>
      </c>
      <c r="B27" s="69" t="s">
        <v>237</v>
      </c>
      <c r="C27" s="70">
        <v>800</v>
      </c>
      <c r="D27" s="70" t="s">
        <v>173</v>
      </c>
      <c r="E27" s="71" t="str">
        <f>VLOOKUP($D27,'Lookup info'!$D:$H,2,FALSE)</f>
        <v>0120</v>
      </c>
      <c r="F27" s="71" t="str">
        <f>VLOOKUP($D27,'Lookup info'!$D:$H,5,FALSE)</f>
        <v>F</v>
      </c>
      <c r="G27" s="72">
        <v>96</v>
      </c>
      <c r="H27" s="54"/>
      <c r="I27" s="54">
        <f t="shared" si="4"/>
        <v>0</v>
      </c>
      <c r="J27" s="75">
        <f t="shared" si="5"/>
        <v>0</v>
      </c>
      <c r="K27" s="48">
        <v>0</v>
      </c>
      <c r="L27"/>
      <c r="O27" s="79"/>
      <c r="P27" s="67" t="s">
        <v>217</v>
      </c>
      <c r="Q27" s="66" t="s">
        <v>228</v>
      </c>
      <c r="R27" s="66" t="s">
        <v>229</v>
      </c>
      <c r="S27" s="66" t="s">
        <v>230</v>
      </c>
    </row>
    <row r="28" spans="1:19" ht="17.25" thickBot="1">
      <c r="A28" s="69">
        <v>653156</v>
      </c>
      <c r="B28" s="69" t="s">
        <v>238</v>
      </c>
      <c r="C28" s="70">
        <v>400</v>
      </c>
      <c r="D28" s="70" t="s">
        <v>168</v>
      </c>
      <c r="E28" s="71" t="str">
        <f>VLOOKUP($D28,'Lookup info'!$D:$H,2,FALSE)</f>
        <v>0002</v>
      </c>
      <c r="F28" s="71" t="str">
        <f>VLOOKUP($D28,'Lookup info'!$D:$H,5,FALSE)</f>
        <v>C</v>
      </c>
      <c r="G28" s="72">
        <v>42</v>
      </c>
      <c r="H28" s="54">
        <v>1</v>
      </c>
      <c r="I28" s="54">
        <f t="shared" si="4"/>
        <v>42</v>
      </c>
      <c r="J28" s="75">
        <f t="shared" si="5"/>
        <v>0</v>
      </c>
      <c r="K28" s="48">
        <v>0</v>
      </c>
      <c r="L28"/>
      <c r="O28" s="62"/>
      <c r="P28" s="62"/>
      <c r="Q28" s="68" t="s">
        <v>231</v>
      </c>
      <c r="R28" s="66" t="s">
        <v>232</v>
      </c>
      <c r="S28" s="66" t="s">
        <v>233</v>
      </c>
    </row>
    <row r="29" spans="1:19">
      <c r="A29" s="69">
        <v>653299</v>
      </c>
      <c r="B29" s="69" t="s">
        <v>239</v>
      </c>
      <c r="C29" s="70">
        <v>400</v>
      </c>
      <c r="D29" s="70" t="s">
        <v>168</v>
      </c>
      <c r="E29" s="71" t="str">
        <f>VLOOKUP($D29,'Lookup info'!$D:$H,2,FALSE)</f>
        <v>0002</v>
      </c>
      <c r="F29" s="71" t="str">
        <f>VLOOKUP($D29,'Lookup info'!$D:$H,5,FALSE)</f>
        <v>C</v>
      </c>
      <c r="G29" s="72">
        <v>42</v>
      </c>
      <c r="H29" s="54"/>
      <c r="I29" s="54">
        <f t="shared" si="4"/>
        <v>0</v>
      </c>
      <c r="J29" s="75">
        <f t="shared" si="5"/>
        <v>0</v>
      </c>
      <c r="K29" s="48">
        <v>0</v>
      </c>
      <c r="L29"/>
      <c r="O29" s="62"/>
      <c r="P29" s="62"/>
      <c r="Q29" s="62"/>
      <c r="R29" s="62"/>
      <c r="S29" s="62"/>
    </row>
    <row r="30" spans="1:19">
      <c r="A30" s="69">
        <v>703818</v>
      </c>
      <c r="B30" s="69" t="s">
        <v>243</v>
      </c>
      <c r="C30" s="70"/>
      <c r="D30" s="70" t="s">
        <v>171</v>
      </c>
      <c r="E30" s="71" t="str">
        <f>VLOOKUP($D30,'Lookup info'!$D:$H,2,FALSE)</f>
        <v>0074</v>
      </c>
      <c r="F30" s="71" t="str">
        <f>VLOOKUP($D30,'Lookup info'!$D:$H,5,FALSE)</f>
        <v>O</v>
      </c>
      <c r="G30" s="72">
        <v>128</v>
      </c>
      <c r="H30" s="54"/>
      <c r="I30" s="54">
        <f t="shared" si="4"/>
        <v>0</v>
      </c>
      <c r="J30" s="75">
        <f t="shared" si="5"/>
        <v>0</v>
      </c>
      <c r="K30" s="48">
        <v>0</v>
      </c>
      <c r="L30"/>
      <c r="N30" s="76">
        <v>3333</v>
      </c>
      <c r="O30" s="62"/>
      <c r="P30" s="62"/>
      <c r="Q30" s="62"/>
      <c r="R30" s="62"/>
      <c r="S30" s="62"/>
    </row>
    <row r="31" spans="1:19">
      <c r="A31" s="69">
        <v>703819</v>
      </c>
      <c r="B31" s="69" t="s">
        <v>244</v>
      </c>
      <c r="C31" s="70"/>
      <c r="D31" s="70" t="s">
        <v>171</v>
      </c>
      <c r="E31" s="71" t="str">
        <f>VLOOKUP($D31,'Lookup info'!$D:$H,2,FALSE)</f>
        <v>0074</v>
      </c>
      <c r="F31" s="71" t="str">
        <f>VLOOKUP($D31,'Lookup info'!$D:$H,5,FALSE)</f>
        <v>O</v>
      </c>
      <c r="G31" s="72">
        <v>128</v>
      </c>
      <c r="H31" s="54"/>
      <c r="I31" s="54">
        <f t="shared" si="4"/>
        <v>0</v>
      </c>
      <c r="J31" s="75">
        <f t="shared" si="5"/>
        <v>0</v>
      </c>
      <c r="K31" s="48">
        <v>0</v>
      </c>
      <c r="L31"/>
      <c r="N31" s="76">
        <v>3333</v>
      </c>
      <c r="O31" s="62"/>
      <c r="P31" s="62"/>
      <c r="Q31" s="62"/>
      <c r="R31" s="62"/>
      <c r="S31" s="62"/>
    </row>
    <row r="32" spans="1:19">
      <c r="A32" s="69">
        <v>704052</v>
      </c>
      <c r="B32" s="69" t="s">
        <v>245</v>
      </c>
      <c r="C32" s="70"/>
      <c r="D32" s="56" t="s">
        <v>169</v>
      </c>
      <c r="E32" s="71" t="str">
        <f>VLOOKUP($D32,'Lookup info'!$D:$H,2,FALSE)</f>
        <v>0023</v>
      </c>
      <c r="F32" s="71" t="str">
        <f>VLOOKUP($D32,'Lookup info'!$D:$H,5,FALSE)</f>
        <v>W</v>
      </c>
      <c r="G32" s="72">
        <v>90</v>
      </c>
      <c r="H32" s="54">
        <v>10</v>
      </c>
      <c r="I32" s="54">
        <f t="shared" si="4"/>
        <v>900</v>
      </c>
      <c r="J32" s="75">
        <f t="shared" si="5"/>
        <v>0</v>
      </c>
      <c r="K32" s="48">
        <v>0</v>
      </c>
      <c r="L32"/>
      <c r="N32" s="76">
        <v>600</v>
      </c>
      <c r="O32" s="62"/>
      <c r="P32" s="62"/>
      <c r="Q32" s="62"/>
      <c r="R32" s="62"/>
      <c r="S32" s="62"/>
    </row>
    <row r="33" spans="1:19">
      <c r="A33" s="69">
        <v>704054</v>
      </c>
      <c r="B33" s="69" t="s">
        <v>246</v>
      </c>
      <c r="C33" s="70"/>
      <c r="D33" s="56" t="s">
        <v>169</v>
      </c>
      <c r="E33" s="71" t="str">
        <f>VLOOKUP($D33,'Lookup info'!$D:$H,2,FALSE)</f>
        <v>0023</v>
      </c>
      <c r="F33" s="71" t="str">
        <f>VLOOKUP($D33,'Lookup info'!$D:$H,5,FALSE)</f>
        <v>W</v>
      </c>
      <c r="G33" s="72">
        <v>90</v>
      </c>
      <c r="H33" s="54">
        <v>12</v>
      </c>
      <c r="I33" s="54">
        <f t="shared" si="4"/>
        <v>1080</v>
      </c>
      <c r="J33" s="75">
        <f t="shared" si="5"/>
        <v>0</v>
      </c>
      <c r="K33" s="48">
        <v>0</v>
      </c>
      <c r="L33"/>
      <c r="N33" s="76">
        <v>600</v>
      </c>
      <c r="O33" s="62"/>
      <c r="P33" s="62"/>
      <c r="Q33" s="62"/>
      <c r="R33" s="62"/>
      <c r="S33" s="62"/>
    </row>
    <row r="34" spans="1:19">
      <c r="A34" s="8"/>
      <c r="B34" s="3"/>
      <c r="C34" s="3"/>
      <c r="D34" s="3"/>
      <c r="E34" s="3"/>
      <c r="F34" s="3"/>
      <c r="G34" s="3"/>
      <c r="J34" s="51"/>
      <c r="K34" s="3"/>
    </row>
    <row r="35" spans="1:19">
      <c r="A35" s="8"/>
      <c r="B35" s="8"/>
      <c r="C35" s="3"/>
      <c r="J35" s="8" t="s">
        <v>19</v>
      </c>
      <c r="K35" s="3"/>
    </row>
    <row r="36" spans="1:19">
      <c r="A36" s="8"/>
      <c r="B36" s="8"/>
      <c r="C36" s="3"/>
      <c r="J36" s="8" t="s">
        <v>20</v>
      </c>
      <c r="K36" s="26"/>
    </row>
    <row r="37" spans="1:19">
      <c r="A37" s="11"/>
      <c r="B37" s="11"/>
    </row>
    <row r="39" spans="1:19">
      <c r="A39"/>
      <c r="B39"/>
      <c r="C39"/>
      <c r="D39"/>
      <c r="E39"/>
      <c r="F39"/>
      <c r="G39"/>
      <c r="H39"/>
      <c r="I39"/>
      <c r="J39" s="21"/>
    </row>
    <row r="40" spans="1:19">
      <c r="A40"/>
      <c r="B40"/>
      <c r="C40"/>
      <c r="D40"/>
      <c r="E40"/>
      <c r="F40"/>
      <c r="G40"/>
      <c r="H40"/>
      <c r="I40"/>
      <c r="J40" s="21"/>
    </row>
    <row r="41" spans="1:19">
      <c r="A41"/>
      <c r="B41"/>
      <c r="C41"/>
      <c r="D41"/>
      <c r="E41"/>
      <c r="F41"/>
      <c r="G41"/>
      <c r="H41"/>
      <c r="I41"/>
      <c r="J41" s="2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 s="22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 s="50"/>
      <c r="J45" s="21"/>
    </row>
    <row r="46" spans="1:19">
      <c r="A46"/>
      <c r="B46"/>
      <c r="C46"/>
      <c r="D46"/>
      <c r="E46"/>
      <c r="F46"/>
      <c r="G46"/>
      <c r="H46"/>
      <c r="I46" s="49"/>
      <c r="J46" s="21"/>
    </row>
    <row r="47" spans="1:19">
      <c r="A47"/>
      <c r="B47"/>
      <c r="C47"/>
      <c r="D47"/>
      <c r="E47"/>
      <c r="F47"/>
      <c r="G47"/>
      <c r="H47"/>
      <c r="I47" s="49"/>
      <c r="J47" s="21"/>
    </row>
    <row r="48" spans="1:1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0" t="s">
        <v>28</v>
      </c>
      <c r="B3" s="81"/>
      <c r="D3" s="82" t="s">
        <v>152</v>
      </c>
      <c r="E3" s="83"/>
      <c r="F3" s="83"/>
      <c r="G3" s="83"/>
      <c r="H3" s="84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2025-04-30T04:58:54Z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
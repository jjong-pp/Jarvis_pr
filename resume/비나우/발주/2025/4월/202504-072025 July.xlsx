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4월\"/>
    </mc:Choice>
  </mc:AlternateContent>
  <xr:revisionPtr revIDLastSave="0" documentId="13_ncr:1_{03391AFE-FDFE-4A22-904D-E1A01B5F303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Order" sheetId="1" r:id="rId1"/>
    <sheet name="Lookup info" sheetId="3" r:id="rId2"/>
  </sheets>
  <definedNames>
    <definedName name="_xlnm._FilterDatabase" localSheetId="0" hidden="1">Order!$A$18:$M$31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Order!$A$1:$K$35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J19" i="1" l="1"/>
  <c r="J22" i="1" l="1"/>
  <c r="J23" i="1"/>
  <c r="J25" i="1"/>
  <c r="J24" i="1"/>
  <c r="J21" i="1"/>
  <c r="J26" i="1"/>
  <c r="J20" i="1"/>
  <c r="J28" i="1"/>
  <c r="J27" i="1"/>
  <c r="I32" i="1" l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J32" i="1"/>
  <c r="J31" i="1"/>
  <c r="J30" i="1"/>
  <c r="J29" i="1"/>
  <c r="M25" i="1"/>
  <c r="M32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6" i="1"/>
  <c r="M28" i="1"/>
  <c r="M29" i="1"/>
  <c r="M30" i="1"/>
  <c r="M21" i="1"/>
  <c r="E28" i="1" l="1"/>
  <c r="E32" i="1"/>
  <c r="F28" i="1"/>
  <c r="F32" i="1"/>
  <c r="F29" i="1"/>
  <c r="E25" i="1"/>
  <c r="E29" i="1"/>
  <c r="E19" i="1"/>
  <c r="E26" i="1"/>
  <c r="E30" i="1"/>
  <c r="F25" i="1"/>
  <c r="E21" i="1"/>
  <c r="F26" i="1"/>
  <c r="F30" i="1"/>
  <c r="E20" i="1"/>
  <c r="E27" i="1"/>
  <c r="E31" i="1"/>
  <c r="F19" i="1"/>
  <c r="F27" i="1"/>
  <c r="F31" i="1"/>
  <c r="M23" i="1"/>
  <c r="M31" i="1"/>
  <c r="M27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<sst xmlns="http://schemas.openxmlformats.org/spreadsheetml/2006/main" count="231" uniqueCount="207">
  <si>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</si>
  <si>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</si>
  <si>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</si>
  <si>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</si>
  <si>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</si>
  <si>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</si>
  <si>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</si>
  <si>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</si>
  <si>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</si>
  <si>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</si>
  <si>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</si>
  <si>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</si>
  <si>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</si>
  <si>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</si>
  <si>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</si>
  <si>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</si>
  <si>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</si>
  <si>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</si>
  <si>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</si>
  <si>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</si>
  <si>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</si>
  <si>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</si>
  <si>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</si>
  <si>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</si>
  <si>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</si>
  <si>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</si>
  <si>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</si>
  <si>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</si>
  <si>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</si>
  <si>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</si>
  <si>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</si>
  <si>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</si>
  <si>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</si>
  <si>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</si>
  <si>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</si>
  <si>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</si>
  <si>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</si>
  <si>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</si>
  <si>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</si>
  <si>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</si>
  <si>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</si>
  <si>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</si>
  <si>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</si>
  <si>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</si>
  <si>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</si>
  <si>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</si>
  <si>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</si>
  <si>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</si>
  <si>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</si>
  <si>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</si>
  <si>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</si>
  <si>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</si>
  <si>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</si>
  <si>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</si>
  <si>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</si>
  <si>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</si>
  <si>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</si>
  <si>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</si>
  <si>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</si>
  <si>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</si>
  <si>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</si>
  <si>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</si>
  <si>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</si>
  <si>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</si>
  <si>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</si>
  <si>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</si>
  <si>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</si>
  <si>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</si>
  <si>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</si>
  <si>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</si>
  <si>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</si>
  <si>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</si>
  <si>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</si>
  <si>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</si>
  <si>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</si>
  <si>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</si>
  <si>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</si>
  <si>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</si>
  <si>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</si>
  <si>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</si>
  <si>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</si>
  <si>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</si>
  <si>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</si>
  <si>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</si>
  <si>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</si>
  <si>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</si>
  <si>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</si>
  <si>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</si>
  <si>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</si>
  <si>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</si>
  <si>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</si>
  <si>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</si>
  <si>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</si>
  <si>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</si>
  <si>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</si>
  <si>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</si>
  <si>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</si>
  <si>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</si>
  <si>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</si>
  <si>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</si>
  <si>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</si>
  <si>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</si>
  <si>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</si>
  <si>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</si>
  <si>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</si>
  <si>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</si>
  <si>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</si>
  <si>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</si>
  <si>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</si>
  <si>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</si>
  <si>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</si>
  <si>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</si>
  <si>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</si>
  <si>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</si>
  <si>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</si>
  <si>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</si>
  <si>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</si>
  <si>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</si>
  <si>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</si>
  <si>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</si>
  <si>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</si>
  <si>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</si>
  <si>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</si>
  <si>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</si>
  <si>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</si>
  <si>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</si>
  <si>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</si>
  <si>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</si>
  <si>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</si>
  <si>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</si>
  <si>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</si>
  <si>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</si>
  <si>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</si>
  <si>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</si>
  <si>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</si>
  <si>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</si>
  <si>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</si>
  <si>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</si>
  <si>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</si>
  <si>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</si>
  <si>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</si>
  <si>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</si>
  <si>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</si>
  <si>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</si>
  <si>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</si>
  <si>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</si>
  <si>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</si>
  <si>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</si>
  <si>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</si>
  <si>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</si>
  <si>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</si>
  <si>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</si>
  <si>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</si>
  <si>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</si>
  <si>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</si>
  <si>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</si>
  <si>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</si>
  <si>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</si>
  <si>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</si>
  <si>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</si>
  <si>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</si>
  <si>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</si>
  <si>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</si>
  <si>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</si>
  <si>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</si>
  <si>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</si>
  <si>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</si>
  <si>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</si>
  <si>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</si>
  <si>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</si>
  <si>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</si>
  <si>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</si>
  <si>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</si>
  <si>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</si>
  <si>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</si>
  <si>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</si>
  <si>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</si>
  <si>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</si>
  <si>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</si>
  <si>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</si>
  <si>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</si>
  <si>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</si>
  <si>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</si>
  <si>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</si>
  <si>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</si>
  <si>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</si>
  <si>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</si>
  <si>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</si>
  <si>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</si>
  <si>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</si>
  <si>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</si>
  <si>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</si>
  <si>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</si>
  <si>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</si>
  <si>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</si>
  <si>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</si>
  <si>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</si>
  <si>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</si>
  <si>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</si>
  <si>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</si>
  <si>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</si>
  <si>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</si>
  <si>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</si>
  <si>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PO/SO fulfillment Month</t>
  </si>
  <si>
    <t>PO/SO fulfillment Year</t>
  </si>
  <si>
    <t>July</t>
  </si>
  <si>
    <t>W/H/07/2025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</si>
</sst>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</numFmts>
  <fonts count="25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41" fontId="0" fillId="2" borderId="0" xfId="0" applyNumberFormat="1" applyFill="1"/>
    <xf numFmtId="185" fontId="0" fillId="2" borderId="0" xfId="1" applyNumberFormat="1" applyFont="1" applyFill="1" applyAlignment="1"/>
    <xf numFmtId="3" fontId="23" fillId="0" borderId="0" xfId="0" applyNumberFormat="1" applyFo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zoomScale="90" zoomScaleNormal="90" workbookViewId="0"/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bestFit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5" width="9.125" style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25</v>
      </c>
    </row>
    <row r="6" spans="1:3">
      <c r="A6" s="2" t="s">
        <v>203</v>
      </c>
      <c r="B6" s="58">
        <v>7</v>
      </c>
    </row>
    <row r="7" spans="1:3">
      <c r="A7" s="2" t="s">
        <v>204</v>
      </c>
      <c r="B7" s="58">
        <v>2025</v>
      </c>
    </row>
    <row r="8" spans="1:3">
      <c r="A8" s="2" t="s">
        <v>1</v>
      </c>
      <c r="B8" s="17" t="s">
        <v>205</v>
      </c>
      <c r="C8" s="9"/>
    </row>
    <row r="9" spans="1:3">
      <c r="A9" s="2" t="s">
        <v>2</v>
      </c>
      <c r="B9" s="19" t="s">
        <v>206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57"/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>
        <v>12</v>
      </c>
      <c r="I19" s="27">
        <f>H19*G19</f>
        <v>1728</v>
      </c>
      <c r="J19" s="59">
        <f t="shared" ref="J19" si="0">IF(G19="","",K19/G19)</f>
        <v>0</v>
      </c>
      <c r="K19" s="52">
        <v>0</v>
      </c>
      <c r="L19" s="11"/>
      <c r="M19" s="1">
        <f t="shared" ref="M19:M21" si="1">K19*24</f>
        <v>0</v>
      </c>
      <c r="N19" s="57"/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27">
        <v>32</v>
      </c>
      <c r="I20" s="27">
        <f t="shared" ref="I20:I23" si="2">H20*G20</f>
        <v>4608</v>
      </c>
      <c r="J20" s="59">
        <f t="shared" ref="J20" si="3">IF(G20="","",K20/G20)</f>
        <v>11</v>
      </c>
      <c r="K20" s="52">
        <v>1584</v>
      </c>
      <c r="L20" s="13"/>
      <c r="M20" s="1">
        <f t="shared" si="1"/>
        <v>38016</v>
      </c>
      <c r="N20" s="57"/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59">
        <f t="shared" ref="J21:J25" si="4">IF(G21="","",K21/G21)</f>
        <v>11</v>
      </c>
      <c r="K21" s="52">
        <v>1584</v>
      </c>
      <c r="M21" s="1">
        <f t="shared" si="1"/>
        <v>38016</v>
      </c>
      <c r="N21" s="62"/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>
        <v>20</v>
      </c>
      <c r="I22" s="27">
        <f t="shared" si="2"/>
        <v>1920</v>
      </c>
      <c r="J22" s="59">
        <f t="shared" si="4"/>
        <v>38</v>
      </c>
      <c r="K22" s="52">
        <v>3648</v>
      </c>
      <c r="M22" s="1">
        <f t="shared" ref="M22:M26" si="5">K22*7</f>
        <v>25536</v>
      </c>
      <c r="N22" s="57"/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>
        <v>40</v>
      </c>
      <c r="I23" s="27">
        <f t="shared" si="2"/>
        <v>3840</v>
      </c>
      <c r="J23" s="59">
        <f t="shared" si="4"/>
        <v>10</v>
      </c>
      <c r="K23" s="52">
        <v>960</v>
      </c>
      <c r="M23" s="1">
        <f t="shared" si="5"/>
        <v>6720</v>
      </c>
      <c r="N23" s="57"/>
      <c r="O23" s="60"/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>
        <v>12</v>
      </c>
      <c r="I24" s="27">
        <f>H24*G24</f>
        <v>1152</v>
      </c>
      <c r="J24" s="59">
        <f t="shared" si="4"/>
        <v>0</v>
      </c>
      <c r="K24" s="52">
        <v>0</v>
      </c>
      <c r="L24"/>
      <c r="M24" s="1">
        <f t="shared" si="5"/>
        <v>0</v>
      </c>
      <c r="N24" s="57"/>
    </row>
    <row r="25" spans="1:18">
      <c r="A25" s="15">
        <v>658159</v>
      </c>
      <c r="B25" s="15" t="s">
        <v>202</v>
      </c>
      <c r="C25" s="16">
        <v>800</v>
      </c>
      <c r="D25" s="16" t="s">
        <v>168</v>
      </c>
      <c r="E25" s="30" t="str">
        <f>VLOOKUP($D25,'Lookup info'!$D:$H,2,FALSE)</f>
        <v>0002</v>
      </c>
      <c r="F25" s="30" t="str">
        <f>VLOOKUP($D25,'Lookup info'!$D:$H,5,FALSE)</f>
        <v>C</v>
      </c>
      <c r="G25" s="26">
        <v>96</v>
      </c>
      <c r="H25" s="27"/>
      <c r="I25" s="27">
        <f t="shared" ref="I25:I32" si="6">H25*G25</f>
        <v>0</v>
      </c>
      <c r="J25" s="52">
        <f t="shared" si="4"/>
        <v>0</v>
      </c>
      <c r="K25" s="52"/>
      <c r="M25" s="1">
        <f t="shared" ref="M25" si="7">K25*4</f>
        <v>0</v>
      </c>
      <c r="N25" s="57"/>
      <c r="R25" s="56"/>
    </row>
    <row r="26" spans="1:18">
      <c r="A26" s="15" t="s">
        <v>195</v>
      </c>
      <c r="B26" s="15" t="s">
        <v>188</v>
      </c>
      <c r="C26" s="16">
        <v>800</v>
      </c>
      <c r="D26" s="16" t="s">
        <v>169</v>
      </c>
      <c r="E26" s="30" t="str">
        <f>VLOOKUP($D26,'Lookup info'!$D:$H,2,FALSE)</f>
        <v>0023</v>
      </c>
      <c r="F26" s="30" t="str">
        <f>VLOOKUP($D26,'Lookup info'!$D:$H,5,FALSE)</f>
        <v>W</v>
      </c>
      <c r="G26" s="26">
        <v>144</v>
      </c>
      <c r="H26" s="27"/>
      <c r="I26" s="27">
        <f t="shared" si="6"/>
        <v>0</v>
      </c>
      <c r="J26" s="52">
        <f t="shared" ref="J26" si="8">IF(G26="","",K26/G26)</f>
        <v>0</v>
      </c>
      <c r="K26" s="52"/>
      <c r="L26" s="14"/>
      <c r="M26" s="14">
        <f t="shared" si="5"/>
        <v>0</v>
      </c>
      <c r="O26" s="61"/>
    </row>
    <row r="27" spans="1:18">
      <c r="A27" s="15" t="s">
        <v>196</v>
      </c>
      <c r="B27" s="15" t="s">
        <v>189</v>
      </c>
      <c r="C27" s="16">
        <v>800</v>
      </c>
      <c r="D27" s="16" t="s">
        <v>169</v>
      </c>
      <c r="E27" s="30" t="str">
        <f>VLOOKUP($D27,'Lookup info'!$D:$H,2,FALSE)</f>
        <v>0023</v>
      </c>
      <c r="F27" s="30" t="str">
        <f>VLOOKUP($D27,'Lookup info'!$D:$H,5,FALSE)</f>
        <v>W</v>
      </c>
      <c r="G27" s="26">
        <v>144</v>
      </c>
      <c r="H27" s="27"/>
      <c r="I27" s="27">
        <f t="shared" si="6"/>
        <v>0</v>
      </c>
      <c r="J27" s="52">
        <f t="shared" ref="J27:J28" si="9">IF(G27="","",K27/G27)</f>
        <v>0</v>
      </c>
      <c r="K27" s="52"/>
      <c r="M27" s="1">
        <f>K27*5</f>
        <v>0</v>
      </c>
      <c r="O27" s="57"/>
    </row>
    <row r="28" spans="1:18">
      <c r="A28" s="15" t="s">
        <v>197</v>
      </c>
      <c r="B28" s="15" t="s">
        <v>190</v>
      </c>
      <c r="C28" s="16">
        <v>800</v>
      </c>
      <c r="D28" s="16" t="s">
        <v>169</v>
      </c>
      <c r="E28" s="30" t="str">
        <f>VLOOKUP($D28,'Lookup info'!$D:$H,2,FALSE)</f>
        <v>0023</v>
      </c>
      <c r="F28" s="30" t="str">
        <f>VLOOKUP($D28,'Lookup info'!$D:$H,5,FALSE)</f>
        <v>W</v>
      </c>
      <c r="G28" s="26">
        <v>144</v>
      </c>
      <c r="H28" s="27"/>
      <c r="I28" s="27">
        <f t="shared" si="6"/>
        <v>0</v>
      </c>
      <c r="J28" s="52">
        <f t="shared" si="9"/>
        <v>0</v>
      </c>
      <c r="K28" s="52"/>
      <c r="L28" s="11"/>
      <c r="M28" s="1">
        <f t="shared" ref="M28:M31" si="10">K28*4</f>
        <v>0</v>
      </c>
      <c r="O28" s="57"/>
    </row>
    <row r="29" spans="1:18">
      <c r="A29" s="15" t="s">
        <v>198</v>
      </c>
      <c r="B29" s="15" t="s">
        <v>185</v>
      </c>
      <c r="C29" s="16">
        <v>800</v>
      </c>
      <c r="D29" s="16" t="s">
        <v>168</v>
      </c>
      <c r="E29" s="30" t="str">
        <f>VLOOKUP($D29,'Lookup info'!$D:$H,2,FALSE)</f>
        <v>0002</v>
      </c>
      <c r="F29" s="30" t="str">
        <f>VLOOKUP($D29,'Lookup info'!$D:$H,5,FALSE)</f>
        <v>C</v>
      </c>
      <c r="G29" s="26">
        <v>96</v>
      </c>
      <c r="H29" s="27"/>
      <c r="I29" s="27">
        <f t="shared" si="6"/>
        <v>0</v>
      </c>
      <c r="J29" s="52">
        <f t="shared" ref="J29:J32" si="11">IF(G29="","",K29/G29)</f>
        <v>0</v>
      </c>
      <c r="K29" s="52"/>
      <c r="L29" s="13"/>
      <c r="M29" s="1">
        <f t="shared" si="10"/>
        <v>0</v>
      </c>
    </row>
    <row r="30" spans="1:18">
      <c r="A30" s="15" t="s">
        <v>199</v>
      </c>
      <c r="B30" s="15" t="s">
        <v>186</v>
      </c>
      <c r="C30" s="16">
        <v>800</v>
      </c>
      <c r="D30" s="16" t="s">
        <v>168</v>
      </c>
      <c r="E30" s="30" t="str">
        <f>VLOOKUP($D30,'Lookup info'!$D:$H,2,FALSE)</f>
        <v>0002</v>
      </c>
      <c r="F30" s="30" t="str">
        <f>VLOOKUP($D30,'Lookup info'!$D:$H,5,FALSE)</f>
        <v>C</v>
      </c>
      <c r="G30" s="26">
        <v>96</v>
      </c>
      <c r="H30" s="27"/>
      <c r="I30" s="27">
        <f t="shared" si="6"/>
        <v>0</v>
      </c>
      <c r="J30" s="52">
        <f t="shared" si="11"/>
        <v>0</v>
      </c>
      <c r="K30" s="52">
        <v>0</v>
      </c>
      <c r="M30" s="1">
        <f t="shared" si="10"/>
        <v>0</v>
      </c>
    </row>
    <row r="31" spans="1:18">
      <c r="A31" s="15" t="s">
        <v>200</v>
      </c>
      <c r="B31" s="15" t="s">
        <v>187</v>
      </c>
      <c r="C31" s="16">
        <v>800</v>
      </c>
      <c r="D31" s="16" t="s">
        <v>168</v>
      </c>
      <c r="E31" s="30" t="str">
        <f>VLOOKUP($D31,'Lookup info'!$D:$H,2,FALSE)</f>
        <v>0002</v>
      </c>
      <c r="F31" s="30" t="str">
        <f>VLOOKUP($D31,'Lookup info'!$D:$H,5,FALSE)</f>
        <v>C</v>
      </c>
      <c r="G31" s="26">
        <v>96</v>
      </c>
      <c r="H31" s="27"/>
      <c r="I31" s="27">
        <f t="shared" si="6"/>
        <v>0</v>
      </c>
      <c r="J31" s="52">
        <f t="shared" si="11"/>
        <v>0</v>
      </c>
      <c r="K31" s="52">
        <v>0</v>
      </c>
      <c r="M31" s="1">
        <f t="shared" si="10"/>
        <v>0</v>
      </c>
    </row>
    <row r="32" spans="1:18">
      <c r="A32" s="15" t="s">
        <v>201</v>
      </c>
      <c r="B32" s="15" t="s">
        <v>202</v>
      </c>
      <c r="C32" s="16">
        <v>800</v>
      </c>
      <c r="D32" s="16" t="s">
        <v>168</v>
      </c>
      <c r="E32" s="30" t="str">
        <f>VLOOKUP($D32,'Lookup info'!$D:$H,2,FALSE)</f>
        <v>0002</v>
      </c>
      <c r="F32" s="30" t="str">
        <f>VLOOKUP($D32,'Lookup info'!$D:$H,5,FALSE)</f>
        <v>C</v>
      </c>
      <c r="G32" s="26">
        <v>96</v>
      </c>
      <c r="H32" s="27"/>
      <c r="I32" s="27">
        <f t="shared" si="6"/>
        <v>0</v>
      </c>
      <c r="J32" s="52">
        <f t="shared" si="11"/>
        <v>0</v>
      </c>
      <c r="K32" s="52">
        <v>0</v>
      </c>
      <c r="M32" s="1">
        <f t="shared" ref="M32" si="12">K32*4</f>
        <v>0</v>
      </c>
    </row>
    <row r="33" spans="1:11">
      <c r="A33" s="8"/>
      <c r="B33" s="3"/>
      <c r="C33" s="3"/>
      <c r="D33" s="3"/>
      <c r="E33" s="3"/>
      <c r="F33" s="3"/>
      <c r="G33" s="3"/>
      <c r="J33" s="55"/>
      <c r="K33" s="3"/>
    </row>
    <row r="34" spans="1:11">
      <c r="A34" s="8"/>
      <c r="B34" s="8"/>
      <c r="C34" s="3"/>
      <c r="J34" s="8" t="s">
        <v>19</v>
      </c>
      <c r="K34" s="3"/>
    </row>
    <row r="35" spans="1:11">
      <c r="A35" s="8"/>
      <c r="B35" s="8"/>
      <c r="C35" s="3"/>
      <c r="J35" s="8" t="s">
        <v>20</v>
      </c>
      <c r="K35" s="28"/>
    </row>
    <row r="36" spans="1:11">
      <c r="A36" s="11"/>
      <c r="B36" s="11"/>
    </row>
    <row r="38" spans="1:11">
      <c r="A38"/>
      <c r="B38"/>
      <c r="C38"/>
      <c r="D38"/>
      <c r="E38"/>
      <c r="F38"/>
      <c r="G38"/>
      <c r="H38"/>
      <c r="I38"/>
      <c r="J38" s="22"/>
    </row>
    <row r="39" spans="1:11">
      <c r="A39"/>
      <c r="B39"/>
      <c r="C39"/>
      <c r="D39"/>
      <c r="E39"/>
      <c r="F39"/>
      <c r="G39"/>
      <c r="H39"/>
      <c r="I39"/>
      <c r="J39" s="22"/>
    </row>
    <row r="40" spans="1:11">
      <c r="A40"/>
      <c r="B40"/>
      <c r="C40"/>
      <c r="D40"/>
      <c r="E40"/>
      <c r="F40"/>
      <c r="G40"/>
      <c r="H40"/>
      <c r="I40"/>
      <c r="J40" s="22"/>
    </row>
    <row r="41" spans="1:11">
      <c r="A41"/>
      <c r="B41"/>
      <c r="C41"/>
      <c r="D41"/>
      <c r="E41"/>
      <c r="F41"/>
      <c r="G41"/>
      <c r="H41"/>
      <c r="I41"/>
      <c r="J41" s="22"/>
    </row>
    <row r="42" spans="1:11">
      <c r="A42"/>
      <c r="B42"/>
      <c r="C42"/>
      <c r="D42"/>
      <c r="E42"/>
      <c r="F42"/>
      <c r="G42"/>
      <c r="H42"/>
      <c r="I42"/>
      <c r="J42" s="22"/>
    </row>
    <row r="43" spans="1:11">
      <c r="A43" s="23"/>
      <c r="B43"/>
      <c r="C43"/>
      <c r="D43"/>
      <c r="E43"/>
      <c r="F43"/>
      <c r="G43"/>
      <c r="H43"/>
      <c r="I43"/>
      <c r="J43" s="22"/>
    </row>
    <row r="44" spans="1:11">
      <c r="A44"/>
      <c r="B44"/>
      <c r="C44"/>
      <c r="D44"/>
      <c r="E44"/>
      <c r="F44"/>
      <c r="G44"/>
      <c r="H44"/>
      <c r="I44" s="54"/>
      <c r="J44" s="22"/>
    </row>
    <row r="45" spans="1:11">
      <c r="A45"/>
      <c r="B45"/>
      <c r="C45"/>
      <c r="D45"/>
      <c r="E45"/>
      <c r="F45"/>
      <c r="G45"/>
      <c r="H45"/>
      <c r="I45" s="53"/>
      <c r="J45" s="22"/>
    </row>
    <row r="46" spans="1:11">
      <c r="A46"/>
      <c r="B46"/>
      <c r="C46"/>
      <c r="D46"/>
      <c r="E46"/>
      <c r="F46"/>
      <c r="G46"/>
      <c r="H46"/>
      <c r="I46" s="53"/>
      <c r="J46" s="22"/>
    </row>
    <row r="47" spans="1:11">
      <c r="I47"/>
    </row>
    <row r="48" spans="1:11">
      <c r="I48"/>
    </row>
    <row r="49" spans="9:9">
      <c r="I49"/>
    </row>
    <row r="50" spans="9:9">
      <c r="I50"/>
    </row>
    <row r="51" spans="9:9">
      <c r="I51"/>
    </row>
    <row r="52" spans="9:9">
      <c r="I5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63" t="s">
        <v>28</v>
      </c>
      <c r="B3" s="64"/>
      <c r="D3" s="65" t="s">
        <v>152</v>
      </c>
      <c r="E3" s="66"/>
      <c r="F3" s="66"/>
      <c r="G3" s="66"/>
      <c r="H3" s="6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2025-04-30T05:00:07Z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
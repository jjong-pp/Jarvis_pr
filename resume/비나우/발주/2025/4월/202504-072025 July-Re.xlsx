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4월\"/>
    </mc:Choice>
  </mc:AlternateContent>
  <xr:revisionPtr revIDLastSave="0" documentId="8_{BE81886D-041C-4FB7-AA69-7682D6EB896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K23" i="1" l="1"/>
  <c r="J19" i="1" l="1"/>
  <c r="J22" i="1" l="1"/>
  <c r="J23" i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<sst xmlns="http://schemas.openxmlformats.org/spreadsheetml/2006/main" count="231" uniqueCount="207">
  <si>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</si>
  <si>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</si>
  <si>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</si>
  <si>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</si>
  <si>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</si>
  <si>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</si>
  <si>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</si>
  <si>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</si>
  <si>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</si>
  <si>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</si>
  <si>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</si>
  <si>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</si>
  <si>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</si>
  <si>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</si>
  <si>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</si>
  <si>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</si>
  <si>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</si>
  <si>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</si>
  <si>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</si>
  <si>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</si>
  <si>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</si>
  <si>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</si>
  <si>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</si>
  <si>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</si>
  <si>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</si>
  <si>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</si>
  <si>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</si>
  <si>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</si>
  <si>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</si>
  <si>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</si>
  <si>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</si>
  <si>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</si>
  <si>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</si>
  <si>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</si>
  <si>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</si>
  <si>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</si>
  <si>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</si>
  <si>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</si>
  <si>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</si>
  <si>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</si>
  <si>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</si>
  <si>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</si>
  <si>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</si>
  <si>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</si>
  <si>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</si>
  <si>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</si>
  <si>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</si>
  <si>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</si>
  <si>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</si>
  <si>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</si>
  <si>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</si>
  <si>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</si>
  <si>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</si>
  <si>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</si>
  <si>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</si>
  <si>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</si>
  <si>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</si>
  <si>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</si>
  <si>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</si>
  <si>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</si>
  <si>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</si>
  <si>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</si>
  <si>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</si>
  <si>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</si>
  <si>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</si>
  <si>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</si>
  <si>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</si>
  <si>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</si>
  <si>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</si>
  <si>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</si>
  <si>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</si>
  <si>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</si>
  <si>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</si>
  <si>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</si>
  <si>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</si>
  <si>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</si>
  <si>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</si>
  <si>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</si>
  <si>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</si>
  <si>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</si>
  <si>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</si>
  <si>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</si>
  <si>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</si>
  <si>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</si>
  <si>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</si>
  <si>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</si>
  <si>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</si>
  <si>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</si>
  <si>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</si>
  <si>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</si>
  <si>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</si>
  <si>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</si>
  <si>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</si>
  <si>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</si>
  <si>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</si>
  <si>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</si>
  <si>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</si>
  <si>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</si>
  <si>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</si>
  <si>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</si>
  <si>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</si>
  <si>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</si>
  <si>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</si>
  <si>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</si>
  <si>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</si>
  <si>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</si>
  <si>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</si>
  <si>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</si>
  <si>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</si>
  <si>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</si>
  <si>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</si>
  <si>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</si>
  <si>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</si>
  <si>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</si>
  <si>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</si>
  <si>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</si>
  <si>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</si>
  <si>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</si>
  <si>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</si>
  <si>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</si>
  <si>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</si>
  <si>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</si>
  <si>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</si>
  <si>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</si>
  <si>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</si>
  <si>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</si>
  <si>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</si>
  <si>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</si>
  <si>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</si>
  <si>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</si>
  <si>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</si>
  <si>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</si>
  <si>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</si>
  <si>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</si>
  <si>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</si>
  <si>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</si>
  <si>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</si>
  <si>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</si>
  <si>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</si>
  <si>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</si>
  <si>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</si>
  <si>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</si>
  <si>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</si>
  <si>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</si>
  <si>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</si>
  <si>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</si>
  <si>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</si>
  <si>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</si>
  <si>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</si>
  <si>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</si>
  <si>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</si>
  <si>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</si>
  <si>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</si>
  <si>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</si>
  <si>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</si>
  <si>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</si>
  <si>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</si>
  <si>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</si>
  <si>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</si>
  <si>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</si>
  <si>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</si>
  <si>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</si>
  <si>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</si>
  <si>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</si>
  <si>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</si>
  <si>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</si>
  <si>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</si>
  <si>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</si>
  <si>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</si>
  <si>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</si>
  <si>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</si>
  <si>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</si>
  <si>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</si>
  <si>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</si>
  <si>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</si>
  <si>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</si>
  <si>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</si>
  <si>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</si>
  <si>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</si>
  <si>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</si>
  <si>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</si>
  <si>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</si>
  <si>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</si>
  <si>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</si>
  <si>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</si>
  <si>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</si>
  <si>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</si>
  <si>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</si>
  <si>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</si>
  <si>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</si>
  <si>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</si>
  <si>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</si>
  <si>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</si>
  <si>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</si>
  <si>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</si>
  <si>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</si>
  <si>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</si>
  <si>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</si>
  <si>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</si>
  <si>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</si>
  <si>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</si>
  <si>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</si>
  <si>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</si>
  <si>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</si>
  <si>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</si>
  <si>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July</t>
  </si>
  <si>
    <t>W/H/07/2025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</si>
</sst>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3" fontId="23" fillId="0" borderId="0" xfId="0" applyNumberFormat="1" applyFo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90" zoomScaleNormal="9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25</v>
      </c>
    </row>
    <row r="6" spans="1:3">
      <c r="A6" s="2" t="s">
        <v>203</v>
      </c>
      <c r="B6" s="58">
        <v>7</v>
      </c>
    </row>
    <row r="7" spans="1:3">
      <c r="A7" s="2" t="s">
        <v>204</v>
      </c>
      <c r="B7" s="58">
        <v>2025</v>
      </c>
    </row>
    <row r="8" spans="1:3">
      <c r="A8" s="2" t="s">
        <v>1</v>
      </c>
      <c r="B8" s="17" t="s">
        <v>205</v>
      </c>
      <c r="C8" s="9"/>
    </row>
    <row r="9" spans="1:3">
      <c r="A9" s="2" t="s">
        <v>2</v>
      </c>
      <c r="B9" s="19" t="s">
        <v>206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/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12</v>
      </c>
      <c r="I19" s="27">
        <f>H19*G19</f>
        <v>1728</v>
      </c>
      <c r="J19" s="59">
        <f t="shared" ref="J19" si="0">IF(G19="","",K19/G19)</f>
        <v>0</v>
      </c>
      <c r="K19" s="52">
        <v>0</v>
      </c>
      <c r="L19" s="11"/>
      <c r="M19" s="1">
        <f t="shared" ref="M19:M21" si="1">K19*24</f>
        <v>0</v>
      </c>
      <c r="N19" s="57"/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>
        <v>32</v>
      </c>
      <c r="I20" s="27">
        <f t="shared" ref="I20:I23" si="2">H20*G20</f>
        <v>4608</v>
      </c>
      <c r="J20" s="59">
        <f t="shared" ref="J20" si="3">IF(G20="","",K20/G20)</f>
        <v>11</v>
      </c>
      <c r="K20" s="52">
        <v>1584</v>
      </c>
      <c r="L20" s="13"/>
      <c r="M20" s="1">
        <f t="shared" si="1"/>
        <v>38016</v>
      </c>
      <c r="N20" s="57"/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5" si="4">IF(G21="","",K21/G21)</f>
        <v>11</v>
      </c>
      <c r="K21" s="52">
        <v>1584</v>
      </c>
      <c r="M21" s="1">
        <f t="shared" si="1"/>
        <v>38016</v>
      </c>
      <c r="N21" s="62"/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20</v>
      </c>
      <c r="I22" s="27">
        <f t="shared" si="2"/>
        <v>1920</v>
      </c>
      <c r="J22" s="59">
        <f t="shared" si="4"/>
        <v>48</v>
      </c>
      <c r="K22" s="52">
        <v>4608</v>
      </c>
      <c r="M22" s="1">
        <f t="shared" ref="M22:M26" si="5">K22*7</f>
        <v>32256</v>
      </c>
      <c r="N22" s="57"/>
      <c r="O22" s="57"/>
      <c r="Q22" s="60"/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40</v>
      </c>
      <c r="I23" s="27">
        <f t="shared" si="2"/>
        <v>3840</v>
      </c>
      <c r="J23" s="59">
        <f t="shared" si="4"/>
        <v>0</v>
      </c>
      <c r="K23" s="52">
        <f>N23/4</f>
        <v>0</v>
      </c>
      <c r="M23" s="1">
        <f t="shared" si="5"/>
        <v>0</v>
      </c>
      <c r="N23" s="57"/>
      <c r="O23" s="60"/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12</v>
      </c>
      <c r="I24" s="27">
        <f>H24*G24</f>
        <v>1152</v>
      </c>
      <c r="J24" s="59">
        <f t="shared" si="4"/>
        <v>0</v>
      </c>
      <c r="K24" s="52">
        <v>0</v>
      </c>
      <c r="L24"/>
      <c r="M24" s="1">
        <f t="shared" si="5"/>
        <v>0</v>
      </c>
      <c r="N24" s="57"/>
    </row>
    <row r="25" spans="1:18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N25" s="57"/>
      <c r="R25" s="56"/>
    </row>
    <row r="26" spans="1:18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/>
      <c r="L26" s="14"/>
      <c r="M26" s="14">
        <f t="shared" si="5"/>
        <v>0</v>
      </c>
      <c r="O26" s="61"/>
    </row>
    <row r="27" spans="1:18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/>
      <c r="M27" s="1">
        <f>K27*5</f>
        <v>0</v>
      </c>
      <c r="O27" s="57"/>
    </row>
    <row r="28" spans="1:18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/>
      <c r="L28" s="11"/>
      <c r="M28" s="1">
        <f t="shared" ref="M28:M31" si="10">K28*4</f>
        <v>0</v>
      </c>
      <c r="O28" s="57"/>
    </row>
    <row r="29" spans="1:18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/>
      <c r="I29" s="27">
        <f t="shared" si="6"/>
        <v>0</v>
      </c>
      <c r="J29" s="52">
        <f t="shared" ref="J29:J32" si="11">IF(G29="","",K29/G29)</f>
        <v>0</v>
      </c>
      <c r="K29" s="52"/>
      <c r="L29" s="13"/>
      <c r="M29" s="1">
        <f t="shared" si="10"/>
        <v>0</v>
      </c>
    </row>
    <row r="30" spans="1:18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/>
      <c r="I30" s="27">
        <f t="shared" si="6"/>
        <v>0</v>
      </c>
      <c r="J30" s="52">
        <f t="shared" si="11"/>
        <v>0</v>
      </c>
      <c r="K30" s="52">
        <v>0</v>
      </c>
      <c r="M30" s="1">
        <f t="shared" si="10"/>
        <v>0</v>
      </c>
    </row>
    <row r="31" spans="1:18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/>
      <c r="I31" s="27">
        <f t="shared" si="6"/>
        <v>0</v>
      </c>
      <c r="J31" s="52">
        <f t="shared" si="11"/>
        <v>0</v>
      </c>
      <c r="K31" s="52">
        <v>0</v>
      </c>
      <c r="M31" s="1">
        <f t="shared" si="10"/>
        <v>0</v>
      </c>
    </row>
    <row r="32" spans="1:18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/>
      <c r="I32" s="27">
        <f t="shared" si="6"/>
        <v>0</v>
      </c>
      <c r="J32" s="52">
        <f t="shared" si="11"/>
        <v>0</v>
      </c>
      <c r="K32" s="52">
        <v>0</v>
      </c>
      <c r="M32" s="1">
        <f t="shared" ref="M32" si="12">K32*4</f>
        <v>0</v>
      </c>
    </row>
    <row r="33" spans="1:11">
      <c r="A33" s="8"/>
      <c r="B33" s="3"/>
      <c r="C33" s="3"/>
      <c r="D33" s="3"/>
      <c r="E33" s="3"/>
      <c r="F33" s="3"/>
      <c r="G33" s="3"/>
      <c r="J33" s="55"/>
      <c r="K33" s="3"/>
    </row>
    <row r="34" spans="1:11">
      <c r="A34" s="8"/>
      <c r="B34" s="8"/>
      <c r="C34" s="3"/>
      <c r="J34" s="8" t="s">
        <v>19</v>
      </c>
      <c r="K34" s="3"/>
    </row>
    <row r="35" spans="1:11">
      <c r="A35" s="8"/>
      <c r="B35" s="8"/>
      <c r="C35" s="3"/>
      <c r="J35" s="8" t="s">
        <v>20</v>
      </c>
      <c r="K35" s="28"/>
    </row>
    <row r="36" spans="1:11">
      <c r="A36" s="11"/>
      <c r="B36" s="11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/>
      <c r="J42" s="22"/>
    </row>
    <row r="43" spans="1:11">
      <c r="A43" s="23"/>
      <c r="B43"/>
      <c r="C43"/>
      <c r="D43"/>
      <c r="E43"/>
      <c r="F43"/>
      <c r="G43"/>
      <c r="H43"/>
      <c r="I43"/>
      <c r="J43" s="22"/>
    </row>
    <row r="44" spans="1:11">
      <c r="A44"/>
      <c r="B44"/>
      <c r="C44"/>
      <c r="D44"/>
      <c r="E44"/>
      <c r="F44"/>
      <c r="G44"/>
      <c r="H44"/>
      <c r="I44" s="54"/>
      <c r="J44" s="22"/>
    </row>
    <row r="45" spans="1:11">
      <c r="A45"/>
      <c r="B45"/>
      <c r="C45"/>
      <c r="D45"/>
      <c r="E45"/>
      <c r="F45"/>
      <c r="G45"/>
      <c r="H45"/>
      <c r="I45" s="53"/>
      <c r="J45" s="22"/>
    </row>
    <row r="46" spans="1:11">
      <c r="A46"/>
      <c r="B46"/>
      <c r="C46"/>
      <c r="D46"/>
      <c r="E46"/>
      <c r="F46"/>
      <c r="G46"/>
      <c r="H46"/>
      <c r="I46" s="53"/>
      <c r="J46" s="22"/>
    </row>
    <row r="47" spans="1:11">
      <c r="I47"/>
    </row>
    <row r="48" spans="1:11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3" t="s">
        <v>28</v>
      </c>
      <c r="B3" s="64"/>
      <c r="D3" s="65" t="s">
        <v>152</v>
      </c>
      <c r="E3" s="66"/>
      <c r="F3" s="66"/>
      <c r="G3" s="66"/>
      <c r="H3" s="67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2025-05-08T07:36:05Z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
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1월\"/>
    </mc:Choice>
  </mc:AlternateContent>
  <xr:revisionPtr revIDLastSave="0" documentId="13_ncr:1_{8A9CE760-47E2-4AE5-B1E4-39C71203AD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G39" i="1" l="1"/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<sst xmlns="http://schemas.openxmlformats.org/spreadsheetml/2006/main" count="273" uniqueCount="250">
  <si>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</si>
  <si>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</si>
  <si>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</si>
  <si>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</si>
  <si>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</si>
  <si>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</si>
  <si>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</si>
  <si>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</si>
  <si>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</si>
  <si>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</si>
  <si>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</si>
  <si>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</si>
  <si>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</si>
  <si>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</si>
  <si>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</si>
  <si>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</si>
  <si>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</si>
  <si>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</si>
  <si>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</si>
  <si>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</si>
  <si>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</si>
  <si>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</si>
  <si>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</si>
  <si>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</si>
  <si>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</si>
  <si>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</si>
  <si>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</si>
  <si>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</si>
  <si>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</si>
  <si>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</si>
  <si>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</si>
  <si>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</si>
  <si>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</si>
  <si>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</si>
  <si>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</si>
  <si>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</si>
  <si>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</si>
  <si>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</si>
  <si>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</si>
  <si>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</si>
  <si>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</si>
  <si>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</si>
  <si>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</si>
  <si>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</si>
  <si>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</si>
  <si>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</si>
  <si>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</si>
  <si>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</si>
  <si>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</si>
  <si>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</si>
  <si>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</si>
  <si>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</si>
  <si>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</si>
  <si>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</si>
  <si>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</si>
  <si>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</si>
  <si>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</si>
  <si>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</si>
  <si>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</si>
  <si>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</si>
  <si>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</si>
  <si>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</si>
  <si>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</si>
  <si>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</si>
  <si>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</si>
  <si>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</si>
  <si>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</si>
  <si>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</si>
  <si>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</si>
  <si>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</si>
  <si>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</si>
  <si>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</si>
  <si>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</si>
  <si>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</si>
  <si>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</si>
  <si>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</si>
  <si>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</si>
  <si>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</si>
  <si>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</si>
  <si>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</si>
  <si>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</si>
  <si>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</si>
  <si>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</si>
  <si>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</si>
  <si>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</si>
  <si>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</si>
  <si>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</si>
  <si>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</si>
  <si>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</si>
  <si>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</si>
  <si>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</si>
  <si>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</si>
  <si>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</si>
  <si>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</si>
  <si>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</si>
  <si>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</si>
  <si>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</si>
  <si>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</si>
  <si>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</si>
  <si>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</si>
  <si>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</si>
  <si>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</si>
  <si>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</si>
  <si>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</si>
  <si>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</si>
  <si>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</si>
  <si>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</si>
  <si>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</si>
  <si>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</si>
  <si>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</si>
  <si>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</si>
  <si>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</si>
  <si>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</si>
  <si>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</si>
  <si>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</si>
  <si>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</si>
  <si>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</si>
  <si>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</si>
  <si>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</si>
  <si>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</si>
  <si>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</si>
  <si>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</si>
  <si>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</si>
  <si>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</si>
  <si>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</si>
  <si>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</si>
  <si>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</si>
  <si>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</si>
  <si>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</si>
  <si>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</si>
  <si>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</si>
  <si>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</si>
  <si>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</si>
  <si>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</si>
  <si>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</si>
  <si>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</si>
  <si>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</si>
  <si>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</si>
  <si>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</si>
  <si>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</si>
  <si>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</si>
  <si>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</si>
  <si>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</si>
  <si>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</si>
  <si>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</si>
  <si>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</si>
  <si>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</si>
  <si>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</si>
  <si>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</si>
  <si>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</si>
  <si>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</si>
  <si>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</si>
  <si>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</si>
  <si>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</si>
  <si>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</si>
  <si>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</si>
  <si>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</si>
  <si>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</si>
  <si>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</si>
  <si>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</si>
  <si>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</si>
  <si>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</si>
  <si>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</si>
  <si>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</si>
  <si>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</si>
  <si>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</si>
  <si>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</si>
  <si>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</si>
  <si>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</si>
  <si>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</si>
  <si>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</si>
  <si>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</si>
  <si>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</si>
  <si>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</si>
  <si>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</si>
  <si>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</si>
  <si>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</si>
  <si>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</si>
  <si>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</si>
  <si>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</si>
  <si>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</si>
  <si>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</si>
  <si>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</si>
  <si>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</si>
  <si>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</si>
  <si>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</si>
  <si>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</si>
  <si>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</si>
  <si>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</si>
  <si>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</si>
  <si>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</si>
  <si>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</si>
  <si>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</si>
  <si>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</si>
  <si>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</si>
  <si>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</si>
  <si>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</si>
  <si>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</si>
  <si>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</si>
  <si>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</si>
  <si>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</si>
  <si>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</si>
  <si>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</si>
  <si>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</si>
  <si>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</si>
  <si>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</si>
  <si>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</si>
  <si>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</si>
  <si>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</si>
  <si>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</si>
  <si>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</si>
  <si>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</si>
  <si>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</si>
  <si>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</si>
  <si>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</si>
  <si>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</si>
  <si>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</si>
  <si>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</si>
  <si>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</si>
  <si>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</si>
  <si>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</si>
  <si>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</si>
  <si>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</si>
  <si>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</si>
  <si>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</si>
  <si>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</si>
  <si>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</si>
  <si>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</si>
  <si>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</si>
  <si>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</si>
  <si>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</si>
  <si>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</si>
  <si>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</si>
  <si>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</si>
  <si>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</si>
  <si>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</si>
  <si>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</si>
  <si>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</si>
  <si>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</si>
  <si>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</si>
  <si>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</si>
  <si>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</si>
  <si>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</si>
  <si>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</si>
  <si>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</si>
  <si>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</si>
  <si>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</si>
  <si>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</si>
  <si>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April</t>
  </si>
  <si>
    <t>W/F/04/2025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</si>
</sst>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  <numFmt numFmtId="196" formatCode="0.0000"/>
  </numFmts>
  <fonts count="3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3" fontId="0" fillId="2" borderId="0" xfId="0" applyNumberFormat="1" applyFill="1"/>
    <xf numFmtId="3" fontId="23" fillId="0" borderId="0" xfId="0" applyNumberFormat="1" applyFont="1"/>
    <xf numFmtId="3" fontId="30" fillId="0" borderId="0" xfId="0" applyNumberFormat="1" applyFont="1"/>
    <xf numFmtId="196" fontId="0" fillId="2" borderId="0" xfId="0" applyNumberFormat="1" applyFill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0.5" style="1" customWidth="1"/>
    <col min="16" max="16" width="12.125" style="1" bestFit="1" customWidth="1"/>
    <col min="17" max="17" width="14.125" style="52" bestFit="1" customWidth="1"/>
    <col min="18" max="18" width="16.5" style="1" bestFit="1" customWidth="1"/>
    <col min="19" max="19" width="19.375" style="1" bestFit="1" customWidth="1"/>
    <col min="20" max="20" width="11.125" style="1" bestFit="1" customWidth="1"/>
    <col min="21" max="16384" width="9.125" style="1"/>
  </cols>
  <sheetData>
    <row r="1" spans="1:15" ht="17.25">
      <c r="A1" s="27" t="s">
        <v>240</v>
      </c>
      <c r="B1" s="17"/>
    </row>
    <row r="2" spans="1:15">
      <c r="A2" s="35" t="s">
        <v>28</v>
      </c>
      <c r="B2" s="35" t="s">
        <v>186</v>
      </c>
    </row>
    <row r="3" spans="1:15">
      <c r="A3" s="2" t="s">
        <v>0</v>
      </c>
      <c r="B3" s="73">
        <v>72852</v>
      </c>
    </row>
    <row r="4" spans="1:15">
      <c r="A4" s="2" t="s">
        <v>16</v>
      </c>
      <c r="B4" s="18" t="s">
        <v>17</v>
      </c>
    </row>
    <row r="5" spans="1:15">
      <c r="A5" s="2" t="s">
        <v>30</v>
      </c>
      <c r="B5" s="53">
        <v>25</v>
      </c>
    </row>
    <row r="6" spans="1:15">
      <c r="A6" s="2" t="s">
        <v>241</v>
      </c>
      <c r="B6" s="53">
        <v>4</v>
      </c>
    </row>
    <row r="7" spans="1:15">
      <c r="A7" s="2" t="s">
        <v>242</v>
      </c>
      <c r="B7" s="53">
        <v>2025</v>
      </c>
    </row>
    <row r="8" spans="1:15">
      <c r="A8" s="2" t="s">
        <v>1</v>
      </c>
      <c r="B8" s="16" t="s">
        <v>248</v>
      </c>
      <c r="C8" s="9"/>
    </row>
    <row r="9" spans="1:15">
      <c r="A9" s="2" t="s">
        <v>2</v>
      </c>
      <c r="B9" s="18" t="s">
        <v>249</v>
      </c>
      <c r="C9"/>
    </row>
    <row r="10" spans="1:15">
      <c r="A10" s="2" t="s">
        <v>3</v>
      </c>
      <c r="B10" s="19" t="s">
        <v>12</v>
      </c>
    </row>
    <row r="11" spans="1:15">
      <c r="A11" s="2" t="s">
        <v>4</v>
      </c>
      <c r="B11" s="20" t="s">
        <v>24</v>
      </c>
    </row>
    <row r="12" spans="1:15">
      <c r="A12" s="2" t="s">
        <v>5</v>
      </c>
      <c r="B12" s="19" t="s">
        <v>18</v>
      </c>
    </row>
    <row r="13" spans="1:15">
      <c r="A13" s="2" t="s">
        <v>11</v>
      </c>
      <c r="B13" s="15" t="s">
        <v>25</v>
      </c>
    </row>
    <row r="14" spans="1:15">
      <c r="A14" s="10" t="s">
        <v>15</v>
      </c>
      <c r="B14" s="24">
        <v>1</v>
      </c>
    </row>
    <row r="15" spans="1:15">
      <c r="A15" s="10" t="s">
        <v>21</v>
      </c>
      <c r="B15" s="23">
        <v>1</v>
      </c>
      <c r="C15"/>
    </row>
    <row r="16" spans="1:15">
      <c r="A16" s="11"/>
      <c r="O16" s="88"/>
    </row>
    <row r="17" spans="1:20" ht="17.25" thickBot="1"/>
    <row r="18" spans="1:20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247</v>
      </c>
      <c r="O18" s="76"/>
      <c r="P18" s="63" t="s">
        <v>195</v>
      </c>
      <c r="Q18" s="64" t="s">
        <v>196</v>
      </c>
      <c r="R18" s="64" t="s">
        <v>197</v>
      </c>
      <c r="S18" s="64" t="s">
        <v>198</v>
      </c>
      <c r="T18" s="64" t="s">
        <v>199</v>
      </c>
    </row>
    <row r="19" spans="1:20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/>
      <c r="I19" s="25">
        <f>H19*G19</f>
        <v>0</v>
      </c>
      <c r="J19" s="75">
        <f t="shared" ref="J19:J25" si="0">IF(G19="","",K19/G19)</f>
        <v>21</v>
      </c>
      <c r="K19" s="48">
        <v>2016</v>
      </c>
      <c r="L19" s="11"/>
      <c r="M19" s="1">
        <f t="shared" ref="M19:M21" si="1">K19*24</f>
        <v>48384</v>
      </c>
      <c r="O19" s="85"/>
      <c r="P19" s="77" t="s">
        <v>200</v>
      </c>
      <c r="Q19" s="65" t="s">
        <v>201</v>
      </c>
      <c r="R19" s="66" t="s">
        <v>202</v>
      </c>
      <c r="S19" s="66" t="s">
        <v>203</v>
      </c>
      <c r="T19" s="74" t="s">
        <v>204</v>
      </c>
    </row>
    <row r="20" spans="1:20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/>
      <c r="I20" s="25">
        <f t="shared" ref="I20:I25" si="2">H20*G20</f>
        <v>0</v>
      </c>
      <c r="J20" s="75">
        <f t="shared" si="0"/>
        <v>0</v>
      </c>
      <c r="K20" s="48">
        <v>0</v>
      </c>
      <c r="L20" s="13"/>
      <c r="M20" s="1">
        <f t="shared" si="1"/>
        <v>0</v>
      </c>
      <c r="P20" s="78"/>
      <c r="Q20" s="65" t="s">
        <v>205</v>
      </c>
      <c r="R20" s="66" t="s">
        <v>206</v>
      </c>
      <c r="S20" s="66" t="s">
        <v>207</v>
      </c>
      <c r="T20" s="74" t="s">
        <v>208</v>
      </c>
    </row>
    <row r="21" spans="1:20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/>
      <c r="I21" s="25">
        <f t="shared" si="2"/>
        <v>0</v>
      </c>
      <c r="J21" s="75">
        <f t="shared" si="0"/>
        <v>21</v>
      </c>
      <c r="K21" s="48">
        <v>2016</v>
      </c>
      <c r="M21" s="1">
        <f t="shared" si="1"/>
        <v>48384</v>
      </c>
      <c r="O21" s="85"/>
      <c r="P21" s="78"/>
      <c r="Q21" s="65" t="s">
        <v>209</v>
      </c>
      <c r="R21" s="66" t="s">
        <v>210</v>
      </c>
      <c r="S21" s="66" t="s">
        <v>211</v>
      </c>
      <c r="T21" s="74" t="s">
        <v>212</v>
      </c>
    </row>
    <row r="22" spans="1:20" ht="17.25" thickBot="1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>
        <v>0</v>
      </c>
      <c r="M22" s="1">
        <f t="shared" ref="M22:M24" si="3">K22*7</f>
        <v>0</v>
      </c>
      <c r="P22" s="78"/>
      <c r="Q22" s="65" t="s">
        <v>213</v>
      </c>
      <c r="R22" s="66" t="s">
        <v>214</v>
      </c>
      <c r="S22" s="66" t="s">
        <v>215</v>
      </c>
      <c r="T22" s="74" t="s">
        <v>216</v>
      </c>
    </row>
    <row r="23" spans="1:20" ht="17.25" thickBot="1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>
        <v>0</v>
      </c>
      <c r="M23" s="1">
        <f t="shared" si="3"/>
        <v>0</v>
      </c>
      <c r="P23" s="79"/>
      <c r="Q23" s="65" t="s">
        <v>217</v>
      </c>
      <c r="R23" s="66" t="s">
        <v>218</v>
      </c>
      <c r="S23" s="66" t="s">
        <v>219</v>
      </c>
      <c r="T23" s="74" t="s">
        <v>220</v>
      </c>
    </row>
    <row r="24" spans="1:20" ht="17.25" thickBot="1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>
        <v>0</v>
      </c>
      <c r="L24"/>
      <c r="M24" s="1">
        <f t="shared" si="3"/>
        <v>0</v>
      </c>
      <c r="P24" s="77" t="s">
        <v>221</v>
      </c>
      <c r="Q24" s="67" t="s">
        <v>222</v>
      </c>
      <c r="R24" s="66" t="s">
        <v>234</v>
      </c>
      <c r="S24" s="66" t="s">
        <v>235</v>
      </c>
      <c r="T24" s="66" t="s">
        <v>220</v>
      </c>
    </row>
    <row r="25" spans="1:20" ht="17.25" thickBot="1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2</v>
      </c>
      <c r="K25" s="48">
        <v>90</v>
      </c>
      <c r="L25"/>
      <c r="P25" s="78"/>
      <c r="Q25" s="67" t="s">
        <v>223</v>
      </c>
      <c r="R25" s="66" t="s">
        <v>234</v>
      </c>
      <c r="S25" s="66" t="s">
        <v>235</v>
      </c>
      <c r="T25" s="66" t="s">
        <v>220</v>
      </c>
    </row>
    <row r="26" spans="1:20" ht="17.25" thickBot="1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/>
      <c r="I26" s="54">
        <f t="shared" ref="I26:I33" si="4">H26*G26</f>
        <v>0</v>
      </c>
      <c r="J26" s="75">
        <f t="shared" ref="J26:J33" si="5">IF(G26="","",K26/G26)</f>
        <v>8</v>
      </c>
      <c r="K26" s="48">
        <v>768</v>
      </c>
      <c r="L26"/>
      <c r="O26" s="86"/>
      <c r="P26" s="78"/>
      <c r="Q26" s="67" t="s">
        <v>224</v>
      </c>
      <c r="R26" s="66" t="s">
        <v>225</v>
      </c>
      <c r="S26" s="66" t="s">
        <v>226</v>
      </c>
      <c r="T26" s="66" t="s">
        <v>227</v>
      </c>
    </row>
    <row r="27" spans="1:20" ht="17.25" thickBot="1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>
        <v>0</v>
      </c>
      <c r="L27"/>
      <c r="P27" s="79"/>
      <c r="Q27" s="67" t="s">
        <v>217</v>
      </c>
      <c r="R27" s="66" t="s">
        <v>228</v>
      </c>
      <c r="S27" s="66" t="s">
        <v>229</v>
      </c>
      <c r="T27" s="66" t="s">
        <v>230</v>
      </c>
    </row>
    <row r="28" spans="1:20" ht="17.25" thickBot="1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4"/>
        <v>0</v>
      </c>
      <c r="J28" s="75">
        <f t="shared" si="5"/>
        <v>1</v>
      </c>
      <c r="K28" s="48">
        <v>42</v>
      </c>
      <c r="L28"/>
      <c r="O28" s="87"/>
      <c r="P28" s="62"/>
      <c r="Q28" s="62"/>
      <c r="R28" s="68" t="s">
        <v>231</v>
      </c>
      <c r="S28" s="66" t="s">
        <v>232</v>
      </c>
      <c r="T28" s="66" t="s">
        <v>233</v>
      </c>
    </row>
    <row r="29" spans="1:20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>
        <v>1.5</v>
      </c>
      <c r="I29" s="54">
        <f t="shared" si="4"/>
        <v>63</v>
      </c>
      <c r="J29" s="75">
        <f t="shared" si="5"/>
        <v>0</v>
      </c>
      <c r="K29" s="48">
        <v>0</v>
      </c>
      <c r="L29"/>
      <c r="P29" s="62"/>
      <c r="Q29" s="62"/>
      <c r="R29" s="62"/>
      <c r="S29" s="62"/>
      <c r="T29" s="62"/>
    </row>
    <row r="30" spans="1:20">
      <c r="A30" s="69">
        <v>703818</v>
      </c>
      <c r="B30" s="69" t="s">
        <v>243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>
        <v>18</v>
      </c>
      <c r="I30" s="54">
        <f t="shared" si="4"/>
        <v>2304</v>
      </c>
      <c r="J30" s="75">
        <f t="shared" si="5"/>
        <v>0</v>
      </c>
      <c r="K30" s="48">
        <v>0</v>
      </c>
      <c r="L30"/>
      <c r="N30" s="76">
        <v>3333</v>
      </c>
      <c r="O30" s="76"/>
      <c r="P30" s="62"/>
      <c r="Q30" s="62"/>
      <c r="R30" s="62"/>
      <c r="S30" s="62"/>
      <c r="T30" s="62"/>
    </row>
    <row r="31" spans="1:20">
      <c r="A31" s="69">
        <v>703819</v>
      </c>
      <c r="B31" s="69" t="s">
        <v>244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>
        <v>30</v>
      </c>
      <c r="I31" s="54">
        <f t="shared" si="4"/>
        <v>3840</v>
      </c>
      <c r="J31" s="75">
        <f t="shared" si="5"/>
        <v>0</v>
      </c>
      <c r="K31" s="48">
        <v>0</v>
      </c>
      <c r="L31"/>
      <c r="N31" s="76">
        <v>3333</v>
      </c>
      <c r="O31" s="76"/>
      <c r="P31" s="62"/>
      <c r="Q31" s="62"/>
      <c r="R31" s="62"/>
      <c r="S31" s="62"/>
      <c r="T31" s="62"/>
    </row>
    <row r="32" spans="1:20">
      <c r="A32" s="69">
        <v>704052</v>
      </c>
      <c r="B32" s="69" t="s">
        <v>245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/>
      <c r="I32" s="54">
        <f t="shared" si="4"/>
        <v>0</v>
      </c>
      <c r="J32" s="75">
        <f t="shared" si="5"/>
        <v>16</v>
      </c>
      <c r="K32" s="48">
        <v>1440</v>
      </c>
      <c r="L32"/>
      <c r="N32" s="76">
        <v>600</v>
      </c>
      <c r="O32" s="76"/>
      <c r="P32" s="62"/>
      <c r="Q32" s="62"/>
      <c r="R32" s="62"/>
      <c r="S32" s="62"/>
      <c r="T32" s="62"/>
    </row>
    <row r="33" spans="1:20">
      <c r="A33" s="69">
        <v>704054</v>
      </c>
      <c r="B33" s="69" t="s">
        <v>246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/>
      <c r="I33" s="54">
        <f t="shared" si="4"/>
        <v>0</v>
      </c>
      <c r="J33" s="75">
        <f t="shared" si="5"/>
        <v>26</v>
      </c>
      <c r="K33" s="48">
        <v>2340</v>
      </c>
      <c r="L33"/>
      <c r="N33" s="76">
        <v>600</v>
      </c>
      <c r="O33" s="76"/>
      <c r="P33" s="62"/>
      <c r="Q33" s="62"/>
      <c r="R33" s="62"/>
      <c r="S33" s="62"/>
      <c r="T33" s="62"/>
    </row>
    <row r="34" spans="1:20">
      <c r="A34" s="8"/>
      <c r="B34" s="3"/>
      <c r="C34" s="3"/>
      <c r="D34" s="3"/>
      <c r="E34" s="3"/>
      <c r="F34" s="3"/>
      <c r="G34" s="3"/>
      <c r="J34" s="51"/>
      <c r="K34" s="3"/>
    </row>
    <row r="35" spans="1:20">
      <c r="A35" s="8"/>
      <c r="B35" s="8"/>
      <c r="C35" s="3"/>
      <c r="J35" s="8" t="s">
        <v>19</v>
      </c>
      <c r="K35" s="3"/>
    </row>
    <row r="36" spans="1:20">
      <c r="A36" s="8"/>
      <c r="B36" s="8"/>
      <c r="C36" s="3"/>
      <c r="J36" s="8" t="s">
        <v>20</v>
      </c>
      <c r="K36" s="26"/>
    </row>
    <row r="37" spans="1:20">
      <c r="A37" s="11"/>
      <c r="B37" s="11"/>
    </row>
    <row r="39" spans="1:20">
      <c r="A39"/>
      <c r="B39"/>
      <c r="C39"/>
      <c r="D39"/>
      <c r="E39"/>
      <c r="F39"/>
      <c r="G39">
        <f>90*4</f>
        <v>360</v>
      </c>
      <c r="H39"/>
      <c r="I39"/>
      <c r="J39" s="21"/>
    </row>
    <row r="40" spans="1:20">
      <c r="A40"/>
      <c r="B40"/>
      <c r="C40"/>
      <c r="D40"/>
      <c r="E40"/>
      <c r="F40"/>
      <c r="G40"/>
      <c r="H40"/>
      <c r="I40"/>
      <c r="J40" s="21"/>
    </row>
    <row r="41" spans="1:20">
      <c r="A41"/>
      <c r="B41"/>
      <c r="C41"/>
      <c r="D41"/>
      <c r="E41"/>
      <c r="F41"/>
      <c r="G41"/>
      <c r="H41"/>
      <c r="I41"/>
      <c r="J41" s="21"/>
    </row>
    <row r="42" spans="1:20">
      <c r="A42"/>
      <c r="B42"/>
      <c r="C42"/>
      <c r="D42"/>
      <c r="E42"/>
      <c r="F42"/>
      <c r="G42"/>
      <c r="H42"/>
      <c r="I42"/>
      <c r="J42" s="21"/>
    </row>
    <row r="43" spans="1:20">
      <c r="A43"/>
      <c r="B43"/>
      <c r="C43"/>
      <c r="D43"/>
      <c r="E43"/>
      <c r="F43"/>
      <c r="G43"/>
      <c r="H43"/>
      <c r="I43"/>
      <c r="J43" s="21"/>
    </row>
    <row r="44" spans="1:20">
      <c r="A44" s="22"/>
      <c r="B44"/>
      <c r="C44"/>
      <c r="D44"/>
      <c r="E44"/>
      <c r="F44"/>
      <c r="G44"/>
      <c r="H44"/>
      <c r="I44"/>
      <c r="J44" s="21"/>
    </row>
    <row r="45" spans="1:20">
      <c r="A45"/>
      <c r="B45"/>
      <c r="C45"/>
      <c r="D45"/>
      <c r="E45"/>
      <c r="F45"/>
      <c r="G45"/>
      <c r="H45"/>
      <c r="I45" s="50"/>
      <c r="J45" s="21"/>
    </row>
    <row r="46" spans="1:20">
      <c r="A46"/>
      <c r="B46"/>
      <c r="C46"/>
      <c r="D46"/>
      <c r="E46"/>
      <c r="F46"/>
      <c r="G46"/>
      <c r="H46"/>
      <c r="I46" s="49"/>
      <c r="J46" s="21"/>
    </row>
    <row r="47" spans="1:20">
      <c r="A47"/>
      <c r="B47"/>
      <c r="C47"/>
      <c r="D47"/>
      <c r="E47"/>
      <c r="F47"/>
      <c r="G47"/>
      <c r="H47"/>
      <c r="I47" s="49"/>
      <c r="J47" s="21"/>
    </row>
    <row r="48" spans="1:20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P19:P23"/>
    <mergeCell ref="P24:P27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0" t="s">
        <v>28</v>
      </c>
      <c r="B3" s="81"/>
      <c r="D3" s="82" t="s">
        <v>152</v>
      </c>
      <c r="E3" s="83"/>
      <c r="F3" s="83"/>
      <c r="G3" s="83"/>
      <c r="H3" s="84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2025-01-24T08:12:58Z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
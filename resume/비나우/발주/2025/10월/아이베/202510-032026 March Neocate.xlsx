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EIBE)\Planning\ORDERS\"/>
    </mc:Choice>
  </mc:AlternateContent>
  <xr:revisionPtr revIDLastSave="0" documentId="13_ncr:1_{4F5BBAB7-B2EE-4B23-A30D-8ED98E9529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Order!$A$18:$R$42</definedName>
    <definedName name="ExactAddinConnection" hidden="1">"001"</definedName>
    <definedName name="ExactAddinConnection.001" hidden="1">"WFRPARNLB062\\EXACTPROD;001;soekhlar;1"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<sst xmlns="http://schemas.openxmlformats.org/spreadsheetml/2006/main" count="303" uniqueCount="234">
  <si>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</si>
  <si>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</si>
  <si>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</si>
  <si>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</si>
  <si>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</si>
  <si>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</si>
  <si>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</si>
  <si>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</si>
  <si>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</si>
  <si>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</si>
  <si>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</si>
  <si>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</si>
  <si>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</si>
  <si>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</si>
  <si>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</si>
  <si>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</si>
  <si>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</si>
  <si>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</si>
  <si>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</si>
  <si>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</si>
  <si>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</si>
  <si>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</si>
  <si>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</si>
  <si>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</si>
  <si>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</si>
  <si>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</si>
  <si>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</si>
  <si>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</si>
  <si>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</si>
  <si>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</si>
  <si>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</si>
  <si>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</si>
  <si>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</si>
  <si>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</si>
  <si>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</si>
  <si>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</si>
  <si>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</si>
  <si>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</si>
  <si>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</si>
  <si>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</si>
  <si>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</si>
  <si>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</si>
  <si>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</si>
  <si>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</si>
  <si>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</si>
  <si>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</si>
  <si>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</si>
  <si>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</si>
  <si>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</si>
  <si>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</si>
  <si>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</si>
  <si>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</si>
  <si>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</si>
  <si>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</si>
  <si>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</si>
  <si>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</si>
  <si>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</si>
  <si>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</si>
  <si>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</si>
  <si>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</si>
  <si>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</si>
  <si>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</si>
  <si>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</si>
  <si>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</si>
  <si>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</si>
  <si>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</si>
  <si>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</si>
  <si>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</si>
  <si>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</si>
  <si>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</si>
  <si>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</si>
  <si>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</si>
  <si>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</si>
  <si>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</si>
  <si>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</si>
  <si>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</si>
  <si>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</si>
  <si>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</si>
  <si>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</si>
  <si>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</si>
  <si>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</si>
  <si>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</si>
  <si>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</si>
  <si>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</si>
  <si>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</si>
  <si>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</si>
  <si>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</si>
  <si>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</si>
  <si>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</si>
  <si>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</si>
  <si>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</si>
  <si>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</si>
  <si>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</si>
  <si>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</si>
  <si>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</si>
  <si>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</si>
  <si>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</si>
  <si>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</si>
  <si>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</si>
  <si>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</si>
  <si>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</si>
  <si>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</si>
  <si>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</si>
  <si>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</si>
  <si>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</si>
  <si>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</si>
  <si>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</si>
  <si>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</si>
  <si>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</si>
  <si>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</si>
  <si>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</si>
  <si>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</si>
  <si>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</si>
  <si>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</si>
  <si>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</si>
  <si>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</si>
  <si>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</si>
  <si>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</si>
  <si>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</si>
  <si>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</si>
  <si>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</si>
  <si>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</si>
  <si>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</si>
  <si>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</si>
  <si>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</si>
  <si>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</si>
  <si>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</si>
  <si>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</si>
  <si>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</si>
  <si>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</si>
  <si>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</si>
  <si>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</si>
  <si>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</si>
  <si>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</si>
  <si>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</si>
  <si>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</si>
  <si>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</si>
  <si>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</si>
  <si>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</si>
  <si>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</si>
  <si>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</si>
  <si>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</si>
  <si>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</si>
  <si>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</si>
  <si>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</si>
  <si>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</si>
  <si>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</si>
  <si>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</si>
  <si>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</si>
  <si>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</si>
  <si>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</si>
  <si>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</si>
  <si>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</si>
  <si>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</si>
  <si>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</si>
  <si>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</si>
  <si>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</si>
  <si>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</si>
  <si>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</si>
  <si>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</si>
  <si>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</si>
  <si>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</si>
  <si>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</si>
  <si>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</si>
  <si>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</si>
  <si>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</si>
  <si>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</si>
  <si>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</si>
  <si>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</si>
  <si>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</si>
  <si>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</si>
  <si>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</si>
  <si>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</si>
  <si>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</si>
  <si>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</si>
  <si>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</si>
  <si>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</si>
  <si>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</si>
  <si>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</si>
  <si>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</si>
  <si>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</si>
  <si>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</si>
  <si>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</si>
  <si>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</si>
  <si>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</si>
  <si>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</si>
  <si>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</si>
  <si>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</si>
  <si>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</si>
  <si>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</si>
  <si>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</si>
  <si>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</si>
  <si>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</si>
  <si>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</si>
  <si>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</si>
  <si>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</si>
  <si>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</si>
  <si>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</si>
  <si>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</si>
  <si>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</si>
  <si>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</si>
  <si>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</si>
  <si>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</si>
  <si>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</si>
  <si>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</si>
  <si>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</si>
  <si>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</si>
  <si>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</si>
  <si>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</si>
  <si>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</si>
  <si>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March</t>
  </si>
  <si>
    <t>W/H/03/2026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</si>
  <si>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</si>
  <si>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</si>
  <si>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</si>
  <si>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</si>
  <si>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</si>
  <si>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</si>
  <si>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</si>
  <si>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</si>
  <si>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</si>
  <si>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</si>
  <si>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</si>
  <si>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</si>
  <si>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</si>
  <si>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</si>
  <si>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</si>
  <si>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</si>
  <si>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</si>
  <si>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1500 TU</t>
  </si>
  <si>
    <t>2120 TU</t>
  </si>
  <si>
    <t>2280 TU</t>
  </si>
  <si>
    <t>1880 TU</t>
  </si>
  <si>
    <t>1008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</si>
</sst>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_-* #,##0.0_-;\-* #,##0.0_-;_-* &quot;-&quot;_-;_-@_-"/>
  </numFmts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73" fontId="7" fillId="5" borderId="2" xfId="1" applyNumberFormat="1" applyFont="1" applyFill="1" applyBorder="1" applyAlignment="1"/>
    <xf numFmtId="41" fontId="0" fillId="2" borderId="0" xfId="0" applyNumberFormat="1" applyFill="1"/>
    <xf numFmtId="173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43" fontId="0" fillId="2" borderId="0" xfId="0" quotePrefix="1" applyNumberFormat="1" applyFill="1"/>
    <xf numFmtId="0" fontId="0" fillId="2" borderId="0" xfId="0" applyFill="1" applyAlignment="1">
      <alignment wrapText="1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27" fillId="2" borderId="0" xfId="1" applyFont="1" applyFill="1" applyAlignment="1"/>
    <xf numFmtId="0" fontId="1" fillId="0" borderId="1" xfId="0" applyFont="1" applyFill="1" applyBorder="1"/>
    <xf numFmtId="0" fontId="1" fillId="0" borderId="2" xfId="0" quotePrefix="1" applyFont="1" applyFill="1" applyBorder="1"/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60" zoomScaleNormal="60" workbookViewId="0">
      <selection activeCell="O50" sqref="O50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bestFit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9.08984375" style="1"/>
    <col min="15" max="15" width="12" style="1" customWidth="1"/>
    <col min="16" max="16" width="13.36328125" style="57" bestFit="1" customWidth="1"/>
    <col min="17" max="17" width="9.08984375" style="1"/>
    <col min="18" max="18" width="19.36328125" style="1" bestFit="1" customWidth="1"/>
    <col min="19" max="16384" width="9.08984375" style="1"/>
  </cols>
  <sheetData>
    <row r="1" spans="1:3" ht="15.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195</v>
      </c>
      <c r="B6" s="58">
        <v>3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210</v>
      </c>
      <c r="C8" s="9"/>
    </row>
    <row r="9" spans="1:3">
      <c r="A9" s="2" t="s">
        <v>2</v>
      </c>
      <c r="B9" s="19" t="s">
        <v>211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7" t="s">
        <v>229</v>
      </c>
      <c r="O19" s="63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7" t="s">
        <v>229</v>
      </c>
      <c r="O20" s="63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7" t="s">
        <v>229</v>
      </c>
      <c r="O21" s="63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7" t="s">
        <v>230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7" t="s">
        <v>231</v>
      </c>
      <c r="O23" s="60"/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/>
      <c r="L24"/>
      <c r="M24" s="1">
        <f t="shared" si="5"/>
        <v>0</v>
      </c>
      <c r="N24" s="87" t="s">
        <v>232</v>
      </c>
    </row>
    <row r="25" spans="1:18" hidden="1">
      <c r="A25" s="15">
        <v>702466</v>
      </c>
      <c r="B25" s="15" t="s">
        <v>208</v>
      </c>
      <c r="C25" s="16">
        <v>280</v>
      </c>
      <c r="D25" s="96" t="s">
        <v>173</v>
      </c>
      <c r="E25" s="97" t="str">
        <f>VLOOKUP($D25,'Lookup info'!$D:$H,2,FALSE)</f>
        <v>0120</v>
      </c>
      <c r="F25" s="97" t="str">
        <f>VLOOKUP($D25,'Lookup info'!$D:$H,5,FALSE)</f>
        <v>F</v>
      </c>
      <c r="G25" s="26">
        <v>72</v>
      </c>
      <c r="H25" s="27"/>
      <c r="I25" s="27">
        <f>H25*G25</f>
        <v>0</v>
      </c>
      <c r="J25" s="59">
        <f t="shared" ref="J25:J34" si="6">IF(G25="","",K25/G25)</f>
        <v>0</v>
      </c>
      <c r="K25" s="52"/>
      <c r="N25" s="87" t="s">
        <v>209</v>
      </c>
      <c r="O25" s="88"/>
    </row>
    <row r="26" spans="1:18" hidden="1">
      <c r="A26" s="15">
        <v>552897</v>
      </c>
      <c r="B26" s="15" t="s">
        <v>212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ref="I26:I29" si="7">H26*G26</f>
        <v>0</v>
      </c>
      <c r="J26" s="59">
        <f t="shared" si="6"/>
        <v>0</v>
      </c>
      <c r="K26" s="52"/>
      <c r="L26" s="13"/>
      <c r="M26" s="1">
        <f t="shared" ref="M26:M27" si="8">K26*24</f>
        <v>0</v>
      </c>
      <c r="N26" s="87" t="s">
        <v>229</v>
      </c>
      <c r="O26" s="63" t="s">
        <v>198</v>
      </c>
    </row>
    <row r="27" spans="1:18">
      <c r="A27" s="15">
        <v>701775</v>
      </c>
      <c r="B27" s="15" t="s">
        <v>213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si="7"/>
        <v>0</v>
      </c>
      <c r="J27" s="59">
        <f t="shared" si="6"/>
        <v>0</v>
      </c>
      <c r="K27" s="52"/>
      <c r="M27" s="1">
        <f t="shared" si="8"/>
        <v>0</v>
      </c>
      <c r="N27" s="95"/>
      <c r="O27" s="63" t="s">
        <v>198</v>
      </c>
    </row>
    <row r="28" spans="1:18" hidden="1">
      <c r="A28" s="15">
        <v>691217</v>
      </c>
      <c r="B28" s="15" t="s">
        <v>214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27"/>
      <c r="I28" s="27">
        <f t="shared" si="7"/>
        <v>0</v>
      </c>
      <c r="J28" s="59">
        <f t="shared" si="6"/>
        <v>0</v>
      </c>
      <c r="K28" s="52"/>
      <c r="M28" s="1">
        <f t="shared" ref="M28:M30" si="9">K28*7</f>
        <v>0</v>
      </c>
      <c r="N28" s="57"/>
    </row>
    <row r="29" spans="1:18" hidden="1">
      <c r="A29" s="15">
        <v>117771</v>
      </c>
      <c r="B29" s="15" t="s">
        <v>215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7"/>
        <v>0</v>
      </c>
      <c r="J29" s="59">
        <f t="shared" si="6"/>
        <v>0</v>
      </c>
      <c r="K29" s="52"/>
      <c r="M29" s="1">
        <f t="shared" si="9"/>
        <v>0</v>
      </c>
      <c r="N29" s="57"/>
      <c r="O29" s="60"/>
    </row>
    <row r="30" spans="1:18" hidden="1">
      <c r="A30" s="15">
        <v>611174</v>
      </c>
      <c r="B30" s="15" t="s">
        <v>216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>H30*G30</f>
        <v>0</v>
      </c>
      <c r="J30" s="59">
        <f t="shared" si="6"/>
        <v>0</v>
      </c>
      <c r="K30" s="52"/>
      <c r="L30"/>
      <c r="M30" s="1">
        <f t="shared" si="9"/>
        <v>0</v>
      </c>
      <c r="N30" s="87" t="s">
        <v>233</v>
      </c>
    </row>
    <row r="31" spans="1:18" hidden="1">
      <c r="A31" s="15">
        <v>117547</v>
      </c>
      <c r="B31" s="15" t="s">
        <v>217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 t="shared" ref="I31:I39" si="10">H31*G31</f>
        <v>0</v>
      </c>
      <c r="J31" s="52">
        <f t="shared" si="6"/>
        <v>0</v>
      </c>
      <c r="K31" s="52"/>
      <c r="M31" s="1">
        <f t="shared" ref="M31" si="11">K31*4</f>
        <v>0</v>
      </c>
      <c r="N31" s="57"/>
      <c r="R31" s="56"/>
    </row>
    <row r="32" spans="1:18" hidden="1">
      <c r="A32" s="15">
        <v>646546</v>
      </c>
      <c r="B32" s="15" t="s">
        <v>218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si="10"/>
        <v>0</v>
      </c>
      <c r="J32" s="52">
        <f t="shared" si="6"/>
        <v>0</v>
      </c>
      <c r="K32" s="52"/>
      <c r="L32" s="14"/>
      <c r="M32" s="14">
        <f t="shared" ref="M32" si="12">K32*7</f>
        <v>0</v>
      </c>
      <c r="O32" s="61"/>
    </row>
    <row r="33" spans="1:18" hidden="1">
      <c r="A33" s="15">
        <v>646567</v>
      </c>
      <c r="B33" s="15" t="s">
        <v>219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2">
        <f t="shared" si="6"/>
        <v>0</v>
      </c>
      <c r="K33" s="52"/>
      <c r="M33" s="1">
        <f>K33*5</f>
        <v>0</v>
      </c>
      <c r="O33" s="57"/>
    </row>
    <row r="34" spans="1:18" hidden="1">
      <c r="A34" s="15">
        <v>589466</v>
      </c>
      <c r="B34" s="15" t="s">
        <v>220</v>
      </c>
      <c r="C34" s="16">
        <v>400</v>
      </c>
      <c r="D34" s="16" t="s">
        <v>172</v>
      </c>
      <c r="E34" s="30" t="s">
        <v>124</v>
      </c>
      <c r="F34" s="30" t="s">
        <v>158</v>
      </c>
      <c r="G34" s="26">
        <v>108</v>
      </c>
      <c r="H34" s="27"/>
      <c r="I34" s="27">
        <f t="shared" si="10"/>
        <v>0</v>
      </c>
      <c r="J34" s="52">
        <f t="shared" si="6"/>
        <v>0</v>
      </c>
      <c r="K34" s="52"/>
      <c r="L34" s="11"/>
      <c r="M34" s="1">
        <f t="shared" ref="M34:M38" si="13">K34*4</f>
        <v>0</v>
      </c>
      <c r="O34" s="57"/>
    </row>
    <row r="35" spans="1:18" hidden="1">
      <c r="A35" s="15">
        <v>116180</v>
      </c>
      <c r="B35" s="15" t="s">
        <v>221</v>
      </c>
      <c r="C35" s="16">
        <v>500</v>
      </c>
      <c r="D35" s="16" t="s">
        <v>172</v>
      </c>
      <c r="E35" s="30" t="s">
        <v>124</v>
      </c>
      <c r="F35" s="30" t="s">
        <v>158</v>
      </c>
      <c r="G35" s="26">
        <v>200</v>
      </c>
      <c r="H35" s="27"/>
      <c r="I35" s="27">
        <f t="shared" si="10"/>
        <v>0</v>
      </c>
      <c r="J35" s="52">
        <f t="shared" ref="J35:J42" si="14">IF(G35="","",K35/G35)</f>
        <v>0</v>
      </c>
      <c r="K35" s="52"/>
      <c r="L35" s="13"/>
      <c r="M35" s="1">
        <f t="shared" si="13"/>
        <v>0</v>
      </c>
    </row>
    <row r="36" spans="1:18" hidden="1">
      <c r="A36" s="15">
        <v>589462</v>
      </c>
      <c r="B36" s="15" t="s">
        <v>222</v>
      </c>
      <c r="C36" s="16">
        <v>400</v>
      </c>
      <c r="D36" s="16" t="s">
        <v>172</v>
      </c>
      <c r="E36" s="30" t="s">
        <v>124</v>
      </c>
      <c r="F36" s="30" t="s">
        <v>158</v>
      </c>
      <c r="G36" s="26">
        <v>108</v>
      </c>
      <c r="H36" s="27"/>
      <c r="I36" s="27">
        <f t="shared" si="10"/>
        <v>0</v>
      </c>
      <c r="J36" s="52">
        <f t="shared" si="14"/>
        <v>0</v>
      </c>
      <c r="K36" s="52"/>
      <c r="M36" s="1">
        <f t="shared" si="13"/>
        <v>0</v>
      </c>
    </row>
    <row r="37" spans="1:18" hidden="1">
      <c r="A37" s="15">
        <v>646548</v>
      </c>
      <c r="B37" s="15" t="s">
        <v>223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225</v>
      </c>
      <c r="H37" s="27"/>
      <c r="I37" s="27">
        <f t="shared" si="10"/>
        <v>0</v>
      </c>
      <c r="J37" s="52">
        <f t="shared" si="14"/>
        <v>0</v>
      </c>
      <c r="K37" s="52"/>
      <c r="M37" s="1">
        <f t="shared" si="13"/>
        <v>0</v>
      </c>
    </row>
    <row r="38" spans="1:18" hidden="1">
      <c r="A38" s="15">
        <v>695413</v>
      </c>
      <c r="B38" s="15" t="s">
        <v>224</v>
      </c>
      <c r="C38" s="16">
        <v>400</v>
      </c>
      <c r="D38" s="16" t="s">
        <v>173</v>
      </c>
      <c r="E38" s="30" t="s">
        <v>125</v>
      </c>
      <c r="F38" s="30" t="s">
        <v>159</v>
      </c>
      <c r="G38" s="26">
        <v>132</v>
      </c>
      <c r="H38" s="27"/>
      <c r="I38" s="27">
        <f t="shared" si="10"/>
        <v>0</v>
      </c>
      <c r="J38" s="52">
        <f t="shared" si="14"/>
        <v>0</v>
      </c>
      <c r="K38" s="52"/>
      <c r="M38" s="1">
        <f t="shared" si="13"/>
        <v>0</v>
      </c>
    </row>
    <row r="39" spans="1:18" hidden="1">
      <c r="A39" s="15">
        <v>699883</v>
      </c>
      <c r="B39" s="15" t="s">
        <v>225</v>
      </c>
      <c r="C39" s="16">
        <v>300</v>
      </c>
      <c r="D39" s="16" t="s">
        <v>173</v>
      </c>
      <c r="E39" s="30" t="s">
        <v>125</v>
      </c>
      <c r="F39" s="30" t="s">
        <v>159</v>
      </c>
      <c r="G39" s="26">
        <v>144</v>
      </c>
      <c r="H39" s="27"/>
      <c r="I39" s="27">
        <f t="shared" si="10"/>
        <v>0</v>
      </c>
      <c r="J39" s="59">
        <f t="shared" si="14"/>
        <v>0</v>
      </c>
      <c r="K39" s="52"/>
      <c r="M39" s="1">
        <f t="shared" ref="M39:M40" si="15">K39*7</f>
        <v>0</v>
      </c>
      <c r="O39" s="60"/>
    </row>
    <row r="40" spans="1:18" hidden="1">
      <c r="A40" s="15">
        <v>645380</v>
      </c>
      <c r="B40" s="15" t="s">
        <v>226</v>
      </c>
      <c r="C40" s="16">
        <v>400</v>
      </c>
      <c r="D40" s="16" t="s">
        <v>168</v>
      </c>
      <c r="E40" s="30" t="s">
        <v>32</v>
      </c>
      <c r="F40" s="30" t="s">
        <v>150</v>
      </c>
      <c r="G40" s="26">
        <v>72</v>
      </c>
      <c r="H40" s="27"/>
      <c r="I40" s="27">
        <f>H40*G40</f>
        <v>0</v>
      </c>
      <c r="J40" s="59">
        <f t="shared" si="14"/>
        <v>0</v>
      </c>
      <c r="K40" s="52"/>
      <c r="L40"/>
      <c r="M40" s="1">
        <f t="shared" si="15"/>
        <v>0</v>
      </c>
    </row>
    <row r="41" spans="1:18" hidden="1">
      <c r="A41" s="15">
        <v>552896</v>
      </c>
      <c r="B41" s="15" t="s">
        <v>227</v>
      </c>
      <c r="C41" s="16">
        <v>100</v>
      </c>
      <c r="D41" s="16" t="s">
        <v>172</v>
      </c>
      <c r="E41" s="30" t="s">
        <v>124</v>
      </c>
      <c r="F41" s="30" t="s">
        <v>158</v>
      </c>
      <c r="G41" s="26">
        <v>245</v>
      </c>
      <c r="H41" s="27"/>
      <c r="I41" s="27">
        <f t="shared" ref="I41:I42" si="16">H41*G41</f>
        <v>0</v>
      </c>
      <c r="J41" s="52">
        <f t="shared" si="14"/>
        <v>0</v>
      </c>
      <c r="K41" s="52"/>
      <c r="M41" s="1">
        <f t="shared" ref="M41" si="17">K41*4</f>
        <v>0</v>
      </c>
      <c r="N41" s="87" t="s">
        <v>229</v>
      </c>
      <c r="R41" s="56"/>
    </row>
    <row r="42" spans="1:18" hidden="1">
      <c r="A42" s="15">
        <v>578785</v>
      </c>
      <c r="B42" s="15" t="s">
        <v>228</v>
      </c>
      <c r="C42" s="16">
        <v>100</v>
      </c>
      <c r="D42" s="16" t="s">
        <v>172</v>
      </c>
      <c r="E42" s="30" t="s">
        <v>124</v>
      </c>
      <c r="F42" s="30" t="s">
        <v>158</v>
      </c>
      <c r="G42" s="26">
        <v>245</v>
      </c>
      <c r="H42" s="27"/>
      <c r="I42" s="27">
        <f t="shared" si="16"/>
        <v>0</v>
      </c>
      <c r="J42" s="52">
        <f t="shared" si="14"/>
        <v>0</v>
      </c>
      <c r="K42" s="52"/>
      <c r="L42" s="14"/>
      <c r="M42" s="14">
        <f t="shared" ref="M42" si="18">K42*7</f>
        <v>0</v>
      </c>
      <c r="O42" s="61"/>
    </row>
    <row r="43" spans="1:18">
      <c r="A43" s="8"/>
      <c r="B43" s="3"/>
      <c r="C43" s="3"/>
      <c r="D43" s="3"/>
      <c r="E43" s="3"/>
      <c r="F43" s="3"/>
      <c r="G43" s="3"/>
      <c r="J43" s="55"/>
      <c r="K43" s="3"/>
    </row>
    <row r="44" spans="1:18">
      <c r="A44" s="8"/>
      <c r="B44" s="8"/>
      <c r="C44" s="3"/>
      <c r="J44" s="8" t="s">
        <v>19</v>
      </c>
      <c r="K44" s="3"/>
    </row>
    <row r="45" spans="1:18">
      <c r="A45" s="8"/>
      <c r="B45" s="8"/>
      <c r="C45" s="3"/>
      <c r="J45" s="8" t="s">
        <v>20</v>
      </c>
      <c r="K45" s="28"/>
    </row>
    <row r="46" spans="1:18">
      <c r="A46" s="11"/>
      <c r="B46" s="11"/>
    </row>
    <row r="48" spans="1:18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9"/>
    </row>
    <row r="62" spans="1:11">
      <c r="I62"/>
    </row>
  </sheetData>
  <autoFilter ref="A18:R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D26:D42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265625" defaultRowHeight="14.5"/>
  <sheetData>
    <row r="2" spans="2:10" ht="15" thickBot="1"/>
    <row r="3" spans="2:10" ht="15.5" thickTop="1" thickBot="1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5.5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51" t="s">
        <v>184</v>
      </c>
    </row>
    <row r="2" spans="1:8" ht="15" thickBot="1"/>
    <row r="3" spans="1:8" ht="15" thickBot="1">
      <c r="A3" s="90" t="s">
        <v>28</v>
      </c>
      <c r="B3" s="91"/>
      <c r="D3" s="92" t="s">
        <v>152</v>
      </c>
      <c r="E3" s="93"/>
      <c r="F3" s="93"/>
      <c r="G3" s="93"/>
      <c r="H3" s="94"/>
    </row>
    <row r="4" spans="1:8" ht="1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2025-10-24T16:44:49Z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
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10월\아이베\"/>
    </mc:Choice>
  </mc:AlternateContent>
  <xr:revisionPtr revIDLastSave="0" documentId="13_ncr:1_{6F903891-9EAD-42A2-A015-A375F019D6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Order!$A$18:$M$24</definedName>
    <definedName name="ExactAddinConnection" hidden="1">"001"</definedName>
    <definedName name="ExactAddinConnection.001" hidden="1">"WFRPARNLB062\\EXACTPROD;001;soekhlar;1"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2" i="1" l="1"/>
  <c r="J42" i="1"/>
  <c r="I42" i="1"/>
  <c r="M41" i="1"/>
  <c r="J41" i="1"/>
  <c r="I41" i="1"/>
  <c r="M39" i="1"/>
  <c r="J39" i="1"/>
  <c r="I39" i="1"/>
  <c r="M38" i="1"/>
  <c r="J38" i="1"/>
  <c r="I38" i="1"/>
  <c r="M37" i="1"/>
  <c r="J37" i="1"/>
  <c r="I37" i="1"/>
  <c r="M36" i="1"/>
  <c r="J36" i="1"/>
  <c r="I36" i="1"/>
  <c r="M35" i="1"/>
  <c r="J35" i="1"/>
  <c r="I35" i="1"/>
  <c r="M34" i="1"/>
  <c r="J34" i="1"/>
  <c r="I34" i="1"/>
  <c r="M33" i="1"/>
  <c r="J33" i="1"/>
  <c r="I33" i="1"/>
  <c r="M32" i="1"/>
  <c r="J32" i="1"/>
  <c r="I32" i="1"/>
  <c r="M31" i="1"/>
  <c r="J31" i="1"/>
  <c r="I31" i="1"/>
  <c r="M30" i="1"/>
  <c r="J30" i="1"/>
  <c r="I30" i="1"/>
  <c r="M29" i="1"/>
  <c r="J29" i="1"/>
  <c r="I29" i="1"/>
  <c r="M28" i="1"/>
  <c r="J28" i="1"/>
  <c r="I28" i="1"/>
  <c r="M27" i="1"/>
  <c r="J27" i="1"/>
  <c r="I27" i="1"/>
  <c r="M26" i="1"/>
  <c r="J26" i="1"/>
  <c r="I26" i="1"/>
  <c r="I25" i="1"/>
  <c r="J25" i="1"/>
  <c r="F25" i="1"/>
  <c r="E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3" i="1"/>
  <c r="J24" i="1"/>
  <c r="J21" i="1"/>
  <c r="J20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1" i="1"/>
  <c r="E19" i="1" l="1"/>
  <c r="E21" i="1"/>
  <c r="E20" i="1"/>
  <c r="F19" i="1"/>
  <c r="M23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<sst xmlns="http://schemas.openxmlformats.org/spreadsheetml/2006/main" count="323" uniqueCount="236">
  <si>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</si>
  <si>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</si>
  <si>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</si>
  <si>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</si>
  <si>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</si>
  <si>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</si>
  <si>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</si>
  <si>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</si>
  <si>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</si>
  <si>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</si>
  <si>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</si>
  <si>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</si>
  <si>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</si>
  <si>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</si>
  <si>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</si>
  <si>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</si>
  <si>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</si>
  <si>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</si>
  <si>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</si>
  <si>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</si>
  <si>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</si>
  <si>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</si>
  <si>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</si>
  <si>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</si>
  <si>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</si>
  <si>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</si>
  <si>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</si>
  <si>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</si>
  <si>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</si>
  <si>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</si>
  <si>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</si>
  <si>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</si>
  <si>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</si>
  <si>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</si>
  <si>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</si>
  <si>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</si>
  <si>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</si>
  <si>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</si>
  <si>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</si>
  <si>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</si>
  <si>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</si>
  <si>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</si>
  <si>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</si>
  <si>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</si>
  <si>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</si>
  <si>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</si>
  <si>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</si>
  <si>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</si>
  <si>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</si>
  <si>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</si>
  <si>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</si>
  <si>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</si>
  <si>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</si>
  <si>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</si>
  <si>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</si>
  <si>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</si>
  <si>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</si>
  <si>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</si>
  <si>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</si>
  <si>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</si>
  <si>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</si>
  <si>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</si>
  <si>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</si>
  <si>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</si>
  <si>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</si>
  <si>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</si>
  <si>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</si>
  <si>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</si>
  <si>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</si>
  <si>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</si>
  <si>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</si>
  <si>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</si>
  <si>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</si>
  <si>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</si>
  <si>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</si>
  <si>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</si>
  <si>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</si>
  <si>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</si>
  <si>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</si>
  <si>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</si>
  <si>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</si>
  <si>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</si>
  <si>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</si>
  <si>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</si>
  <si>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</si>
  <si>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</si>
  <si>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</si>
  <si>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</si>
  <si>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</si>
  <si>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</si>
  <si>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</si>
  <si>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</si>
  <si>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</si>
  <si>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</si>
  <si>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</si>
  <si>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</si>
  <si>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</si>
  <si>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</si>
  <si>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</si>
  <si>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</si>
  <si>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</si>
  <si>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</si>
  <si>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</si>
  <si>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</si>
  <si>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</si>
  <si>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</si>
  <si>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</si>
  <si>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</si>
  <si>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</si>
  <si>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</si>
  <si>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</si>
  <si>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</si>
  <si>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</si>
  <si>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</si>
  <si>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</si>
  <si>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</si>
  <si>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</si>
  <si>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</si>
  <si>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</si>
  <si>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</si>
  <si>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</si>
  <si>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</si>
  <si>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</si>
  <si>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</si>
  <si>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</si>
  <si>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</si>
  <si>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</si>
  <si>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</si>
  <si>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</si>
  <si>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</si>
  <si>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</si>
  <si>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</si>
  <si>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</si>
  <si>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</si>
  <si>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</si>
  <si>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</si>
  <si>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</si>
  <si>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</si>
  <si>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</si>
  <si>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</si>
  <si>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</si>
  <si>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</si>
  <si>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</si>
  <si>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</si>
  <si>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</si>
  <si>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</si>
  <si>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</si>
  <si>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</si>
  <si>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</si>
  <si>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</si>
  <si>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</si>
  <si>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</si>
  <si>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</si>
  <si>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</si>
  <si>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</si>
  <si>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</si>
  <si>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</si>
  <si>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</si>
  <si>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</si>
  <si>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</si>
  <si>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</si>
  <si>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</si>
  <si>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</si>
  <si>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</si>
  <si>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</si>
  <si>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</si>
  <si>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</si>
  <si>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</si>
  <si>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</si>
  <si>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</si>
  <si>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</si>
  <si>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</si>
  <si>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</si>
  <si>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</si>
  <si>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</si>
  <si>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</si>
  <si>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</si>
  <si>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</si>
  <si>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</si>
  <si>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</si>
  <si>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</si>
  <si>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</si>
  <si>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</si>
  <si>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</si>
  <si>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</si>
  <si>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</si>
  <si>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</si>
  <si>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</si>
  <si>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</si>
  <si>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</si>
  <si>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</si>
  <si>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</si>
  <si>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</si>
  <si>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</si>
  <si>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</si>
  <si>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</si>
  <si>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</si>
  <si>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</si>
  <si>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</si>
  <si>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</si>
  <si>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</si>
  <si>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</si>
  <si>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</si>
  <si>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</si>
  <si>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</si>
  <si>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</si>
  <si>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</si>
  <si>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</si>
  <si>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</si>
  <si>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</si>
  <si>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January</t>
  </si>
  <si>
    <t>W/H/01/2026</t>
  </si>
  <si>
    <t>2120 TU</t>
  </si>
  <si>
    <t>2280 TU</t>
  </si>
  <si>
    <t>1880 TU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</si>
  <si>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</si>
  <si>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</si>
  <si>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</si>
  <si>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</si>
  <si>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</si>
  <si>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</si>
  <si>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</si>
  <si>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</si>
  <si>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</si>
  <si>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</si>
  <si>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</si>
  <si>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</si>
  <si>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</si>
  <si>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</si>
  <si>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</si>
  <si>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</si>
  <si>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</si>
  <si>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</si>
  <si>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Already confirmed</t>
  </si>
  <si>
    <t>1008 TU</t>
  </si>
  <si>
    <t>331 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</si>
</sst>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8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topLeftCell="A10" zoomScale="85" zoomScaleNormal="85" workbookViewId="0">
      <selection activeCell="K19" sqref="K19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31</v>
      </c>
    </row>
    <row r="6" spans="1:3">
      <c r="A6" s="2" t="s">
        <v>195</v>
      </c>
      <c r="B6" s="58">
        <v>1</v>
      </c>
    </row>
    <row r="7" spans="1:3">
      <c r="A7" s="2" t="s">
        <v>196</v>
      </c>
      <c r="B7" s="58">
        <v>2026</v>
      </c>
    </row>
    <row r="8" spans="1:3">
      <c r="A8" s="2" t="s">
        <v>1</v>
      </c>
      <c r="B8" s="17" t="s">
        <v>210</v>
      </c>
      <c r="C8" s="9"/>
    </row>
    <row r="9" spans="1:3">
      <c r="A9" s="2" t="s">
        <v>2</v>
      </c>
      <c r="B9" s="19" t="s">
        <v>211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0" t="s">
        <v>197</v>
      </c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>
        <v>77</v>
      </c>
      <c r="I19" s="27">
        <f>H19*G19</f>
        <v>11088</v>
      </c>
      <c r="J19" s="59">
        <f t="shared" ref="J19" si="0">IF(G19="","",K19/G19)</f>
        <v>55</v>
      </c>
      <c r="K19" s="52">
        <v>7920</v>
      </c>
      <c r="L19" s="11"/>
      <c r="M19" s="1">
        <f t="shared" ref="M19:M21" si="1">K19*24</f>
        <v>190080</v>
      </c>
      <c r="N19" s="86" t="s">
        <v>215</v>
      </c>
      <c r="O19" s="61" t="s">
        <v>198</v>
      </c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27">
        <v>11</v>
      </c>
      <c r="I20" s="27">
        <f t="shared" ref="I20:I23" si="2">H20*G20</f>
        <v>1584</v>
      </c>
      <c r="J20" s="59">
        <f t="shared" ref="J20" si="3">IF(G20="","",K20/G20)</f>
        <v>11</v>
      </c>
      <c r="K20" s="52">
        <v>1584</v>
      </c>
      <c r="L20" s="13"/>
      <c r="M20" s="1">
        <f t="shared" si="1"/>
        <v>38016</v>
      </c>
      <c r="N20" s="86" t="s">
        <v>215</v>
      </c>
      <c r="O20" s="61" t="s">
        <v>198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4" si="4">IF(G21="","",K21/G21)</f>
        <v>0</v>
      </c>
      <c r="K21" s="52">
        <v>0</v>
      </c>
      <c r="M21" s="1">
        <f t="shared" si="1"/>
        <v>0</v>
      </c>
      <c r="N21" s="86" t="s">
        <v>215</v>
      </c>
      <c r="O21" s="61" t="s">
        <v>198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>
        <v>224</v>
      </c>
      <c r="I22" s="27">
        <f t="shared" si="2"/>
        <v>21504</v>
      </c>
      <c r="J22" s="59">
        <f t="shared" si="4"/>
        <v>96</v>
      </c>
      <c r="K22" s="52">
        <v>9216</v>
      </c>
      <c r="M22" s="1">
        <f t="shared" ref="M22:M24" si="5">K22*7</f>
        <v>64512</v>
      </c>
      <c r="N22" s="86" t="s">
        <v>212</v>
      </c>
      <c r="O22" s="61" t="s">
        <v>198</v>
      </c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>
        <v>16</v>
      </c>
      <c r="I23" s="27">
        <f t="shared" si="2"/>
        <v>1536</v>
      </c>
      <c r="J23" s="59">
        <f t="shared" si="4"/>
        <v>24</v>
      </c>
      <c r="K23" s="52">
        <v>2304</v>
      </c>
      <c r="M23" s="1">
        <f t="shared" si="5"/>
        <v>16128</v>
      </c>
      <c r="N23" s="86" t="s">
        <v>213</v>
      </c>
      <c r="O23" s="61" t="s">
        <v>198</v>
      </c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9">
        <f t="shared" si="4"/>
        <v>0</v>
      </c>
      <c r="K24" s="52">
        <v>0</v>
      </c>
      <c r="L24"/>
      <c r="M24" s="1">
        <f t="shared" si="5"/>
        <v>0</v>
      </c>
      <c r="N24" s="86" t="s">
        <v>214</v>
      </c>
      <c r="O24" s="61" t="s">
        <v>198</v>
      </c>
    </row>
    <row r="25" spans="1:18">
      <c r="A25" s="85">
        <v>702466</v>
      </c>
      <c r="B25" s="85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90"/>
      <c r="I25" s="90">
        <f>H25*G25</f>
        <v>0</v>
      </c>
      <c r="J25" s="59">
        <f t="shared" ref="J25:J35" si="6">IF(G25="","",K25/G25)</f>
        <v>13.888888888888889</v>
      </c>
      <c r="K25" s="52">
        <v>1000</v>
      </c>
      <c r="N25" s="86" t="s">
        <v>209</v>
      </c>
      <c r="O25" s="89" t="s">
        <v>233</v>
      </c>
    </row>
    <row r="26" spans="1:18">
      <c r="A26" s="15">
        <v>552897</v>
      </c>
      <c r="B26" s="15" t="s">
        <v>216</v>
      </c>
      <c r="C26" s="16">
        <v>100</v>
      </c>
      <c r="D26" s="16" t="s">
        <v>172</v>
      </c>
      <c r="E26" s="30" t="s">
        <v>124</v>
      </c>
      <c r="F26" s="30" t="s">
        <v>158</v>
      </c>
      <c r="G26" s="26">
        <v>144</v>
      </c>
      <c r="H26" s="27"/>
      <c r="I26" s="27">
        <f>H26*G26</f>
        <v>0</v>
      </c>
      <c r="J26" s="59">
        <f t="shared" si="6"/>
        <v>0</v>
      </c>
      <c r="K26" s="52"/>
      <c r="L26" s="11"/>
      <c r="M26" s="1">
        <f t="shared" ref="M26:M28" si="7">K26*24</f>
        <v>0</v>
      </c>
      <c r="N26" s="86" t="s">
        <v>215</v>
      </c>
      <c r="O26" s="61" t="s">
        <v>198</v>
      </c>
    </row>
    <row r="27" spans="1:18">
      <c r="A27" s="15">
        <v>701775</v>
      </c>
      <c r="B27" s="15" t="s">
        <v>217</v>
      </c>
      <c r="C27" s="16">
        <v>400</v>
      </c>
      <c r="D27" s="16" t="s">
        <v>172</v>
      </c>
      <c r="E27" s="30" t="s">
        <v>124</v>
      </c>
      <c r="F27" s="30" t="s">
        <v>158</v>
      </c>
      <c r="G27" s="26">
        <v>144</v>
      </c>
      <c r="H27" s="27"/>
      <c r="I27" s="27">
        <f t="shared" ref="I27:I30" si="8">H27*G27</f>
        <v>0</v>
      </c>
      <c r="J27" s="59">
        <f t="shared" si="6"/>
        <v>3</v>
      </c>
      <c r="K27" s="52">
        <v>432</v>
      </c>
      <c r="L27" s="13"/>
      <c r="M27" s="1">
        <f t="shared" si="7"/>
        <v>10368</v>
      </c>
      <c r="N27" s="89"/>
      <c r="O27" s="89" t="s">
        <v>233</v>
      </c>
    </row>
    <row r="28" spans="1:18">
      <c r="A28" s="15">
        <v>691217</v>
      </c>
      <c r="B28" s="15" t="s">
        <v>218</v>
      </c>
      <c r="C28" s="16">
        <v>500</v>
      </c>
      <c r="D28" s="16" t="s">
        <v>179</v>
      </c>
      <c r="E28" s="30" t="s">
        <v>131</v>
      </c>
      <c r="F28" s="30" t="s">
        <v>166</v>
      </c>
      <c r="G28" s="26">
        <v>144</v>
      </c>
      <c r="H28" s="27"/>
      <c r="I28" s="27">
        <f t="shared" si="8"/>
        <v>0</v>
      </c>
      <c r="J28" s="59">
        <f t="shared" si="6"/>
        <v>7.6388888888888895E-2</v>
      </c>
      <c r="K28" s="52">
        <v>11</v>
      </c>
      <c r="M28" s="1">
        <f t="shared" si="7"/>
        <v>264</v>
      </c>
      <c r="N28" s="57"/>
      <c r="O28" s="89" t="s">
        <v>233</v>
      </c>
    </row>
    <row r="29" spans="1:18">
      <c r="A29" s="15">
        <v>117771</v>
      </c>
      <c r="B29" s="15" t="s">
        <v>219</v>
      </c>
      <c r="C29" s="16">
        <v>500</v>
      </c>
      <c r="D29" s="16" t="s">
        <v>172</v>
      </c>
      <c r="E29" s="30" t="s">
        <v>124</v>
      </c>
      <c r="F29" s="30" t="s">
        <v>158</v>
      </c>
      <c r="G29" s="26">
        <v>96</v>
      </c>
      <c r="H29" s="27"/>
      <c r="I29" s="27">
        <f t="shared" si="8"/>
        <v>0</v>
      </c>
      <c r="J29" s="59">
        <f t="shared" si="6"/>
        <v>0.41666666666666669</v>
      </c>
      <c r="K29" s="52">
        <v>40</v>
      </c>
      <c r="M29" s="1">
        <f t="shared" ref="M29:M31" si="9">K29*7</f>
        <v>280</v>
      </c>
      <c r="N29" s="57"/>
      <c r="O29" s="89" t="s">
        <v>233</v>
      </c>
    </row>
    <row r="30" spans="1:18">
      <c r="A30" s="15">
        <v>611174</v>
      </c>
      <c r="B30" s="15" t="s">
        <v>220</v>
      </c>
      <c r="C30" s="16">
        <v>400</v>
      </c>
      <c r="D30" s="16" t="s">
        <v>173</v>
      </c>
      <c r="E30" s="30" t="s">
        <v>125</v>
      </c>
      <c r="F30" s="30" t="s">
        <v>159</v>
      </c>
      <c r="G30" s="26">
        <v>96</v>
      </c>
      <c r="H30" s="27"/>
      <c r="I30" s="27">
        <f t="shared" si="8"/>
        <v>0</v>
      </c>
      <c r="J30" s="59">
        <f t="shared" si="6"/>
        <v>0</v>
      </c>
      <c r="K30" s="52">
        <v>0</v>
      </c>
      <c r="M30" s="1">
        <f t="shared" si="9"/>
        <v>0</v>
      </c>
      <c r="N30" s="86" t="s">
        <v>234</v>
      </c>
      <c r="O30" s="89" t="s">
        <v>233</v>
      </c>
    </row>
    <row r="31" spans="1:18">
      <c r="A31" s="15">
        <v>117547</v>
      </c>
      <c r="B31" s="15" t="s">
        <v>221</v>
      </c>
      <c r="C31" s="16">
        <v>400</v>
      </c>
      <c r="D31" s="16" t="s">
        <v>172</v>
      </c>
      <c r="E31" s="30" t="s">
        <v>124</v>
      </c>
      <c r="F31" s="30" t="s">
        <v>158</v>
      </c>
      <c r="G31" s="26">
        <v>96</v>
      </c>
      <c r="H31" s="27"/>
      <c r="I31" s="27">
        <f>H31*G31</f>
        <v>0</v>
      </c>
      <c r="J31" s="59">
        <f t="shared" si="6"/>
        <v>0.625</v>
      </c>
      <c r="K31" s="52">
        <v>60</v>
      </c>
      <c r="L31"/>
      <c r="M31" s="1">
        <f t="shared" si="9"/>
        <v>420</v>
      </c>
      <c r="N31" s="57"/>
      <c r="O31" s="89" t="s">
        <v>233</v>
      </c>
    </row>
    <row r="32" spans="1:18">
      <c r="A32" s="15">
        <v>646546</v>
      </c>
      <c r="B32" s="15" t="s">
        <v>222</v>
      </c>
      <c r="C32" s="16">
        <v>400</v>
      </c>
      <c r="D32" s="16" t="s">
        <v>172</v>
      </c>
      <c r="E32" s="30" t="s">
        <v>124</v>
      </c>
      <c r="F32" s="30" t="s">
        <v>158</v>
      </c>
      <c r="G32" s="26">
        <v>96</v>
      </c>
      <c r="H32" s="27"/>
      <c r="I32" s="27">
        <f t="shared" ref="I32:I39" si="10">H32*G32</f>
        <v>0</v>
      </c>
      <c r="J32" s="52">
        <f t="shared" si="6"/>
        <v>0.46875</v>
      </c>
      <c r="K32" s="52">
        <v>45</v>
      </c>
      <c r="M32" s="1">
        <f t="shared" ref="M32" si="11">K32*4</f>
        <v>180</v>
      </c>
      <c r="O32" s="89" t="s">
        <v>233</v>
      </c>
      <c r="R32" s="56"/>
    </row>
    <row r="33" spans="1:15">
      <c r="A33" s="15">
        <v>646567</v>
      </c>
      <c r="B33" s="15" t="s">
        <v>223</v>
      </c>
      <c r="C33" s="16">
        <v>400</v>
      </c>
      <c r="D33" s="16" t="s">
        <v>172</v>
      </c>
      <c r="E33" s="30" t="s">
        <v>124</v>
      </c>
      <c r="F33" s="30" t="s">
        <v>158</v>
      </c>
      <c r="G33" s="26">
        <v>144</v>
      </c>
      <c r="H33" s="27"/>
      <c r="I33" s="27">
        <f t="shared" si="10"/>
        <v>0</v>
      </c>
      <c r="J33" s="52">
        <f t="shared" si="6"/>
        <v>0.15972222222222221</v>
      </c>
      <c r="K33" s="52">
        <v>23</v>
      </c>
      <c r="L33" s="14"/>
      <c r="M33" s="14">
        <f t="shared" ref="M33" si="12">K33*7</f>
        <v>161</v>
      </c>
      <c r="O33" s="89" t="s">
        <v>233</v>
      </c>
    </row>
    <row r="34" spans="1:15">
      <c r="A34" s="15">
        <v>116180</v>
      </c>
      <c r="B34" s="15" t="s">
        <v>224</v>
      </c>
      <c r="C34" s="16">
        <v>500</v>
      </c>
      <c r="D34" s="16" t="s">
        <v>172</v>
      </c>
      <c r="E34" s="30" t="s">
        <v>124</v>
      </c>
      <c r="F34" s="30" t="s">
        <v>158</v>
      </c>
      <c r="G34" s="26">
        <v>144</v>
      </c>
      <c r="H34" s="27"/>
      <c r="I34" s="27">
        <f t="shared" si="10"/>
        <v>0</v>
      </c>
      <c r="J34" s="52">
        <f t="shared" si="6"/>
        <v>0.20833333333333334</v>
      </c>
      <c r="K34" s="52">
        <v>30</v>
      </c>
      <c r="M34" s="1">
        <f>K34*5</f>
        <v>150</v>
      </c>
      <c r="O34" s="89" t="s">
        <v>233</v>
      </c>
    </row>
    <row r="35" spans="1:15">
      <c r="A35" s="15">
        <v>552896</v>
      </c>
      <c r="B35" s="15" t="s">
        <v>225</v>
      </c>
      <c r="C35" s="16">
        <v>100</v>
      </c>
      <c r="D35" s="16" t="s">
        <v>172</v>
      </c>
      <c r="E35" s="30" t="s">
        <v>124</v>
      </c>
      <c r="F35" s="30" t="s">
        <v>158</v>
      </c>
      <c r="G35" s="26">
        <v>144</v>
      </c>
      <c r="H35" s="27"/>
      <c r="I35" s="27">
        <f t="shared" si="10"/>
        <v>0</v>
      </c>
      <c r="J35" s="52">
        <f t="shared" si="6"/>
        <v>0</v>
      </c>
      <c r="K35" s="52">
        <v>0</v>
      </c>
      <c r="M35" s="1">
        <f t="shared" ref="M35:M39" si="13">K35*4</f>
        <v>0</v>
      </c>
      <c r="N35" s="86" t="s">
        <v>215</v>
      </c>
      <c r="O35" s="89" t="s">
        <v>233</v>
      </c>
    </row>
    <row r="36" spans="1:15">
      <c r="A36" s="15">
        <v>578785</v>
      </c>
      <c r="B36" s="15" t="s">
        <v>226</v>
      </c>
      <c r="C36" s="16">
        <v>100</v>
      </c>
      <c r="D36" s="16" t="s">
        <v>172</v>
      </c>
      <c r="E36" s="30" t="s">
        <v>124</v>
      </c>
      <c r="F36" s="30" t="s">
        <v>158</v>
      </c>
      <c r="G36" s="26">
        <v>96</v>
      </c>
      <c r="H36" s="27"/>
      <c r="I36" s="27">
        <f t="shared" si="10"/>
        <v>0</v>
      </c>
      <c r="J36" s="52">
        <f t="shared" ref="J36:J39" si="14">IF(G36="","",K36/G36)</f>
        <v>0</v>
      </c>
      <c r="K36" s="52">
        <v>0</v>
      </c>
      <c r="M36" s="1">
        <f t="shared" si="13"/>
        <v>0</v>
      </c>
      <c r="N36" s="86" t="s">
        <v>235</v>
      </c>
      <c r="O36" s="89" t="s">
        <v>233</v>
      </c>
    </row>
    <row r="37" spans="1:15">
      <c r="A37" s="15">
        <v>589462</v>
      </c>
      <c r="B37" s="15" t="s">
        <v>227</v>
      </c>
      <c r="C37" s="16">
        <v>400</v>
      </c>
      <c r="D37" s="16" t="s">
        <v>172</v>
      </c>
      <c r="E37" s="30" t="s">
        <v>124</v>
      </c>
      <c r="F37" s="30" t="s">
        <v>158</v>
      </c>
      <c r="G37" s="26">
        <v>96</v>
      </c>
      <c r="H37" s="27"/>
      <c r="I37" s="27">
        <f t="shared" si="10"/>
        <v>0</v>
      </c>
      <c r="J37" s="52">
        <f t="shared" si="14"/>
        <v>0.10416666666666667</v>
      </c>
      <c r="K37" s="52">
        <v>10</v>
      </c>
      <c r="M37" s="1">
        <f t="shared" si="13"/>
        <v>40</v>
      </c>
      <c r="O37" s="89" t="s">
        <v>233</v>
      </c>
    </row>
    <row r="38" spans="1:15">
      <c r="A38" s="15">
        <v>589466</v>
      </c>
      <c r="B38" s="15" t="s">
        <v>228</v>
      </c>
      <c r="C38" s="16">
        <v>400</v>
      </c>
      <c r="D38" s="16" t="s">
        <v>172</v>
      </c>
      <c r="E38" s="30" t="s">
        <v>124</v>
      </c>
      <c r="F38" s="30" t="s">
        <v>158</v>
      </c>
      <c r="G38" s="26">
        <v>96</v>
      </c>
      <c r="H38" s="27"/>
      <c r="I38" s="27">
        <f t="shared" si="10"/>
        <v>0</v>
      </c>
      <c r="J38" s="52">
        <f t="shared" si="14"/>
        <v>0.3125</v>
      </c>
      <c r="K38" s="52">
        <v>30</v>
      </c>
      <c r="M38" s="1">
        <f t="shared" si="13"/>
        <v>120</v>
      </c>
      <c r="O38" s="89" t="s">
        <v>233</v>
      </c>
    </row>
    <row r="39" spans="1:15">
      <c r="A39" s="15">
        <v>646548</v>
      </c>
      <c r="B39" s="15" t="s">
        <v>229</v>
      </c>
      <c r="C39" s="16">
        <v>400</v>
      </c>
      <c r="D39" s="16" t="s">
        <v>172</v>
      </c>
      <c r="E39" s="30" t="s">
        <v>124</v>
      </c>
      <c r="F39" s="30" t="s">
        <v>158</v>
      </c>
      <c r="G39" s="26">
        <v>96</v>
      </c>
      <c r="H39" s="27"/>
      <c r="I39" s="27">
        <f t="shared" si="10"/>
        <v>0</v>
      </c>
      <c r="J39" s="52">
        <f t="shared" si="14"/>
        <v>0.20833333333333334</v>
      </c>
      <c r="K39" s="52">
        <v>20</v>
      </c>
      <c r="M39" s="1">
        <f t="shared" si="13"/>
        <v>80</v>
      </c>
      <c r="O39" s="89" t="s">
        <v>233</v>
      </c>
    </row>
    <row r="40" spans="1:15">
      <c r="A40" s="15">
        <v>699883</v>
      </c>
      <c r="B40" s="15" t="s">
        <v>230</v>
      </c>
      <c r="C40" s="16">
        <v>300</v>
      </c>
      <c r="D40" s="16" t="s">
        <v>173</v>
      </c>
      <c r="E40" s="30" t="s">
        <v>125</v>
      </c>
      <c r="F40" s="30" t="s">
        <v>159</v>
      </c>
      <c r="G40" s="26"/>
      <c r="H40" s="27"/>
      <c r="I40" s="27"/>
      <c r="J40" s="52"/>
      <c r="K40" s="52">
        <v>15</v>
      </c>
      <c r="O40" s="89" t="s">
        <v>233</v>
      </c>
    </row>
    <row r="41" spans="1:15">
      <c r="A41" s="15">
        <v>695413</v>
      </c>
      <c r="B41" s="15" t="s">
        <v>231</v>
      </c>
      <c r="C41" s="16">
        <v>400</v>
      </c>
      <c r="D41" s="16" t="s">
        <v>173</v>
      </c>
      <c r="E41" s="30" t="s">
        <v>125</v>
      </c>
      <c r="F41" s="30" t="s">
        <v>159</v>
      </c>
      <c r="G41" s="26">
        <v>144</v>
      </c>
      <c r="H41" s="27"/>
      <c r="I41" s="27">
        <f t="shared" ref="I41:I42" si="15">H41*G41</f>
        <v>0</v>
      </c>
      <c r="J41" s="52">
        <f t="shared" ref="J41:J42" si="16">IF(G41="","",K41/G41)</f>
        <v>0.1388888888888889</v>
      </c>
      <c r="K41" s="52">
        <v>20</v>
      </c>
      <c r="M41" s="1">
        <f t="shared" ref="M41" si="17">K41*7</f>
        <v>140</v>
      </c>
      <c r="O41" s="89" t="s">
        <v>233</v>
      </c>
    </row>
    <row r="42" spans="1:15">
      <c r="A42" s="15">
        <v>645380</v>
      </c>
      <c r="B42" s="15" t="s">
        <v>232</v>
      </c>
      <c r="C42" s="16">
        <v>400</v>
      </c>
      <c r="D42" s="16" t="s">
        <v>168</v>
      </c>
      <c r="E42" s="30" t="s">
        <v>32</v>
      </c>
      <c r="F42" s="30" t="s">
        <v>150</v>
      </c>
      <c r="G42" s="26">
        <v>144</v>
      </c>
      <c r="H42" s="27"/>
      <c r="I42" s="27">
        <f t="shared" si="15"/>
        <v>0</v>
      </c>
      <c r="J42" s="52">
        <f t="shared" si="16"/>
        <v>1</v>
      </c>
      <c r="K42" s="52">
        <v>144</v>
      </c>
      <c r="M42" s="1">
        <f>K42*5</f>
        <v>720</v>
      </c>
      <c r="O42" s="89" t="s">
        <v>233</v>
      </c>
    </row>
    <row r="43" spans="1:15">
      <c r="A43" s="8"/>
      <c r="B43" s="3"/>
      <c r="C43" s="3"/>
      <c r="D43" s="3"/>
      <c r="E43" s="3"/>
      <c r="F43" s="3"/>
      <c r="G43" s="3"/>
      <c r="J43" s="55"/>
      <c r="K43" s="3"/>
      <c r="O43" s="89"/>
    </row>
    <row r="44" spans="1:15">
      <c r="A44" s="8"/>
      <c r="B44" s="8"/>
      <c r="C44" s="3"/>
      <c r="J44" s="8" t="s">
        <v>19</v>
      </c>
      <c r="K44" s="3"/>
    </row>
    <row r="45" spans="1:15">
      <c r="A45" s="8"/>
      <c r="B45" s="8"/>
      <c r="C45" s="3"/>
      <c r="H45" s="88"/>
      <c r="J45" s="8" t="s">
        <v>20</v>
      </c>
      <c r="K45" s="28"/>
    </row>
    <row r="46" spans="1:15">
      <c r="A46" s="11"/>
      <c r="B46" s="11"/>
    </row>
    <row r="48" spans="1:15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4"/>
      <c r="J54" s="22"/>
    </row>
    <row r="55" spans="1:11">
      <c r="A55"/>
      <c r="B55"/>
      <c r="C55"/>
      <c r="D55"/>
      <c r="E55"/>
      <c r="F55"/>
      <c r="G55"/>
      <c r="H55"/>
      <c r="I55" s="53"/>
      <c r="J55" s="22"/>
    </row>
    <row r="56" spans="1:11">
      <c r="A56"/>
      <c r="B56"/>
      <c r="C56"/>
      <c r="D56"/>
      <c r="E56"/>
      <c r="F56"/>
      <c r="G56"/>
      <c r="H56"/>
      <c r="I56" s="53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7"/>
    </row>
    <row r="62" spans="1:11">
      <c r="I62"/>
    </row>
  </sheetData>
  <phoneticPr fontId="12" type="noConversion"/>
  <dataValidations disablePrompts="1"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/>
  <sheetData>
    <row r="2" spans="2:10" ht="17.25" thickBot="1"/>
    <row r="3" spans="2:10" ht="18" thickTop="1" thickBot="1">
      <c r="B3" s="79" t="s">
        <v>199</v>
      </c>
      <c r="C3" s="80" t="s">
        <v>200</v>
      </c>
      <c r="D3" s="80" t="s">
        <v>201</v>
      </c>
      <c r="E3" s="81" t="s">
        <v>202</v>
      </c>
      <c r="F3" s="81" t="s">
        <v>203</v>
      </c>
      <c r="G3" s="82" t="s">
        <v>204</v>
      </c>
      <c r="H3" s="83" t="s">
        <v>205</v>
      </c>
      <c r="I3" s="81" t="s">
        <v>206</v>
      </c>
      <c r="J3" s="81" t="s">
        <v>207</v>
      </c>
    </row>
    <row r="4" spans="2:10" ht="17.25" thickBot="1">
      <c r="B4" s="62">
        <v>309</v>
      </c>
      <c r="C4" s="63">
        <v>315</v>
      </c>
      <c r="D4" s="63">
        <v>318</v>
      </c>
      <c r="E4" s="64">
        <v>324</v>
      </c>
      <c r="F4" s="64">
        <v>334</v>
      </c>
      <c r="G4" s="65">
        <v>347</v>
      </c>
      <c r="H4" s="65">
        <v>365</v>
      </c>
      <c r="I4" s="64">
        <v>390</v>
      </c>
      <c r="J4" s="64">
        <v>406</v>
      </c>
    </row>
    <row r="5" spans="2:10" ht="17.25" thickBot="1">
      <c r="B5" s="66">
        <v>1369</v>
      </c>
      <c r="C5" s="67">
        <v>1355</v>
      </c>
      <c r="D5" s="67">
        <v>1328</v>
      </c>
      <c r="E5" s="68">
        <v>1368</v>
      </c>
      <c r="F5" s="68">
        <v>1436</v>
      </c>
      <c r="G5" s="69">
        <v>1537</v>
      </c>
      <c r="H5" s="69">
        <v>1675</v>
      </c>
      <c r="I5" s="68">
        <v>1842</v>
      </c>
      <c r="J5" s="68">
        <v>1953</v>
      </c>
    </row>
    <row r="6" spans="2:10" ht="17.25" thickBot="1">
      <c r="B6" s="70">
        <v>423</v>
      </c>
      <c r="C6" s="71">
        <v>435</v>
      </c>
      <c r="D6" s="71">
        <v>422</v>
      </c>
      <c r="E6" s="72">
        <v>405</v>
      </c>
      <c r="F6" s="72">
        <v>426</v>
      </c>
      <c r="G6" s="73">
        <v>456</v>
      </c>
      <c r="H6" s="73">
        <v>501</v>
      </c>
      <c r="I6" s="72">
        <v>576</v>
      </c>
      <c r="J6" s="72">
        <v>628</v>
      </c>
    </row>
    <row r="7" spans="2:10" ht="17.25" thickBot="1">
      <c r="B7" s="66">
        <v>1247</v>
      </c>
      <c r="C7" s="71">
        <v>298</v>
      </c>
      <c r="D7" s="71">
        <v>192</v>
      </c>
      <c r="E7" s="72">
        <v>209</v>
      </c>
      <c r="F7" s="72">
        <v>276</v>
      </c>
      <c r="G7" s="73">
        <v>169</v>
      </c>
      <c r="H7" s="73">
        <v>125</v>
      </c>
      <c r="I7" s="72">
        <v>173</v>
      </c>
      <c r="J7" s="72">
        <v>333</v>
      </c>
    </row>
    <row r="8" spans="2:10" ht="17.25" thickBot="1">
      <c r="B8" s="70">
        <v>779</v>
      </c>
      <c r="C8" s="71">
        <v>794</v>
      </c>
      <c r="D8" s="71">
        <v>723</v>
      </c>
      <c r="E8" s="72">
        <v>687</v>
      </c>
      <c r="F8" s="72">
        <v>639</v>
      </c>
      <c r="G8" s="73">
        <v>658</v>
      </c>
      <c r="H8" s="73">
        <v>691</v>
      </c>
      <c r="I8" s="72">
        <v>725</v>
      </c>
      <c r="J8" s="72">
        <v>754</v>
      </c>
    </row>
    <row r="9" spans="2:10" ht="17.25" thickBot="1">
      <c r="B9" s="70">
        <v>401</v>
      </c>
      <c r="C9" s="71">
        <v>413</v>
      </c>
      <c r="D9" s="71">
        <v>417</v>
      </c>
      <c r="E9" s="72">
        <v>355</v>
      </c>
      <c r="F9" s="72">
        <v>319</v>
      </c>
      <c r="G9" s="73">
        <v>351</v>
      </c>
      <c r="H9" s="73">
        <v>393</v>
      </c>
      <c r="I9" s="72">
        <v>452</v>
      </c>
      <c r="J9" s="72">
        <v>475</v>
      </c>
    </row>
    <row r="10" spans="2:10" ht="17.25" thickBot="1">
      <c r="B10" s="66">
        <v>1150</v>
      </c>
      <c r="C10" s="71">
        <v>396</v>
      </c>
      <c r="D10" s="71">
        <v>330</v>
      </c>
      <c r="E10" s="72">
        <v>488</v>
      </c>
      <c r="F10" s="72">
        <v>564</v>
      </c>
      <c r="G10" s="73">
        <v>296</v>
      </c>
      <c r="H10" s="73">
        <v>137</v>
      </c>
      <c r="I10" s="72">
        <v>105</v>
      </c>
      <c r="J10" s="72">
        <v>123</v>
      </c>
    </row>
    <row r="11" spans="2:10" ht="17.25" thickBot="1">
      <c r="B11" s="74">
        <v>377</v>
      </c>
      <c r="C11" s="75">
        <v>339</v>
      </c>
      <c r="D11" s="75">
        <v>322</v>
      </c>
      <c r="E11" s="76">
        <v>319</v>
      </c>
      <c r="F11" s="76">
        <v>329</v>
      </c>
      <c r="G11" s="77">
        <v>342</v>
      </c>
      <c r="H11" s="77">
        <v>362</v>
      </c>
      <c r="I11" s="76">
        <v>388</v>
      </c>
      <c r="J11" s="76">
        <v>407</v>
      </c>
    </row>
    <row r="12" spans="2:10" ht="18" thickTop="1" thickBot="1">
      <c r="B12" s="66">
        <v>6544</v>
      </c>
      <c r="C12" s="67">
        <v>5889</v>
      </c>
      <c r="D12" s="67">
        <v>6007</v>
      </c>
      <c r="E12" s="68">
        <v>6187</v>
      </c>
      <c r="F12" s="68">
        <v>6435</v>
      </c>
      <c r="G12" s="69">
        <v>6756</v>
      </c>
      <c r="H12" s="69">
        <v>7094</v>
      </c>
      <c r="I12" s="68">
        <v>7520</v>
      </c>
      <c r="J12" s="68">
        <v>7821</v>
      </c>
    </row>
    <row r="13" spans="2:10" ht="17.25" thickBot="1">
      <c r="B13" s="66">
        <v>13691</v>
      </c>
      <c r="C13" s="67">
        <v>13144</v>
      </c>
      <c r="D13" s="67">
        <v>12749</v>
      </c>
      <c r="E13" s="68">
        <v>13004</v>
      </c>
      <c r="F13" s="68">
        <v>13395</v>
      </c>
      <c r="G13" s="69">
        <v>13930</v>
      </c>
      <c r="H13" s="69">
        <v>14906</v>
      </c>
      <c r="I13" s="68">
        <v>16098</v>
      </c>
      <c r="J13" s="68">
        <v>16742</v>
      </c>
    </row>
    <row r="14" spans="2:10" ht="17.25" thickBot="1">
      <c r="B14" s="66">
        <v>11583</v>
      </c>
      <c r="C14" s="67">
        <v>10425</v>
      </c>
      <c r="D14" s="67">
        <v>10320</v>
      </c>
      <c r="E14" s="68">
        <v>10527</v>
      </c>
      <c r="F14" s="68">
        <v>10843</v>
      </c>
      <c r="G14" s="69">
        <v>11493</v>
      </c>
      <c r="H14" s="69">
        <v>11953</v>
      </c>
      <c r="I14" s="68">
        <v>12670</v>
      </c>
      <c r="J14" s="68">
        <v>13304</v>
      </c>
    </row>
    <row r="15" spans="2:10" ht="17.25" thickBot="1">
      <c r="B15" s="66">
        <v>1565</v>
      </c>
      <c r="C15" s="67">
        <v>1486</v>
      </c>
      <c r="D15" s="67">
        <v>1442</v>
      </c>
      <c r="E15" s="68">
        <v>1485</v>
      </c>
      <c r="F15" s="68">
        <v>1515</v>
      </c>
      <c r="G15" s="69">
        <v>1560</v>
      </c>
      <c r="H15" s="69">
        <v>1669</v>
      </c>
      <c r="I15" s="68">
        <v>1803</v>
      </c>
      <c r="J15" s="68">
        <v>1839</v>
      </c>
    </row>
    <row r="16" spans="2:10" ht="17.25" thickBot="1">
      <c r="B16" s="70">
        <v>158</v>
      </c>
      <c r="C16" s="71">
        <v>142</v>
      </c>
      <c r="D16" s="71">
        <v>135</v>
      </c>
      <c r="E16" s="72">
        <v>124</v>
      </c>
      <c r="F16" s="72">
        <v>124</v>
      </c>
      <c r="G16" s="73">
        <v>125</v>
      </c>
      <c r="H16" s="73">
        <v>129</v>
      </c>
      <c r="I16" s="72">
        <v>134</v>
      </c>
      <c r="J16" s="72">
        <v>137</v>
      </c>
    </row>
    <row r="17" spans="2:10" ht="17.25" thickBot="1">
      <c r="B17" s="70">
        <v>266</v>
      </c>
      <c r="C17" s="71">
        <v>306</v>
      </c>
      <c r="D17" s="71">
        <v>315</v>
      </c>
      <c r="E17" s="72">
        <v>322</v>
      </c>
      <c r="F17" s="72">
        <v>325</v>
      </c>
      <c r="G17" s="73">
        <v>332</v>
      </c>
      <c r="H17" s="73">
        <v>338</v>
      </c>
      <c r="I17" s="72">
        <v>345</v>
      </c>
      <c r="J17" s="72">
        <v>352</v>
      </c>
    </row>
    <row r="18" spans="2:10" ht="17.25" thickBot="1">
      <c r="B18" s="78">
        <v>203</v>
      </c>
      <c r="C18" s="72">
        <v>195</v>
      </c>
      <c r="D18" s="72">
        <v>201</v>
      </c>
      <c r="E18" s="72">
        <v>203</v>
      </c>
      <c r="F18" s="72">
        <v>207</v>
      </c>
      <c r="G18" s="73">
        <v>211</v>
      </c>
      <c r="H18" s="73">
        <v>218</v>
      </c>
      <c r="I18" s="72">
        <v>222</v>
      </c>
      <c r="J18" s="72">
        <v>229</v>
      </c>
    </row>
    <row r="20" spans="2:10">
      <c r="B20" s="84">
        <f>B4</f>
        <v>309</v>
      </c>
      <c r="C20" s="84">
        <f>C4*1.05</f>
        <v>330.75</v>
      </c>
      <c r="D20" s="84">
        <f t="shared" ref="D20:J20" si="0">D4*1.05</f>
        <v>333.90000000000003</v>
      </c>
      <c r="E20" s="84">
        <f t="shared" si="0"/>
        <v>340.2</v>
      </c>
      <c r="F20" s="84">
        <f t="shared" si="0"/>
        <v>350.7</v>
      </c>
      <c r="G20" s="84">
        <f t="shared" si="0"/>
        <v>364.35</v>
      </c>
      <c r="H20" s="84">
        <f t="shared" si="0"/>
        <v>383.25</v>
      </c>
      <c r="I20" s="84">
        <f t="shared" si="0"/>
        <v>409.5</v>
      </c>
      <c r="J20" s="84">
        <f t="shared" si="0"/>
        <v>426.3</v>
      </c>
    </row>
    <row r="21" spans="2:10">
      <c r="B21" s="84">
        <f t="shared" ref="B21:B34" si="1">B5</f>
        <v>1369</v>
      </c>
      <c r="C21" s="84">
        <f t="shared" ref="C21:J21" si="2">C5*1.05</f>
        <v>1422.75</v>
      </c>
      <c r="D21" s="84">
        <f t="shared" si="2"/>
        <v>1394.4</v>
      </c>
      <c r="E21" s="84">
        <f t="shared" si="2"/>
        <v>1436.4</v>
      </c>
      <c r="F21" s="84">
        <f t="shared" si="2"/>
        <v>1507.8</v>
      </c>
      <c r="G21" s="84">
        <f t="shared" si="2"/>
        <v>1613.8500000000001</v>
      </c>
      <c r="H21" s="84">
        <f t="shared" si="2"/>
        <v>1758.75</v>
      </c>
      <c r="I21" s="84">
        <f t="shared" si="2"/>
        <v>1934.1000000000001</v>
      </c>
      <c r="J21" s="84">
        <f t="shared" si="2"/>
        <v>2050.65</v>
      </c>
    </row>
    <row r="22" spans="2:10">
      <c r="B22" s="84">
        <f t="shared" si="1"/>
        <v>423</v>
      </c>
      <c r="C22" s="84">
        <f t="shared" ref="C22:J22" si="3">C6*1.05</f>
        <v>456.75</v>
      </c>
      <c r="D22" s="84">
        <f t="shared" si="3"/>
        <v>443.1</v>
      </c>
      <c r="E22" s="84">
        <f t="shared" si="3"/>
        <v>425.25</v>
      </c>
      <c r="F22" s="84">
        <f t="shared" si="3"/>
        <v>447.3</v>
      </c>
      <c r="G22" s="84">
        <f t="shared" si="3"/>
        <v>478.8</v>
      </c>
      <c r="H22" s="84">
        <f t="shared" si="3"/>
        <v>526.05000000000007</v>
      </c>
      <c r="I22" s="84">
        <f t="shared" si="3"/>
        <v>604.80000000000007</v>
      </c>
      <c r="J22" s="84">
        <f t="shared" si="3"/>
        <v>659.4</v>
      </c>
    </row>
    <row r="23" spans="2:10">
      <c r="B23" s="84">
        <f t="shared" si="1"/>
        <v>1247</v>
      </c>
      <c r="C23" s="84">
        <f t="shared" ref="C23:J23" si="4">C7*1.05</f>
        <v>312.90000000000003</v>
      </c>
      <c r="D23" s="84">
        <f t="shared" si="4"/>
        <v>201.60000000000002</v>
      </c>
      <c r="E23" s="84">
        <f t="shared" si="4"/>
        <v>219.45000000000002</v>
      </c>
      <c r="F23" s="84">
        <f t="shared" si="4"/>
        <v>289.8</v>
      </c>
      <c r="G23" s="84">
        <f t="shared" si="4"/>
        <v>177.45000000000002</v>
      </c>
      <c r="H23" s="84">
        <f t="shared" si="4"/>
        <v>131.25</v>
      </c>
      <c r="I23" s="84">
        <f t="shared" si="4"/>
        <v>181.65</v>
      </c>
      <c r="J23" s="84">
        <f t="shared" si="4"/>
        <v>349.65000000000003</v>
      </c>
    </row>
    <row r="24" spans="2:10">
      <c r="B24" s="84">
        <f t="shared" si="1"/>
        <v>779</v>
      </c>
      <c r="C24" s="84">
        <f t="shared" ref="C24:J24" si="5">C8*1.05</f>
        <v>833.7</v>
      </c>
      <c r="D24" s="84">
        <f t="shared" si="5"/>
        <v>759.15</v>
      </c>
      <c r="E24" s="84">
        <f t="shared" si="5"/>
        <v>721.35</v>
      </c>
      <c r="F24" s="84">
        <f t="shared" si="5"/>
        <v>670.95</v>
      </c>
      <c r="G24" s="84">
        <f t="shared" si="5"/>
        <v>690.9</v>
      </c>
      <c r="H24" s="84">
        <f t="shared" si="5"/>
        <v>725.55000000000007</v>
      </c>
      <c r="I24" s="84">
        <f t="shared" si="5"/>
        <v>761.25</v>
      </c>
      <c r="J24" s="84">
        <f t="shared" si="5"/>
        <v>791.7</v>
      </c>
    </row>
    <row r="25" spans="2:10">
      <c r="B25" s="84">
        <f t="shared" si="1"/>
        <v>401</v>
      </c>
      <c r="C25" s="84">
        <f t="shared" ref="C25:J25" si="6">C9*1.05</f>
        <v>433.65000000000003</v>
      </c>
      <c r="D25" s="84">
        <f t="shared" si="6"/>
        <v>437.85</v>
      </c>
      <c r="E25" s="84">
        <f t="shared" si="6"/>
        <v>372.75</v>
      </c>
      <c r="F25" s="84">
        <f t="shared" si="6"/>
        <v>334.95</v>
      </c>
      <c r="G25" s="84">
        <f t="shared" si="6"/>
        <v>368.55</v>
      </c>
      <c r="H25" s="84">
        <f t="shared" si="6"/>
        <v>412.65000000000003</v>
      </c>
      <c r="I25" s="84">
        <f t="shared" si="6"/>
        <v>474.6</v>
      </c>
      <c r="J25" s="84">
        <f t="shared" si="6"/>
        <v>498.75</v>
      </c>
    </row>
    <row r="26" spans="2:10">
      <c r="B26" s="84">
        <f t="shared" si="1"/>
        <v>1150</v>
      </c>
      <c r="C26" s="84">
        <f t="shared" ref="C26:J26" si="7">C10*1.05</f>
        <v>415.8</v>
      </c>
      <c r="D26" s="84">
        <f t="shared" si="7"/>
        <v>346.5</v>
      </c>
      <c r="E26" s="84">
        <f t="shared" si="7"/>
        <v>512.4</v>
      </c>
      <c r="F26" s="84">
        <f t="shared" si="7"/>
        <v>592.20000000000005</v>
      </c>
      <c r="G26" s="84">
        <f t="shared" si="7"/>
        <v>310.8</v>
      </c>
      <c r="H26" s="84">
        <f t="shared" si="7"/>
        <v>143.85</v>
      </c>
      <c r="I26" s="84">
        <f t="shared" si="7"/>
        <v>110.25</v>
      </c>
      <c r="J26" s="84">
        <f t="shared" si="7"/>
        <v>129.15</v>
      </c>
    </row>
    <row r="27" spans="2:10">
      <c r="B27" s="84">
        <f t="shared" si="1"/>
        <v>377</v>
      </c>
      <c r="C27" s="84">
        <f t="shared" ref="C27:J27" si="8">C11*1.05</f>
        <v>355.95</v>
      </c>
      <c r="D27" s="84">
        <f t="shared" si="8"/>
        <v>338.1</v>
      </c>
      <c r="E27" s="84">
        <f t="shared" si="8"/>
        <v>334.95</v>
      </c>
      <c r="F27" s="84">
        <f t="shared" si="8"/>
        <v>345.45</v>
      </c>
      <c r="G27" s="84">
        <f t="shared" si="8"/>
        <v>359.1</v>
      </c>
      <c r="H27" s="84">
        <f t="shared" si="8"/>
        <v>380.1</v>
      </c>
      <c r="I27" s="84">
        <f t="shared" si="8"/>
        <v>407.40000000000003</v>
      </c>
      <c r="J27" s="84">
        <f t="shared" si="8"/>
        <v>427.35</v>
      </c>
    </row>
    <row r="28" spans="2:10">
      <c r="B28" s="84">
        <f t="shared" si="1"/>
        <v>6544</v>
      </c>
      <c r="C28" s="84">
        <f t="shared" ref="C28:J28" si="9">C12*1.05</f>
        <v>6183.45</v>
      </c>
      <c r="D28" s="84">
        <f t="shared" si="9"/>
        <v>6307.35</v>
      </c>
      <c r="E28" s="84">
        <f t="shared" si="9"/>
        <v>6496.35</v>
      </c>
      <c r="F28" s="84">
        <f t="shared" si="9"/>
        <v>6756.75</v>
      </c>
      <c r="G28" s="84">
        <f t="shared" si="9"/>
        <v>7093.8</v>
      </c>
      <c r="H28" s="84">
        <f t="shared" si="9"/>
        <v>7448.7000000000007</v>
      </c>
      <c r="I28" s="84">
        <f t="shared" si="9"/>
        <v>7896</v>
      </c>
      <c r="J28" s="84">
        <f t="shared" si="9"/>
        <v>8212.0500000000011</v>
      </c>
    </row>
    <row r="29" spans="2:10">
      <c r="B29" s="84">
        <f t="shared" si="1"/>
        <v>13691</v>
      </c>
      <c r="C29" s="84">
        <f t="shared" ref="C29:J29" si="10">C13*1.05</f>
        <v>13801.2</v>
      </c>
      <c r="D29" s="84">
        <f t="shared" si="10"/>
        <v>13386.45</v>
      </c>
      <c r="E29" s="84">
        <f t="shared" si="10"/>
        <v>13654.2</v>
      </c>
      <c r="F29" s="84">
        <f t="shared" si="10"/>
        <v>14064.75</v>
      </c>
      <c r="G29" s="84">
        <f t="shared" si="10"/>
        <v>14626.5</v>
      </c>
      <c r="H29" s="84">
        <f t="shared" si="10"/>
        <v>15651.300000000001</v>
      </c>
      <c r="I29" s="84">
        <f t="shared" si="10"/>
        <v>16902.900000000001</v>
      </c>
      <c r="J29" s="84">
        <f t="shared" si="10"/>
        <v>17579.100000000002</v>
      </c>
    </row>
    <row r="30" spans="2:10">
      <c r="B30" s="84">
        <f t="shared" si="1"/>
        <v>11583</v>
      </c>
      <c r="C30" s="84">
        <f t="shared" ref="C30:J30" si="11">C14*1.05</f>
        <v>10946.25</v>
      </c>
      <c r="D30" s="84">
        <f t="shared" si="11"/>
        <v>10836</v>
      </c>
      <c r="E30" s="84">
        <f t="shared" si="11"/>
        <v>11053.35</v>
      </c>
      <c r="F30" s="84">
        <f t="shared" si="11"/>
        <v>11385.15</v>
      </c>
      <c r="G30" s="84">
        <f t="shared" si="11"/>
        <v>12067.65</v>
      </c>
      <c r="H30" s="84">
        <f t="shared" si="11"/>
        <v>12550.65</v>
      </c>
      <c r="I30" s="84">
        <f t="shared" si="11"/>
        <v>13303.5</v>
      </c>
      <c r="J30" s="84">
        <f t="shared" si="11"/>
        <v>13969.2</v>
      </c>
    </row>
    <row r="31" spans="2:10">
      <c r="B31" s="84">
        <f t="shared" si="1"/>
        <v>1565</v>
      </c>
      <c r="C31" s="84">
        <f t="shared" ref="C31:J31" si="12">C15*1.05</f>
        <v>1560.3</v>
      </c>
      <c r="D31" s="84">
        <f t="shared" si="12"/>
        <v>1514.1000000000001</v>
      </c>
      <c r="E31" s="84">
        <f t="shared" si="12"/>
        <v>1559.25</v>
      </c>
      <c r="F31" s="84">
        <f t="shared" si="12"/>
        <v>1590.75</v>
      </c>
      <c r="G31" s="84">
        <f t="shared" si="12"/>
        <v>1638</v>
      </c>
      <c r="H31" s="84">
        <f t="shared" si="12"/>
        <v>1752.45</v>
      </c>
      <c r="I31" s="84">
        <f t="shared" si="12"/>
        <v>1893.15</v>
      </c>
      <c r="J31" s="84">
        <f t="shared" si="12"/>
        <v>1930.95</v>
      </c>
    </row>
    <row r="32" spans="2:10">
      <c r="B32" s="84">
        <f t="shared" si="1"/>
        <v>158</v>
      </c>
      <c r="C32" s="84">
        <f t="shared" ref="C32:J32" si="13">C16*1.05</f>
        <v>149.1</v>
      </c>
      <c r="D32" s="84">
        <f t="shared" si="13"/>
        <v>141.75</v>
      </c>
      <c r="E32" s="84">
        <f t="shared" si="13"/>
        <v>130.20000000000002</v>
      </c>
      <c r="F32" s="84">
        <f t="shared" si="13"/>
        <v>130.20000000000002</v>
      </c>
      <c r="G32" s="84">
        <f t="shared" si="13"/>
        <v>131.25</v>
      </c>
      <c r="H32" s="84">
        <f t="shared" si="13"/>
        <v>135.45000000000002</v>
      </c>
      <c r="I32" s="84">
        <f t="shared" si="13"/>
        <v>140.70000000000002</v>
      </c>
      <c r="J32" s="84">
        <f t="shared" si="13"/>
        <v>143.85</v>
      </c>
    </row>
    <row r="33" spans="2:10">
      <c r="B33" s="84">
        <f t="shared" si="1"/>
        <v>266</v>
      </c>
      <c r="C33" s="84">
        <f t="shared" ref="C33:J33" si="14">C17*1.05</f>
        <v>321.3</v>
      </c>
      <c r="D33" s="84">
        <f t="shared" si="14"/>
        <v>330.75</v>
      </c>
      <c r="E33" s="84">
        <f t="shared" si="14"/>
        <v>338.1</v>
      </c>
      <c r="F33" s="84">
        <f t="shared" si="14"/>
        <v>341.25</v>
      </c>
      <c r="G33" s="84">
        <f t="shared" si="14"/>
        <v>348.6</v>
      </c>
      <c r="H33" s="84">
        <f t="shared" si="14"/>
        <v>354.90000000000003</v>
      </c>
      <c r="I33" s="84">
        <f t="shared" si="14"/>
        <v>362.25</v>
      </c>
      <c r="J33" s="84">
        <f t="shared" si="14"/>
        <v>369.6</v>
      </c>
    </row>
    <row r="34" spans="2:10">
      <c r="B34" s="84">
        <f t="shared" si="1"/>
        <v>203</v>
      </c>
      <c r="C34" s="84">
        <f t="shared" ref="C34:J34" si="15">C18*1.05</f>
        <v>204.75</v>
      </c>
      <c r="D34" s="84">
        <f t="shared" si="15"/>
        <v>211.05</v>
      </c>
      <c r="E34" s="84">
        <f t="shared" si="15"/>
        <v>213.15</v>
      </c>
      <c r="F34" s="84">
        <f t="shared" si="15"/>
        <v>217.35000000000002</v>
      </c>
      <c r="G34" s="84">
        <f t="shared" si="15"/>
        <v>221.55</v>
      </c>
      <c r="H34" s="84">
        <f t="shared" si="15"/>
        <v>228.9</v>
      </c>
      <c r="I34" s="84">
        <f t="shared" si="15"/>
        <v>233.10000000000002</v>
      </c>
      <c r="J34" s="84">
        <f t="shared" si="15"/>
        <v>240.45000000000002</v>
      </c>
    </row>
    <row r="35" spans="2:10">
      <c r="B35" s="84"/>
      <c r="C35" s="84"/>
      <c r="D35" s="84"/>
      <c r="E35" s="84"/>
      <c r="F35" s="84"/>
      <c r="G35" s="84"/>
      <c r="H35" s="84"/>
      <c r="I35" s="84"/>
      <c r="J35" s="84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91" t="s">
        <v>28</v>
      </c>
      <c r="B3" s="92"/>
      <c r="D3" s="93" t="s">
        <v>152</v>
      </c>
      <c r="E3" s="94"/>
      <c r="F3" s="94"/>
      <c r="G3" s="94"/>
      <c r="H3" s="95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2025-10-30T08:51:40Z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
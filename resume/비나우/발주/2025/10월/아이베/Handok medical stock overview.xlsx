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10월\아이베\"/>
    </mc:Choice>
  </mc:AlternateContent>
  <xr:revisionPtr revIDLastSave="0" documentId="13_ncr:1_{AC6D7740-6548-467E-A636-A78E12C856CA}" xr6:coauthVersionLast="47" xr6:coauthVersionMax="47" xr10:uidLastSave="{00000000-0000-0000-0000-000000000000}"/>
  <bookViews>
    <workbookView xWindow="28680" yWindow="-705" windowWidth="29040" windowHeight="15720" firstSheet="2" activeTab="6" xr2:uid="{00000000-000D-0000-FFFF-FFFF00000000}"/>
  </bookViews>
  <sheets>
    <sheet name="시트29" sheetId="4" state="hidden" r:id="rId1"/>
    <sheet name="Domestic의 사본 발주예상용" sheetId="6" state="hidden" r:id="rId2"/>
    <sheet name="Medical" sheetId="9" r:id="rId3"/>
    <sheet name="Jikgu의 사본 발주 예상용" sheetId="10" state="hidden" r:id="rId4"/>
    <sheet name="직구재고" sheetId="11" state="hidden" r:id="rId5"/>
    <sheet name="Medical(2)" sheetId="26" r:id="rId6"/>
    <sheet name="Medical_rev" sheetId="28" r:id="rId7"/>
    <sheet name="메디컬 입고" sheetId="12" r:id="rId8"/>
    <sheet name="메디컬 재고" sheetId="13" r:id="rId9"/>
    <sheet name="메디컬 SKU" sheetId="14" r:id="rId10"/>
    <sheet name="금액" sheetId="15" r:id="rId11"/>
    <sheet name="금액(2)" sheetId="27" r:id="rId12"/>
    <sheet name="단가" sheetId="16" r:id="rId13"/>
    <sheet name="유통기한 재고소진(주간)" sheetId="17" state="hidden" r:id="rId14"/>
    <sheet name="폐기비용 예상" sheetId="18" state="hidden" r:id="rId15"/>
    <sheet name="중국 물류 변경" sheetId="19" state="hidden" r:id="rId16"/>
    <sheet name="창고 이관 일정" sheetId="20" state="hidden" r:id="rId17"/>
    <sheet name="인보이스 수정" sheetId="21" state="hidden" r:id="rId18"/>
    <sheet name="장마 대비 포장 패키징 비용" sheetId="22" state="hidden" r:id="rId19"/>
    <sheet name="창고 이전 비용" sheetId="23" state="hidden" r:id="rId20"/>
    <sheet name="전체 재고" sheetId="24" state="hidden" r:id="rId21"/>
    <sheet name="10월" sheetId="25" state="hidden" r:id="rId22"/>
  </sheets>
  <definedNames>
    <definedName name="_xlnm._FilterDatabase" localSheetId="7" hidden="1">'메디컬 입고'!$A$1:$H$13</definedName>
    <definedName name="_xlnm._FilterDatabase" localSheetId="4" hidden="1">직구재고!$A$1:$Z$37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5" i="15" l="1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J18" i="28" l="1"/>
  <c r="J17" i="28"/>
  <c r="J16" i="28"/>
  <c r="J15" i="28"/>
  <c r="J14" i="28"/>
  <c r="J13" i="28"/>
  <c r="J12" i="28"/>
  <c r="J11" i="28"/>
  <c r="J10" i="28"/>
  <c r="J9" i="28"/>
  <c r="J8" i="28"/>
  <c r="J7" i="28"/>
  <c r="J6" i="28"/>
  <c r="J5" i="28"/>
  <c r="J4" i="28"/>
  <c r="E17" i="28"/>
  <c r="I42" i="28" l="1"/>
  <c r="D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N63" i="28"/>
  <c r="D62" i="28"/>
  <c r="E61" i="28"/>
  <c r="F61" i="28" s="1"/>
  <c r="B61" i="28"/>
  <c r="E60" i="28"/>
  <c r="E80" i="28" s="1"/>
  <c r="B60" i="28"/>
  <c r="E59" i="28"/>
  <c r="F59" i="28" s="1"/>
  <c r="B59" i="28"/>
  <c r="E58" i="28"/>
  <c r="F58" i="28" s="1"/>
  <c r="B58" i="28"/>
  <c r="E57" i="28"/>
  <c r="F57" i="28" s="1"/>
  <c r="B57" i="28"/>
  <c r="E56" i="28"/>
  <c r="E76" i="28" s="1"/>
  <c r="B56" i="28"/>
  <c r="E55" i="28"/>
  <c r="F55" i="28" s="1"/>
  <c r="B55" i="28"/>
  <c r="E54" i="28"/>
  <c r="F54" i="28" s="1"/>
  <c r="B54" i="28"/>
  <c r="E53" i="28"/>
  <c r="F53" i="28" s="1"/>
  <c r="B53" i="28"/>
  <c r="E52" i="28"/>
  <c r="E72" i="28" s="1"/>
  <c r="B52" i="28"/>
  <c r="E51" i="28"/>
  <c r="F51" i="28" s="1"/>
  <c r="B51" i="28"/>
  <c r="E50" i="28"/>
  <c r="F50" i="28" s="1"/>
  <c r="B50" i="28"/>
  <c r="E49" i="28"/>
  <c r="F49" i="28" s="1"/>
  <c r="B49" i="28"/>
  <c r="E48" i="28"/>
  <c r="E68" i="28" s="1"/>
  <c r="B48" i="28"/>
  <c r="E47" i="28"/>
  <c r="F47" i="28" s="1"/>
  <c r="B47" i="28"/>
  <c r="E46" i="28"/>
  <c r="F46" i="28" s="1"/>
  <c r="B46" i="28"/>
  <c r="N43" i="28"/>
  <c r="H42" i="28"/>
  <c r="G42" i="28"/>
  <c r="F42" i="28"/>
  <c r="E42" i="28"/>
  <c r="D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N23" i="28"/>
  <c r="D22" i="28"/>
  <c r="S4" i="28" s="1"/>
  <c r="J21" i="28"/>
  <c r="J22" i="28" s="1"/>
  <c r="S9" i="28" s="1"/>
  <c r="H21" i="28"/>
  <c r="H22" i="28" s="1"/>
  <c r="S8" i="28" s="1"/>
  <c r="G21" i="28"/>
  <c r="G22" i="28" s="1"/>
  <c r="S7" i="28" s="1"/>
  <c r="F21" i="28"/>
  <c r="F22" i="28" s="1"/>
  <c r="S6" i="28" s="1"/>
  <c r="E21" i="28"/>
  <c r="E22" i="28" s="1"/>
  <c r="S5" i="28" s="1"/>
  <c r="D21" i="28"/>
  <c r="H20" i="28"/>
  <c r="G20" i="28"/>
  <c r="F20" i="28"/>
  <c r="E20" i="28"/>
  <c r="D20" i="28"/>
  <c r="O19" i="28"/>
  <c r="L19" i="28"/>
  <c r="J19" i="28" s="1"/>
  <c r="B19" i="28"/>
  <c r="O18" i="28"/>
  <c r="L18" i="28"/>
  <c r="B18" i="28"/>
  <c r="O17" i="28"/>
  <c r="L17" i="28"/>
  <c r="B17" i="28"/>
  <c r="O16" i="28"/>
  <c r="L16" i="28"/>
  <c r="B16" i="28"/>
  <c r="O15" i="28"/>
  <c r="L15" i="28"/>
  <c r="B15" i="28"/>
  <c r="O14" i="28"/>
  <c r="L14" i="28"/>
  <c r="B14" i="28"/>
  <c r="O13" i="28"/>
  <c r="L13" i="28"/>
  <c r="B13" i="28"/>
  <c r="O12" i="28"/>
  <c r="L12" i="28"/>
  <c r="B12" i="28"/>
  <c r="O11" i="28"/>
  <c r="L11" i="28"/>
  <c r="B11" i="28"/>
  <c r="O10" i="28"/>
  <c r="L10" i="28"/>
  <c r="B10" i="28"/>
  <c r="O9" i="28"/>
  <c r="L9" i="28"/>
  <c r="B9" i="28"/>
  <c r="O8" i="28"/>
  <c r="L8" i="28"/>
  <c r="B8" i="28"/>
  <c r="O7" i="28"/>
  <c r="L7" i="28"/>
  <c r="B7" i="28"/>
  <c r="O6" i="28"/>
  <c r="L6" i="28"/>
  <c r="B6" i="28"/>
  <c r="O5" i="28"/>
  <c r="L5" i="28"/>
  <c r="B5" i="28"/>
  <c r="O4" i="28"/>
  <c r="L4" i="28"/>
  <c r="B4" i="28"/>
  <c r="J20" i="28" l="1"/>
  <c r="J42" i="28"/>
  <c r="G59" i="28"/>
  <c r="F79" i="28"/>
  <c r="G55" i="28"/>
  <c r="F75" i="28"/>
  <c r="F77" i="28"/>
  <c r="G57" i="28"/>
  <c r="F81" i="28"/>
  <c r="G61" i="28"/>
  <c r="G47" i="28"/>
  <c r="F67" i="28"/>
  <c r="F73" i="28"/>
  <c r="G53" i="28"/>
  <c r="F69" i="28"/>
  <c r="G49" i="28"/>
  <c r="G46" i="28"/>
  <c r="F66" i="28"/>
  <c r="G50" i="28"/>
  <c r="F70" i="28"/>
  <c r="G54" i="28"/>
  <c r="F74" i="28"/>
  <c r="G58" i="28"/>
  <c r="F78" i="28"/>
  <c r="G51" i="28"/>
  <c r="F71" i="28"/>
  <c r="S10" i="28"/>
  <c r="F48" i="28"/>
  <c r="F52" i="28"/>
  <c r="F56" i="28"/>
  <c r="F60" i="28"/>
  <c r="E67" i="28"/>
  <c r="E71" i="28"/>
  <c r="E75" i="28"/>
  <c r="E79" i="28"/>
  <c r="E66" i="28"/>
  <c r="E70" i="28"/>
  <c r="E74" i="28"/>
  <c r="E78" i="28"/>
  <c r="E62" i="28"/>
  <c r="E69" i="28"/>
  <c r="E73" i="28"/>
  <c r="E77" i="28"/>
  <c r="E81" i="28"/>
  <c r="F62" i="28" l="1"/>
  <c r="H46" i="28"/>
  <c r="I46" i="28" s="1"/>
  <c r="G66" i="28"/>
  <c r="H58" i="28"/>
  <c r="I58" i="28" s="1"/>
  <c r="G78" i="28"/>
  <c r="G56" i="28"/>
  <c r="F76" i="28"/>
  <c r="F80" i="28"/>
  <c r="G60" i="28"/>
  <c r="G52" i="28"/>
  <c r="F72" i="28"/>
  <c r="H54" i="28"/>
  <c r="I54" i="28" s="1"/>
  <c r="G74" i="28"/>
  <c r="G73" i="28"/>
  <c r="H53" i="28"/>
  <c r="I53" i="28" s="1"/>
  <c r="H51" i="28"/>
  <c r="I51" i="28" s="1"/>
  <c r="G71" i="28"/>
  <c r="E82" i="28"/>
  <c r="F68" i="28"/>
  <c r="G48" i="28"/>
  <c r="H55" i="28"/>
  <c r="I55" i="28" s="1"/>
  <c r="G75" i="28"/>
  <c r="G81" i="28"/>
  <c r="H61" i="28"/>
  <c r="I61" i="28" s="1"/>
  <c r="G69" i="28"/>
  <c r="H49" i="28"/>
  <c r="I49" i="28" s="1"/>
  <c r="H50" i="28"/>
  <c r="I50" i="28" s="1"/>
  <c r="G70" i="28"/>
  <c r="G77" i="28"/>
  <c r="H57" i="28"/>
  <c r="I57" i="28" s="1"/>
  <c r="H47" i="28"/>
  <c r="I47" i="28" s="1"/>
  <c r="G67" i="28"/>
  <c r="H59" i="28"/>
  <c r="I59" i="28" s="1"/>
  <c r="G79" i="28"/>
  <c r="I81" i="28" l="1"/>
  <c r="J61" i="28"/>
  <c r="J81" i="28" s="1"/>
  <c r="I73" i="28"/>
  <c r="J53" i="28"/>
  <c r="J73" i="28" s="1"/>
  <c r="I77" i="28"/>
  <c r="J57" i="28"/>
  <c r="J77" i="28" s="1"/>
  <c r="J55" i="28"/>
  <c r="J75" i="28" s="1"/>
  <c r="I75" i="28"/>
  <c r="I74" i="28"/>
  <c r="J54" i="28"/>
  <c r="I78" i="28"/>
  <c r="J58" i="28"/>
  <c r="I67" i="28"/>
  <c r="J47" i="28"/>
  <c r="J67" i="28" s="1"/>
  <c r="I70" i="28"/>
  <c r="J50" i="28"/>
  <c r="J70" i="28" s="1"/>
  <c r="I71" i="28"/>
  <c r="J51" i="28"/>
  <c r="I69" i="28"/>
  <c r="J49" i="28"/>
  <c r="I66" i="28"/>
  <c r="J46" i="28"/>
  <c r="I79" i="28"/>
  <c r="J59" i="28"/>
  <c r="J79" i="28" s="1"/>
  <c r="F82" i="28"/>
  <c r="H73" i="28"/>
  <c r="H81" i="28"/>
  <c r="H56" i="28"/>
  <c r="I56" i="28" s="1"/>
  <c r="G76" i="28"/>
  <c r="H75" i="28"/>
  <c r="H67" i="28"/>
  <c r="H77" i="28"/>
  <c r="H48" i="28"/>
  <c r="I48" i="28" s="1"/>
  <c r="G68" i="28"/>
  <c r="H74" i="28"/>
  <c r="J74" i="28"/>
  <c r="H78" i="28"/>
  <c r="J78" i="28"/>
  <c r="J71" i="28"/>
  <c r="H71" i="28"/>
  <c r="H52" i="28"/>
  <c r="I52" i="28" s="1"/>
  <c r="G72" i="28"/>
  <c r="G62" i="28"/>
  <c r="H70" i="28"/>
  <c r="H79" i="28"/>
  <c r="H69" i="28"/>
  <c r="J69" i="28"/>
  <c r="H60" i="28"/>
  <c r="I60" i="28" s="1"/>
  <c r="G80" i="28"/>
  <c r="H66" i="28"/>
  <c r="G82" i="28" l="1"/>
  <c r="I72" i="28"/>
  <c r="J52" i="28"/>
  <c r="J72" i="28" s="1"/>
  <c r="J48" i="28"/>
  <c r="J68" i="28" s="1"/>
  <c r="I68" i="28"/>
  <c r="I76" i="28"/>
  <c r="J56" i="28"/>
  <c r="J76" i="28" s="1"/>
  <c r="I80" i="28"/>
  <c r="J60" i="28"/>
  <c r="J80" i="28" s="1"/>
  <c r="H80" i="28"/>
  <c r="H72" i="28"/>
  <c r="H68" i="28"/>
  <c r="H76" i="28"/>
  <c r="J66" i="28"/>
  <c r="H62" i="28"/>
  <c r="H82" i="28" l="1"/>
  <c r="J62" i="28"/>
  <c r="J82" i="28"/>
  <c r="K19" i="26" l="1"/>
  <c r="I19" i="26" s="1"/>
  <c r="I10" i="26"/>
  <c r="K18" i="26"/>
  <c r="I18" i="26" s="1"/>
  <c r="K17" i="26"/>
  <c r="I17" i="26" s="1"/>
  <c r="K16" i="26"/>
  <c r="I16" i="26" s="1"/>
  <c r="K15" i="26"/>
  <c r="I15" i="26" s="1"/>
  <c r="K14" i="26"/>
  <c r="I14" i="26" s="1"/>
  <c r="K13" i="26"/>
  <c r="I13" i="26" s="1"/>
  <c r="K12" i="26"/>
  <c r="I12" i="26" s="1"/>
  <c r="K11" i="26"/>
  <c r="I11" i="26" s="1"/>
  <c r="K10" i="26"/>
  <c r="K9" i="26"/>
  <c r="I9" i="26" s="1"/>
  <c r="K8" i="26"/>
  <c r="I8" i="26" s="1"/>
  <c r="K7" i="26"/>
  <c r="I7" i="26" s="1"/>
  <c r="K6" i="26"/>
  <c r="I6" i="26" s="1"/>
  <c r="K5" i="26"/>
  <c r="I5" i="26" s="1"/>
  <c r="K4" i="26"/>
  <c r="I4" i="26" s="1"/>
  <c r="M63" i="26"/>
  <c r="M43" i="26"/>
  <c r="M23" i="26"/>
  <c r="I26" i="26" l="1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M48" i="27" l="1"/>
  <c r="M47" i="27"/>
  <c r="M43" i="27"/>
  <c r="L55" i="27"/>
  <c r="K55" i="27"/>
  <c r="J55" i="27"/>
  <c r="I55" i="27"/>
  <c r="H55" i="27"/>
  <c r="L54" i="27"/>
  <c r="K54" i="27"/>
  <c r="J54" i="27"/>
  <c r="I54" i="27"/>
  <c r="H54" i="27"/>
  <c r="L53" i="27"/>
  <c r="K53" i="27"/>
  <c r="J53" i="27"/>
  <c r="I53" i="27"/>
  <c r="H53" i="27"/>
  <c r="L52" i="27"/>
  <c r="K52" i="27"/>
  <c r="J52" i="27"/>
  <c r="I52" i="27"/>
  <c r="H52" i="27"/>
  <c r="L51" i="27"/>
  <c r="K51" i="27"/>
  <c r="J51" i="27"/>
  <c r="I51" i="27"/>
  <c r="H51" i="27"/>
  <c r="L50" i="27"/>
  <c r="K50" i="27"/>
  <c r="J50" i="27"/>
  <c r="I50" i="27"/>
  <c r="H50" i="27"/>
  <c r="L49" i="27"/>
  <c r="K49" i="27"/>
  <c r="J49" i="27"/>
  <c r="I49" i="27"/>
  <c r="H49" i="27"/>
  <c r="L48" i="27"/>
  <c r="K48" i="27"/>
  <c r="J48" i="27"/>
  <c r="I48" i="27"/>
  <c r="H48" i="27"/>
  <c r="L47" i="27"/>
  <c r="K47" i="27"/>
  <c r="J47" i="27"/>
  <c r="I47" i="27"/>
  <c r="H47" i="27"/>
  <c r="L46" i="27"/>
  <c r="K46" i="27"/>
  <c r="J46" i="27"/>
  <c r="I46" i="27"/>
  <c r="H46" i="27"/>
  <c r="L45" i="27"/>
  <c r="K45" i="27"/>
  <c r="J45" i="27"/>
  <c r="I45" i="27"/>
  <c r="H45" i="27"/>
  <c r="L44" i="27"/>
  <c r="K44" i="27"/>
  <c r="J44" i="27"/>
  <c r="I44" i="27"/>
  <c r="H44" i="27"/>
  <c r="L43" i="27"/>
  <c r="K43" i="27"/>
  <c r="J43" i="27"/>
  <c r="I43" i="27"/>
  <c r="H43" i="27"/>
  <c r="L42" i="27"/>
  <c r="K42" i="27"/>
  <c r="J42" i="27"/>
  <c r="I42" i="27"/>
  <c r="H42" i="27"/>
  <c r="L41" i="27"/>
  <c r="K41" i="27"/>
  <c r="J41" i="27"/>
  <c r="I41" i="27"/>
  <c r="H41" i="27"/>
  <c r="L40" i="27"/>
  <c r="L56" i="27" s="1"/>
  <c r="K40" i="27"/>
  <c r="K56" i="27" s="1"/>
  <c r="J40" i="27"/>
  <c r="J56" i="27" s="1"/>
  <c r="I40" i="27"/>
  <c r="I56" i="27" s="1"/>
  <c r="H40" i="27"/>
  <c r="H56" i="27" s="1"/>
  <c r="V34" i="27"/>
  <c r="N34" i="27"/>
  <c r="F34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W15" i="27"/>
  <c r="W34" i="27" s="1"/>
  <c r="V15" i="27"/>
  <c r="U15" i="27"/>
  <c r="U34" i="27" s="1"/>
  <c r="T15" i="27"/>
  <c r="T34" i="27" s="1"/>
  <c r="S15" i="27"/>
  <c r="S34" i="27" s="1"/>
  <c r="R15" i="27"/>
  <c r="R34" i="27" s="1"/>
  <c r="Q15" i="27"/>
  <c r="Q34" i="27" s="1"/>
  <c r="P15" i="27"/>
  <c r="P34" i="27" s="1"/>
  <c r="O15" i="27"/>
  <c r="O34" i="27" s="1"/>
  <c r="N15" i="27"/>
  <c r="M15" i="27"/>
  <c r="M34" i="27" s="1"/>
  <c r="L15" i="27"/>
  <c r="L34" i="27" s="1"/>
  <c r="K15" i="27"/>
  <c r="K34" i="27" s="1"/>
  <c r="J15" i="27"/>
  <c r="J34" i="27" s="1"/>
  <c r="I15" i="27"/>
  <c r="I34" i="27" s="1"/>
  <c r="H15" i="27"/>
  <c r="H34" i="27" s="1"/>
  <c r="G15" i="27"/>
  <c r="G34" i="27" s="1"/>
  <c r="F15" i="27"/>
  <c r="E15" i="27"/>
  <c r="E34" i="27" s="1"/>
  <c r="S11" i="27"/>
  <c r="R11" i="27"/>
  <c r="K11" i="27"/>
  <c r="J11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W4" i="27"/>
  <c r="W11" i="27" s="1"/>
  <c r="V4" i="27"/>
  <c r="V11" i="27" s="1"/>
  <c r="U4" i="27"/>
  <c r="U11" i="27" s="1"/>
  <c r="T4" i="27"/>
  <c r="T11" i="27" s="1"/>
  <c r="S4" i="27"/>
  <c r="R4" i="27"/>
  <c r="Q4" i="27"/>
  <c r="Q11" i="27" s="1"/>
  <c r="P4" i="27"/>
  <c r="P11" i="27" s="1"/>
  <c r="O4" i="27"/>
  <c r="O11" i="27" s="1"/>
  <c r="N4" i="27"/>
  <c r="N11" i="27" s="1"/>
  <c r="M4" i="27"/>
  <c r="M11" i="27" s="1"/>
  <c r="L4" i="27"/>
  <c r="L11" i="27" s="1"/>
  <c r="K4" i="27"/>
  <c r="J4" i="27"/>
  <c r="I4" i="27"/>
  <c r="I11" i="27" s="1"/>
  <c r="H4" i="27"/>
  <c r="H11" i="27" s="1"/>
  <c r="G4" i="27"/>
  <c r="G11" i="27" s="1"/>
  <c r="F4" i="27"/>
  <c r="F11" i="27" s="1"/>
  <c r="E4" i="27"/>
  <c r="E11" i="27" s="1"/>
  <c r="N19" i="26"/>
  <c r="N18" i="26"/>
  <c r="N17" i="26"/>
  <c r="N16" i="26"/>
  <c r="N15" i="26"/>
  <c r="N14" i="26"/>
  <c r="N13" i="26"/>
  <c r="N12" i="26"/>
  <c r="N11" i="26"/>
  <c r="N10" i="26"/>
  <c r="N9" i="26"/>
  <c r="N8" i="26"/>
  <c r="N7" i="26"/>
  <c r="N6" i="26"/>
  <c r="N5" i="26"/>
  <c r="N4" i="26"/>
  <c r="M51" i="27" l="1"/>
  <c r="M52" i="27"/>
  <c r="M41" i="27"/>
  <c r="M45" i="27"/>
  <c r="M49" i="27"/>
  <c r="M53" i="27"/>
  <c r="M42" i="27"/>
  <c r="M46" i="27"/>
  <c r="M50" i="27"/>
  <c r="M54" i="27"/>
  <c r="M55" i="27"/>
  <c r="M44" i="27"/>
  <c r="M40" i="27"/>
  <c r="M56" i="27" l="1"/>
  <c r="I21" i="26" s="1"/>
  <c r="I22" i="26" s="1"/>
  <c r="R9" i="26" s="1"/>
  <c r="D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D62" i="26"/>
  <c r="E61" i="26"/>
  <c r="E81" i="26" s="1"/>
  <c r="B61" i="26"/>
  <c r="E60" i="26"/>
  <c r="E80" i="26" s="1"/>
  <c r="B60" i="26"/>
  <c r="E59" i="26"/>
  <c r="E79" i="26" s="1"/>
  <c r="B59" i="26"/>
  <c r="E58" i="26"/>
  <c r="E78" i="26" s="1"/>
  <c r="B58" i="26"/>
  <c r="E57" i="26"/>
  <c r="E77" i="26" s="1"/>
  <c r="B57" i="26"/>
  <c r="E56" i="26"/>
  <c r="E76" i="26" s="1"/>
  <c r="B56" i="26"/>
  <c r="E55" i="26"/>
  <c r="E75" i="26" s="1"/>
  <c r="B55" i="26"/>
  <c r="E54" i="26"/>
  <c r="E74" i="26" s="1"/>
  <c r="B54" i="26"/>
  <c r="E53" i="26"/>
  <c r="E73" i="26" s="1"/>
  <c r="B53" i="26"/>
  <c r="E52" i="26"/>
  <c r="E72" i="26" s="1"/>
  <c r="B52" i="26"/>
  <c r="E51" i="26"/>
  <c r="E71" i="26" s="1"/>
  <c r="B51" i="26"/>
  <c r="E50" i="26"/>
  <c r="E70" i="26" s="1"/>
  <c r="B50" i="26"/>
  <c r="E49" i="26"/>
  <c r="E69" i="26" s="1"/>
  <c r="B49" i="26"/>
  <c r="E48" i="26"/>
  <c r="E68" i="26" s="1"/>
  <c r="B48" i="26"/>
  <c r="E47" i="26"/>
  <c r="E67" i="26" s="1"/>
  <c r="B47" i="26"/>
  <c r="E46" i="26"/>
  <c r="F46" i="26" s="1"/>
  <c r="G46" i="26" s="1"/>
  <c r="B46" i="26"/>
  <c r="H42" i="26"/>
  <c r="G42" i="26"/>
  <c r="F42" i="26"/>
  <c r="E42" i="26"/>
  <c r="D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H21" i="26"/>
  <c r="H22" i="26" s="1"/>
  <c r="R8" i="26" s="1"/>
  <c r="G21" i="26"/>
  <c r="G22" i="26" s="1"/>
  <c r="R7" i="26" s="1"/>
  <c r="F21" i="26"/>
  <c r="F22" i="26" s="1"/>
  <c r="R6" i="26" s="1"/>
  <c r="E21" i="26"/>
  <c r="E22" i="26" s="1"/>
  <c r="R5" i="26" s="1"/>
  <c r="D21" i="26"/>
  <c r="D22" i="26" s="1"/>
  <c r="R4" i="26" s="1"/>
  <c r="I20" i="26"/>
  <c r="H20" i="26"/>
  <c r="G20" i="26"/>
  <c r="F20" i="26"/>
  <c r="E20" i="26"/>
  <c r="D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B4" i="26"/>
  <c r="N10" i="9"/>
  <c r="N9" i="9"/>
  <c r="N8" i="9"/>
  <c r="N7" i="9"/>
  <c r="N6" i="9"/>
  <c r="N5" i="9"/>
  <c r="M40" i="15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F57" i="26" l="1"/>
  <c r="F77" i="26" s="1"/>
  <c r="F50" i="26"/>
  <c r="G50" i="26" s="1"/>
  <c r="H50" i="26" s="1"/>
  <c r="F47" i="26"/>
  <c r="G47" i="26" s="1"/>
  <c r="H47" i="26" s="1"/>
  <c r="F56" i="26"/>
  <c r="G56" i="26" s="1"/>
  <c r="G76" i="26" s="1"/>
  <c r="F54" i="26"/>
  <c r="G54" i="26" s="1"/>
  <c r="H54" i="26" s="1"/>
  <c r="F48" i="26"/>
  <c r="G48" i="26" s="1"/>
  <c r="H48" i="26" s="1"/>
  <c r="F55" i="26"/>
  <c r="G55" i="26" s="1"/>
  <c r="H55" i="26" s="1"/>
  <c r="F58" i="26"/>
  <c r="G58" i="26" s="1"/>
  <c r="H58" i="26" s="1"/>
  <c r="F53" i="26"/>
  <c r="F73" i="26" s="1"/>
  <c r="F61" i="26"/>
  <c r="F81" i="26" s="1"/>
  <c r="E62" i="26"/>
  <c r="F51" i="26"/>
  <c r="F59" i="26"/>
  <c r="F49" i="26"/>
  <c r="F69" i="26" s="1"/>
  <c r="F67" i="26"/>
  <c r="I42" i="26"/>
  <c r="F52" i="26"/>
  <c r="G52" i="26" s="1"/>
  <c r="H52" i="26" s="1"/>
  <c r="F60" i="26"/>
  <c r="G60" i="26" s="1"/>
  <c r="H60" i="26" s="1"/>
  <c r="G66" i="26"/>
  <c r="H46" i="26"/>
  <c r="R10" i="26"/>
  <c r="E66" i="26"/>
  <c r="E82" i="26" s="1"/>
  <c r="F66" i="26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5" i="9"/>
  <c r="F68" i="26" l="1"/>
  <c r="G57" i="26"/>
  <c r="G70" i="26"/>
  <c r="F70" i="26"/>
  <c r="F76" i="26"/>
  <c r="G68" i="26"/>
  <c r="G67" i="26"/>
  <c r="H56" i="26"/>
  <c r="I56" i="26" s="1"/>
  <c r="I76" i="26" s="1"/>
  <c r="G74" i="26"/>
  <c r="F74" i="26"/>
  <c r="G75" i="26"/>
  <c r="G49" i="26"/>
  <c r="G69" i="26" s="1"/>
  <c r="G78" i="26"/>
  <c r="F72" i="26"/>
  <c r="F75" i="26"/>
  <c r="G80" i="26"/>
  <c r="G61" i="26"/>
  <c r="G81" i="26" s="1"/>
  <c r="G72" i="26"/>
  <c r="F62" i="26"/>
  <c r="G53" i="26"/>
  <c r="G73" i="26" s="1"/>
  <c r="F78" i="26"/>
  <c r="F80" i="26"/>
  <c r="G59" i="26"/>
  <c r="F79" i="26"/>
  <c r="G51" i="26"/>
  <c r="F71" i="26"/>
  <c r="I47" i="26"/>
  <c r="I67" i="26" s="1"/>
  <c r="H67" i="26"/>
  <c r="H66" i="26"/>
  <c r="I46" i="26"/>
  <c r="H70" i="26"/>
  <c r="I50" i="26"/>
  <c r="I70" i="26" s="1"/>
  <c r="I52" i="26"/>
  <c r="I72" i="26" s="1"/>
  <c r="H72" i="26"/>
  <c r="H78" i="26"/>
  <c r="I58" i="26"/>
  <c r="I78" i="26" s="1"/>
  <c r="I60" i="26"/>
  <c r="I80" i="26" s="1"/>
  <c r="H80" i="26"/>
  <c r="I48" i="26"/>
  <c r="I68" i="26" s="1"/>
  <c r="H68" i="26"/>
  <c r="G77" i="26"/>
  <c r="H57" i="26"/>
  <c r="I55" i="26"/>
  <c r="I75" i="26" s="1"/>
  <c r="H75" i="26"/>
  <c r="H74" i="26"/>
  <c r="I54" i="26"/>
  <c r="I74" i="26" s="1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76" i="26" l="1"/>
  <c r="H61" i="26"/>
  <c r="H81" i="26" s="1"/>
  <c r="H49" i="26"/>
  <c r="I49" i="26" s="1"/>
  <c r="I69" i="26" s="1"/>
  <c r="F82" i="26"/>
  <c r="H53" i="26"/>
  <c r="I53" i="26" s="1"/>
  <c r="I73" i="26" s="1"/>
  <c r="G62" i="26"/>
  <c r="H51" i="26"/>
  <c r="G71" i="26"/>
  <c r="H59" i="26"/>
  <c r="G79" i="26"/>
  <c r="I66" i="26"/>
  <c r="I57" i="26"/>
  <c r="I77" i="26" s="1"/>
  <c r="H77" i="26"/>
  <c r="I61" i="26"/>
  <c r="I81" i="26" s="1"/>
  <c r="I43" i="9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I21" i="9"/>
  <c r="H69" i="26" l="1"/>
  <c r="H62" i="26"/>
  <c r="H73" i="26"/>
  <c r="G82" i="26"/>
  <c r="I59" i="26"/>
  <c r="I79" i="26" s="1"/>
  <c r="H79" i="26"/>
  <c r="H71" i="26"/>
  <c r="I51" i="26"/>
  <c r="N11" i="9"/>
  <c r="D60" i="25"/>
  <c r="D59" i="25"/>
  <c r="D58" i="25"/>
  <c r="D57" i="25"/>
  <c r="AP53" i="25"/>
  <c r="AF53" i="25"/>
  <c r="V53" i="25"/>
  <c r="L53" i="25"/>
  <c r="AP52" i="25"/>
  <c r="AF52" i="25"/>
  <c r="V52" i="25"/>
  <c r="L52" i="25"/>
  <c r="AP51" i="25"/>
  <c r="AF51" i="25"/>
  <c r="V51" i="25"/>
  <c r="L51" i="25"/>
  <c r="AP50" i="25"/>
  <c r="AF50" i="25"/>
  <c r="V50" i="25"/>
  <c r="L50" i="25"/>
  <c r="AP49" i="25"/>
  <c r="AF49" i="25"/>
  <c r="V49" i="25"/>
  <c r="L49" i="25"/>
  <c r="A49" i="25"/>
  <c r="A50" i="25" s="1"/>
  <c r="A51" i="25" s="1"/>
  <c r="A52" i="25" s="1"/>
  <c r="A53" i="25" s="1"/>
  <c r="AP48" i="25"/>
  <c r="AF48" i="25"/>
  <c r="V48" i="25"/>
  <c r="L48" i="25"/>
  <c r="AP47" i="25"/>
  <c r="AP7" i="25" s="1"/>
  <c r="AR7" i="25" s="1"/>
  <c r="AO47" i="25"/>
  <c r="AN47" i="25"/>
  <c r="AM47" i="25"/>
  <c r="AL47" i="25"/>
  <c r="AL7" i="25" s="1"/>
  <c r="AK47" i="25"/>
  <c r="AJ47" i="25"/>
  <c r="AI47" i="25"/>
  <c r="AE47" i="25"/>
  <c r="AD47" i="25"/>
  <c r="AC47" i="25"/>
  <c r="AC7" i="25" s="1"/>
  <c r="AB47" i="25"/>
  <c r="AA47" i="25"/>
  <c r="Z47" i="25"/>
  <c r="Y47" i="25"/>
  <c r="Y7" i="25" s="1"/>
  <c r="U47" i="25"/>
  <c r="T47" i="25"/>
  <c r="S47" i="25"/>
  <c r="R47" i="25"/>
  <c r="Q47" i="25"/>
  <c r="P47" i="25"/>
  <c r="O47" i="25"/>
  <c r="K47" i="25"/>
  <c r="J47" i="25"/>
  <c r="I47" i="25"/>
  <c r="H47" i="25"/>
  <c r="G47" i="25"/>
  <c r="F47" i="25"/>
  <c r="E47" i="25"/>
  <c r="AO46" i="25"/>
  <c r="AN46" i="25"/>
  <c r="AM46" i="25"/>
  <c r="AL46" i="25"/>
  <c r="AK46" i="25"/>
  <c r="AJ46" i="25"/>
  <c r="AI46" i="25"/>
  <c r="AE46" i="25"/>
  <c r="AD46" i="25"/>
  <c r="AC46" i="25"/>
  <c r="AB46" i="25"/>
  <c r="AA46" i="25"/>
  <c r="Z46" i="25"/>
  <c r="Y46" i="25"/>
  <c r="U46" i="25"/>
  <c r="T46" i="25"/>
  <c r="S46" i="25"/>
  <c r="R46" i="25"/>
  <c r="Q46" i="25"/>
  <c r="P46" i="25"/>
  <c r="O46" i="25"/>
  <c r="K46" i="25"/>
  <c r="J46" i="25"/>
  <c r="I46" i="25"/>
  <c r="H46" i="25"/>
  <c r="G46" i="25"/>
  <c r="F46" i="25"/>
  <c r="E46" i="25"/>
  <c r="AO45" i="25"/>
  <c r="AN45" i="25"/>
  <c r="AM45" i="25"/>
  <c r="AL45" i="25"/>
  <c r="AK45" i="25"/>
  <c r="AJ45" i="25"/>
  <c r="AI45" i="25"/>
  <c r="AE45" i="25"/>
  <c r="AD45" i="25"/>
  <c r="AC45" i="25"/>
  <c r="AB45" i="25"/>
  <c r="AA45" i="25"/>
  <c r="Z45" i="25"/>
  <c r="Y45" i="25"/>
  <c r="U45" i="25"/>
  <c r="T45" i="25"/>
  <c r="S45" i="25"/>
  <c r="R45" i="25"/>
  <c r="Q45" i="25"/>
  <c r="P45" i="25"/>
  <c r="O45" i="25"/>
  <c r="K45" i="25"/>
  <c r="J45" i="25"/>
  <c r="I45" i="25"/>
  <c r="H45" i="25"/>
  <c r="G45" i="25"/>
  <c r="F45" i="25"/>
  <c r="E45" i="25"/>
  <c r="AO44" i="25"/>
  <c r="AN44" i="25"/>
  <c r="AM44" i="25"/>
  <c r="AL44" i="25"/>
  <c r="AK44" i="25"/>
  <c r="AJ44" i="25"/>
  <c r="AI44" i="25"/>
  <c r="AE44" i="25"/>
  <c r="AD44" i="25"/>
  <c r="AC44" i="25"/>
  <c r="AB44" i="25"/>
  <c r="AA44" i="25"/>
  <c r="Z44" i="25"/>
  <c r="Y44" i="25"/>
  <c r="U44" i="25"/>
  <c r="T44" i="25"/>
  <c r="S44" i="25"/>
  <c r="R44" i="25"/>
  <c r="Q44" i="25"/>
  <c r="P44" i="25"/>
  <c r="O44" i="25"/>
  <c r="K44" i="25"/>
  <c r="J44" i="25"/>
  <c r="I44" i="25"/>
  <c r="H44" i="25"/>
  <c r="G44" i="25"/>
  <c r="F44" i="25"/>
  <c r="E44" i="25"/>
  <c r="AP43" i="25"/>
  <c r="AO43" i="25"/>
  <c r="AN43" i="25"/>
  <c r="AM43" i="25"/>
  <c r="AL43" i="25"/>
  <c r="AK43" i="25"/>
  <c r="AJ43" i="25"/>
  <c r="AI43" i="25"/>
  <c r="AE43" i="25"/>
  <c r="AD43" i="25"/>
  <c r="AC43" i="25"/>
  <c r="AB43" i="25"/>
  <c r="AA43" i="25"/>
  <c r="Z43" i="25"/>
  <c r="Y43" i="25"/>
  <c r="U43" i="25"/>
  <c r="T43" i="25"/>
  <c r="S43" i="25"/>
  <c r="R43" i="25"/>
  <c r="Q43" i="25"/>
  <c r="P43" i="25"/>
  <c r="O43" i="25"/>
  <c r="K43" i="25"/>
  <c r="J43" i="25"/>
  <c r="I43" i="25"/>
  <c r="H43" i="25"/>
  <c r="G43" i="25"/>
  <c r="F43" i="25"/>
  <c r="E43" i="25"/>
  <c r="A43" i="25"/>
  <c r="A44" i="25" s="1"/>
  <c r="A45" i="25" s="1"/>
  <c r="A46" i="25" s="1"/>
  <c r="A47" i="25" s="1"/>
  <c r="AO42" i="25"/>
  <c r="AN42" i="25"/>
  <c r="AM42" i="25"/>
  <c r="AL42" i="25"/>
  <c r="AK42" i="25"/>
  <c r="AJ42" i="25"/>
  <c r="AI42" i="25"/>
  <c r="AE42" i="25"/>
  <c r="AD42" i="25"/>
  <c r="AC42" i="25"/>
  <c r="AB42" i="25"/>
  <c r="AA42" i="25"/>
  <c r="Z42" i="25"/>
  <c r="Y42" i="25"/>
  <c r="U42" i="25"/>
  <c r="T42" i="25"/>
  <c r="S42" i="25"/>
  <c r="R42" i="25"/>
  <c r="Q42" i="25"/>
  <c r="P42" i="25"/>
  <c r="O42" i="25"/>
  <c r="K42" i="25"/>
  <c r="J42" i="25"/>
  <c r="I42" i="25"/>
  <c r="H42" i="25"/>
  <c r="G42" i="25"/>
  <c r="F42" i="25"/>
  <c r="E42" i="25"/>
  <c r="AP41" i="25"/>
  <c r="AF41" i="25"/>
  <c r="V41" i="25"/>
  <c r="L41" i="25"/>
  <c r="L47" i="25" s="1"/>
  <c r="L7" i="25" s="1"/>
  <c r="N7" i="25" s="1"/>
  <c r="AP40" i="25"/>
  <c r="AF40" i="25"/>
  <c r="V40" i="25"/>
  <c r="L40" i="25"/>
  <c r="AP39" i="25"/>
  <c r="AF39" i="25"/>
  <c r="V39" i="25"/>
  <c r="L39" i="25"/>
  <c r="AP38" i="25"/>
  <c r="AP44" i="25" s="1"/>
  <c r="AP4" i="25" s="1"/>
  <c r="AR4" i="25" s="1"/>
  <c r="AF38" i="25"/>
  <c r="V38" i="25"/>
  <c r="L38" i="25"/>
  <c r="A38" i="25"/>
  <c r="A39" i="25" s="1"/>
  <c r="A40" i="25" s="1"/>
  <c r="A41" i="25" s="1"/>
  <c r="AP37" i="25"/>
  <c r="AF37" i="25"/>
  <c r="V37" i="25"/>
  <c r="L37" i="25"/>
  <c r="L43" i="25" s="1"/>
  <c r="L3" i="25" s="1"/>
  <c r="N3" i="25" s="1"/>
  <c r="A37" i="25"/>
  <c r="AP36" i="25"/>
  <c r="AF36" i="25"/>
  <c r="V36" i="25"/>
  <c r="L36" i="25"/>
  <c r="AP35" i="25"/>
  <c r="AF35" i="25"/>
  <c r="V35" i="25"/>
  <c r="V47" i="25" s="1"/>
  <c r="V7" i="25" s="1"/>
  <c r="X7" i="25" s="1"/>
  <c r="L35" i="25"/>
  <c r="AP34" i="25"/>
  <c r="AF34" i="25"/>
  <c r="V34" i="25"/>
  <c r="L34" i="25"/>
  <c r="AP33" i="25"/>
  <c r="AF33" i="25"/>
  <c r="V33" i="25"/>
  <c r="L33" i="25"/>
  <c r="AP32" i="25"/>
  <c r="AF32" i="25"/>
  <c r="V32" i="25"/>
  <c r="L32" i="25"/>
  <c r="L44" i="25" s="1"/>
  <c r="L4" i="25" s="1"/>
  <c r="N4" i="25" s="1"/>
  <c r="AP31" i="25"/>
  <c r="AF31" i="25"/>
  <c r="V31" i="25"/>
  <c r="V43" i="25" s="1"/>
  <c r="V3" i="25" s="1"/>
  <c r="X3" i="25" s="1"/>
  <c r="L31" i="25"/>
  <c r="A31" i="25"/>
  <c r="A32" i="25" s="1"/>
  <c r="A33" i="25" s="1"/>
  <c r="A34" i="25" s="1"/>
  <c r="A35" i="25" s="1"/>
  <c r="AP30" i="25"/>
  <c r="AF30" i="25"/>
  <c r="V30" i="25"/>
  <c r="L30" i="25"/>
  <c r="AP29" i="25"/>
  <c r="AF29" i="25"/>
  <c r="AF47" i="25" s="1"/>
  <c r="AF7" i="25" s="1"/>
  <c r="AH7" i="25" s="1"/>
  <c r="V29" i="25"/>
  <c r="L29" i="25"/>
  <c r="AP28" i="25"/>
  <c r="AP46" i="25" s="1"/>
  <c r="AP6" i="25" s="1"/>
  <c r="AR6" i="25" s="1"/>
  <c r="AF28" i="25"/>
  <c r="AF46" i="25" s="1"/>
  <c r="AF6" i="25" s="1"/>
  <c r="AH6" i="25" s="1"/>
  <c r="V28" i="25"/>
  <c r="V46" i="25" s="1"/>
  <c r="V6" i="25" s="1"/>
  <c r="X6" i="25" s="1"/>
  <c r="L28" i="25"/>
  <c r="L46" i="25" s="1"/>
  <c r="L6" i="25" s="1"/>
  <c r="N6" i="25" s="1"/>
  <c r="AP27" i="25"/>
  <c r="AP45" i="25" s="1"/>
  <c r="AP5" i="25" s="1"/>
  <c r="AR5" i="25" s="1"/>
  <c r="AF27" i="25"/>
  <c r="AF45" i="25" s="1"/>
  <c r="AF5" i="25" s="1"/>
  <c r="AH5" i="25" s="1"/>
  <c r="V27" i="25"/>
  <c r="V45" i="25" s="1"/>
  <c r="V5" i="25" s="1"/>
  <c r="X5" i="25" s="1"/>
  <c r="L27" i="25"/>
  <c r="L45" i="25" s="1"/>
  <c r="L5" i="25" s="1"/>
  <c r="N5" i="25" s="1"/>
  <c r="AP26" i="25"/>
  <c r="AF26" i="25"/>
  <c r="AF44" i="25" s="1"/>
  <c r="AF4" i="25" s="1"/>
  <c r="AH4" i="25" s="1"/>
  <c r="V26" i="25"/>
  <c r="V44" i="25" s="1"/>
  <c r="V4" i="25" s="1"/>
  <c r="X4" i="25" s="1"/>
  <c r="L26" i="25"/>
  <c r="AP25" i="25"/>
  <c r="AF25" i="25"/>
  <c r="AF43" i="25" s="1"/>
  <c r="AF3" i="25" s="1"/>
  <c r="AH3" i="25" s="1"/>
  <c r="V25" i="25"/>
  <c r="L25" i="25"/>
  <c r="A25" i="25"/>
  <c r="A26" i="25" s="1"/>
  <c r="A27" i="25" s="1"/>
  <c r="A28" i="25" s="1"/>
  <c r="A29" i="25" s="1"/>
  <c r="AP24" i="25"/>
  <c r="AP42" i="25" s="1"/>
  <c r="AP2" i="25" s="1"/>
  <c r="AR2" i="25" s="1"/>
  <c r="AF24" i="25"/>
  <c r="AF42" i="25" s="1"/>
  <c r="AF2" i="25" s="1"/>
  <c r="AH2" i="25" s="1"/>
  <c r="V24" i="25"/>
  <c r="V42" i="25" s="1"/>
  <c r="V2" i="25" s="1"/>
  <c r="X2" i="25" s="1"/>
  <c r="L24" i="25"/>
  <c r="L42" i="25" s="1"/>
  <c r="L2" i="25" s="1"/>
  <c r="N2" i="25" s="1"/>
  <c r="AP23" i="25"/>
  <c r="AF23" i="25"/>
  <c r="V23" i="25"/>
  <c r="L23" i="25"/>
  <c r="AP22" i="25"/>
  <c r="AF22" i="25"/>
  <c r="V22" i="25"/>
  <c r="L22" i="25"/>
  <c r="AP21" i="25"/>
  <c r="AF21" i="25"/>
  <c r="V21" i="25"/>
  <c r="L21" i="25"/>
  <c r="AP20" i="25"/>
  <c r="AF20" i="25"/>
  <c r="V20" i="25"/>
  <c r="L20" i="25"/>
  <c r="AP19" i="25"/>
  <c r="AF19" i="25"/>
  <c r="V19" i="25"/>
  <c r="L19" i="25"/>
  <c r="AP18" i="25"/>
  <c r="AF18" i="25"/>
  <c r="V18" i="25"/>
  <c r="L18" i="25"/>
  <c r="A18" i="25"/>
  <c r="A20" i="25" s="1"/>
  <c r="A21" i="25" s="1"/>
  <c r="A22" i="25" s="1"/>
  <c r="A23" i="25" s="1"/>
  <c r="AP17" i="25"/>
  <c r="AF17" i="25"/>
  <c r="V17" i="25"/>
  <c r="L17" i="25"/>
  <c r="AP16" i="25"/>
  <c r="AF16" i="25"/>
  <c r="V16" i="25"/>
  <c r="L16" i="25"/>
  <c r="AP15" i="25"/>
  <c r="AF15" i="25"/>
  <c r="V15" i="25"/>
  <c r="L15" i="25"/>
  <c r="AP14" i="25"/>
  <c r="AF14" i="25"/>
  <c r="V14" i="25"/>
  <c r="L14" i="25"/>
  <c r="AP13" i="25"/>
  <c r="AF13" i="25"/>
  <c r="V13" i="25"/>
  <c r="L13" i="25"/>
  <c r="AP12" i="25"/>
  <c r="AF12" i="25"/>
  <c r="V12" i="25"/>
  <c r="L12" i="25"/>
  <c r="AP11" i="25"/>
  <c r="AF11" i="25"/>
  <c r="V11" i="25"/>
  <c r="L11" i="25"/>
  <c r="AP10" i="25"/>
  <c r="AF10" i="25"/>
  <c r="V10" i="25"/>
  <c r="L10" i="25"/>
  <c r="AP9" i="25"/>
  <c r="AF9" i="25"/>
  <c r="V9" i="25"/>
  <c r="L9" i="25"/>
  <c r="A9" i="25"/>
  <c r="A10" i="25" s="1"/>
  <c r="A11" i="25" s="1"/>
  <c r="A12" i="25" s="1"/>
  <c r="A13" i="25" s="1"/>
  <c r="AP8" i="25"/>
  <c r="AF8" i="25"/>
  <c r="V8" i="25"/>
  <c r="L8" i="25"/>
  <c r="AO7" i="25"/>
  <c r="AN7" i="25"/>
  <c r="AM7" i="25"/>
  <c r="AK7" i="25"/>
  <c r="AJ7" i="25"/>
  <c r="AI7" i="25"/>
  <c r="AE7" i="25"/>
  <c r="AD7" i="25"/>
  <c r="AB7" i="25"/>
  <c r="AA7" i="25"/>
  <c r="Z7" i="25"/>
  <c r="U7" i="25"/>
  <c r="T7" i="25"/>
  <c r="S7" i="25"/>
  <c r="R7" i="25"/>
  <c r="Q7" i="25"/>
  <c r="P7" i="25"/>
  <c r="O7" i="25"/>
  <c r="K7" i="25"/>
  <c r="J7" i="25"/>
  <c r="I7" i="25"/>
  <c r="H7" i="25"/>
  <c r="G7" i="25"/>
  <c r="F7" i="25"/>
  <c r="E7" i="25"/>
  <c r="AO6" i="25"/>
  <c r="AN6" i="25"/>
  <c r="AM6" i="25"/>
  <c r="AL6" i="25"/>
  <c r="AK6" i="25"/>
  <c r="AJ6" i="25"/>
  <c r="AI6" i="25"/>
  <c r="AE6" i="25"/>
  <c r="AD6" i="25"/>
  <c r="AC6" i="25"/>
  <c r="AB6" i="25"/>
  <c r="AA6" i="25"/>
  <c r="Z6" i="25"/>
  <c r="Y6" i="25"/>
  <c r="U6" i="25"/>
  <c r="T6" i="25"/>
  <c r="S6" i="25"/>
  <c r="R6" i="25"/>
  <c r="Q6" i="25"/>
  <c r="P6" i="25"/>
  <c r="O6" i="25"/>
  <c r="K6" i="25"/>
  <c r="J6" i="25"/>
  <c r="I6" i="25"/>
  <c r="H6" i="25"/>
  <c r="G6" i="25"/>
  <c r="F6" i="25"/>
  <c r="E6" i="25"/>
  <c r="AO5" i="25"/>
  <c r="AN5" i="25"/>
  <c r="AM5" i="25"/>
  <c r="AL5" i="25"/>
  <c r="AK5" i="25"/>
  <c r="AJ5" i="25"/>
  <c r="AI5" i="25"/>
  <c r="AE5" i="25"/>
  <c r="AD5" i="25"/>
  <c r="AC5" i="25"/>
  <c r="AB5" i="25"/>
  <c r="AA5" i="25"/>
  <c r="Z5" i="25"/>
  <c r="Y5" i="25"/>
  <c r="U5" i="25"/>
  <c r="T5" i="25"/>
  <c r="S5" i="25"/>
  <c r="R5" i="25"/>
  <c r="Q5" i="25"/>
  <c r="P5" i="25"/>
  <c r="O5" i="25"/>
  <c r="K5" i="25"/>
  <c r="J5" i="25"/>
  <c r="I5" i="25"/>
  <c r="H5" i="25"/>
  <c r="G5" i="25"/>
  <c r="F5" i="25"/>
  <c r="E5" i="25"/>
  <c r="AO4" i="25"/>
  <c r="AN4" i="25"/>
  <c r="AM4" i="25"/>
  <c r="AL4" i="25"/>
  <c r="AK4" i="25"/>
  <c r="AJ4" i="25"/>
  <c r="AI4" i="25"/>
  <c r="AE4" i="25"/>
  <c r="AD4" i="25"/>
  <c r="AC4" i="25"/>
  <c r="AB4" i="25"/>
  <c r="AA4" i="25"/>
  <c r="Z4" i="25"/>
  <c r="Y4" i="25"/>
  <c r="U4" i="25"/>
  <c r="T4" i="25"/>
  <c r="S4" i="25"/>
  <c r="R4" i="25"/>
  <c r="Q4" i="25"/>
  <c r="P4" i="25"/>
  <c r="O4" i="25"/>
  <c r="K4" i="25"/>
  <c r="J4" i="25"/>
  <c r="I4" i="25"/>
  <c r="H4" i="25"/>
  <c r="G4" i="25"/>
  <c r="F4" i="25"/>
  <c r="E4" i="25"/>
  <c r="AR3" i="25"/>
  <c r="AP3" i="25"/>
  <c r="AO3" i="25"/>
  <c r="AN3" i="25"/>
  <c r="AM3" i="25"/>
  <c r="AL3" i="25"/>
  <c r="AK3" i="25"/>
  <c r="AJ3" i="25"/>
  <c r="AI3" i="25"/>
  <c r="AE3" i="25"/>
  <c r="AD3" i="25"/>
  <c r="AC3" i="25"/>
  <c r="AB3" i="25"/>
  <c r="AA3" i="25"/>
  <c r="Z3" i="25"/>
  <c r="Y3" i="25"/>
  <c r="U3" i="25"/>
  <c r="T3" i="25"/>
  <c r="S3" i="25"/>
  <c r="R3" i="25"/>
  <c r="Q3" i="25"/>
  <c r="P3" i="25"/>
  <c r="O3" i="25"/>
  <c r="K3" i="25"/>
  <c r="J3" i="25"/>
  <c r="I3" i="25"/>
  <c r="H3" i="25"/>
  <c r="G3" i="25"/>
  <c r="F3" i="25"/>
  <c r="E3" i="25"/>
  <c r="AO2" i="25"/>
  <c r="AN2" i="25"/>
  <c r="AM2" i="25"/>
  <c r="AL2" i="25"/>
  <c r="AK2" i="25"/>
  <c r="AJ2" i="25"/>
  <c r="AI2" i="25"/>
  <c r="AE2" i="25"/>
  <c r="AD2" i="25"/>
  <c r="AC2" i="25"/>
  <c r="AB2" i="25"/>
  <c r="AA2" i="25"/>
  <c r="Z2" i="25"/>
  <c r="Y2" i="25"/>
  <c r="U2" i="25"/>
  <c r="T2" i="25"/>
  <c r="S2" i="25"/>
  <c r="R2" i="25"/>
  <c r="Q2" i="25"/>
  <c r="P2" i="25"/>
  <c r="O2" i="25"/>
  <c r="K2" i="25"/>
  <c r="J2" i="25"/>
  <c r="I2" i="25"/>
  <c r="H2" i="25"/>
  <c r="G2" i="25"/>
  <c r="F2" i="25"/>
  <c r="E2" i="25"/>
  <c r="B15" i="23"/>
  <c r="B8" i="23"/>
  <c r="E16" i="22"/>
  <c r="F15" i="22"/>
  <c r="C15" i="22"/>
  <c r="F14" i="22"/>
  <c r="F16" i="22" s="1"/>
  <c r="C14" i="22"/>
  <c r="D8" i="22"/>
  <c r="C8" i="22"/>
  <c r="E7" i="22"/>
  <c r="E6" i="22"/>
  <c r="E8" i="22" s="1"/>
  <c r="E5" i="22"/>
  <c r="M29" i="20"/>
  <c r="L29" i="20"/>
  <c r="K29" i="20"/>
  <c r="J29" i="20"/>
  <c r="I29" i="20"/>
  <c r="H29" i="20"/>
  <c r="G29" i="20"/>
  <c r="F29" i="20"/>
  <c r="E29" i="20"/>
  <c r="D29" i="20"/>
  <c r="G13" i="19"/>
  <c r="G12" i="19"/>
  <c r="G7" i="19"/>
  <c r="G6" i="19"/>
  <c r="G5" i="19"/>
  <c r="B13" i="18"/>
  <c r="C12" i="18"/>
  <c r="C11" i="18"/>
  <c r="C13" i="18" s="1"/>
  <c r="B11" i="18"/>
  <c r="E82" i="17"/>
  <c r="D82" i="17"/>
  <c r="E81" i="17"/>
  <c r="D81" i="17"/>
  <c r="E79" i="17"/>
  <c r="D79" i="17"/>
  <c r="D78" i="17"/>
  <c r="D77" i="17"/>
  <c r="E77" i="17" s="1"/>
  <c r="E75" i="17"/>
  <c r="N74" i="17"/>
  <c r="M74" i="17"/>
  <c r="H74" i="17"/>
  <c r="K74" i="17" s="1"/>
  <c r="G74" i="17"/>
  <c r="L74" i="17" s="1"/>
  <c r="F74" i="17"/>
  <c r="M73" i="17"/>
  <c r="N73" i="17" s="1"/>
  <c r="G73" i="17"/>
  <c r="H73" i="17" s="1"/>
  <c r="K73" i="17" s="1"/>
  <c r="F73" i="17"/>
  <c r="H72" i="17"/>
  <c r="K72" i="17" s="1"/>
  <c r="G72" i="17"/>
  <c r="L72" i="17" s="1"/>
  <c r="F72" i="17"/>
  <c r="M71" i="17"/>
  <c r="N71" i="17" s="1"/>
  <c r="G71" i="17"/>
  <c r="H71" i="17" s="1"/>
  <c r="K71" i="17" s="1"/>
  <c r="F71" i="17"/>
  <c r="M70" i="17"/>
  <c r="N70" i="17" s="1"/>
  <c r="L70" i="17"/>
  <c r="G70" i="17"/>
  <c r="H70" i="17" s="1"/>
  <c r="K70" i="17" s="1"/>
  <c r="F70" i="17"/>
  <c r="M69" i="17"/>
  <c r="N69" i="17" s="1"/>
  <c r="G69" i="17"/>
  <c r="L69" i="17" s="1"/>
  <c r="F69" i="17"/>
  <c r="N68" i="17"/>
  <c r="M68" i="17"/>
  <c r="L68" i="17"/>
  <c r="H68" i="17"/>
  <c r="K68" i="17" s="1"/>
  <c r="G68" i="17"/>
  <c r="F68" i="17"/>
  <c r="G67" i="17"/>
  <c r="H67" i="17" s="1"/>
  <c r="F67" i="17"/>
  <c r="N66" i="17"/>
  <c r="M66" i="17"/>
  <c r="L66" i="17"/>
  <c r="H66" i="17"/>
  <c r="K66" i="17" s="1"/>
  <c r="G66" i="17"/>
  <c r="F66" i="17"/>
  <c r="M65" i="17"/>
  <c r="N65" i="17" s="1"/>
  <c r="G65" i="17"/>
  <c r="L65" i="17" s="1"/>
  <c r="F65" i="17"/>
  <c r="N64" i="17"/>
  <c r="M64" i="17"/>
  <c r="L64" i="17"/>
  <c r="H64" i="17"/>
  <c r="K64" i="17" s="1"/>
  <c r="G64" i="17"/>
  <c r="F64" i="17"/>
  <c r="M63" i="17"/>
  <c r="N63" i="17" s="1"/>
  <c r="G63" i="17"/>
  <c r="H63" i="17" s="1"/>
  <c r="K63" i="17" s="1"/>
  <c r="F63" i="17"/>
  <c r="N62" i="17"/>
  <c r="M62" i="17"/>
  <c r="L62" i="17"/>
  <c r="H62" i="17"/>
  <c r="K62" i="17" s="1"/>
  <c r="G62" i="17"/>
  <c r="F62" i="17"/>
  <c r="G61" i="17"/>
  <c r="H61" i="17" s="1"/>
  <c r="F61" i="17"/>
  <c r="L60" i="17"/>
  <c r="H60" i="17"/>
  <c r="K60" i="17" s="1"/>
  <c r="G60" i="17"/>
  <c r="F60" i="17"/>
  <c r="M59" i="17"/>
  <c r="N59" i="17" s="1"/>
  <c r="G59" i="17"/>
  <c r="L59" i="17" s="1"/>
  <c r="F59" i="17"/>
  <c r="N58" i="17"/>
  <c r="M58" i="17"/>
  <c r="L58" i="17"/>
  <c r="H58" i="17"/>
  <c r="K58" i="17" s="1"/>
  <c r="G58" i="17"/>
  <c r="F58" i="17"/>
  <c r="M57" i="17"/>
  <c r="N57" i="17" s="1"/>
  <c r="G57" i="17"/>
  <c r="H57" i="17" s="1"/>
  <c r="K57" i="17" s="1"/>
  <c r="F57" i="17"/>
  <c r="N56" i="17"/>
  <c r="M56" i="17"/>
  <c r="L56" i="17"/>
  <c r="H56" i="17"/>
  <c r="K56" i="17" s="1"/>
  <c r="G56" i="17"/>
  <c r="F56" i="17"/>
  <c r="F55" i="17"/>
  <c r="F54" i="17"/>
  <c r="M53" i="17"/>
  <c r="N53" i="17" s="1"/>
  <c r="G53" i="17"/>
  <c r="H53" i="17" s="1"/>
  <c r="K53" i="17" s="1"/>
  <c r="F53" i="17"/>
  <c r="N52" i="17"/>
  <c r="M52" i="17"/>
  <c r="L52" i="17"/>
  <c r="H52" i="17"/>
  <c r="K52" i="17" s="1"/>
  <c r="G52" i="17"/>
  <c r="F52" i="17"/>
  <c r="M51" i="17"/>
  <c r="N51" i="17" s="1"/>
  <c r="L51" i="17"/>
  <c r="K51" i="17"/>
  <c r="H51" i="17"/>
  <c r="F51" i="17"/>
  <c r="G50" i="17"/>
  <c r="L50" i="17" s="1"/>
  <c r="F50" i="17"/>
  <c r="N49" i="17"/>
  <c r="M49" i="17"/>
  <c r="L49" i="17"/>
  <c r="H49" i="17"/>
  <c r="K49" i="17" s="1"/>
  <c r="G49" i="17"/>
  <c r="F49" i="17"/>
  <c r="M48" i="17"/>
  <c r="N48" i="17" s="1"/>
  <c r="G48" i="17"/>
  <c r="H48" i="17" s="1"/>
  <c r="K48" i="17" s="1"/>
  <c r="F48" i="17"/>
  <c r="N47" i="17"/>
  <c r="M47" i="17"/>
  <c r="L47" i="17"/>
  <c r="H47" i="17"/>
  <c r="K47" i="17" s="1"/>
  <c r="G47" i="17"/>
  <c r="F47" i="17"/>
  <c r="M46" i="17"/>
  <c r="N46" i="17" s="1"/>
  <c r="G46" i="17"/>
  <c r="L46" i="17" s="1"/>
  <c r="F46" i="17"/>
  <c r="N45" i="17"/>
  <c r="M45" i="17"/>
  <c r="L45" i="17"/>
  <c r="H45" i="17"/>
  <c r="K45" i="17" s="1"/>
  <c r="G45" i="17"/>
  <c r="F45" i="17"/>
  <c r="M44" i="17"/>
  <c r="N44" i="17" s="1"/>
  <c r="L44" i="17"/>
  <c r="K44" i="17"/>
  <c r="F44" i="17"/>
  <c r="D42" i="17"/>
  <c r="E40" i="17"/>
  <c r="L39" i="17"/>
  <c r="H39" i="17"/>
  <c r="K39" i="17" s="1"/>
  <c r="G39" i="17"/>
  <c r="F39" i="17"/>
  <c r="G38" i="17"/>
  <c r="L38" i="17" s="1"/>
  <c r="F38" i="17"/>
  <c r="L37" i="17"/>
  <c r="H37" i="17"/>
  <c r="K37" i="17" s="1"/>
  <c r="G37" i="17"/>
  <c r="F37" i="17"/>
  <c r="G36" i="17"/>
  <c r="H36" i="17" s="1"/>
  <c r="K36" i="17" s="1"/>
  <c r="F36" i="17"/>
  <c r="L35" i="17"/>
  <c r="H35" i="17"/>
  <c r="K35" i="17" s="1"/>
  <c r="G35" i="17"/>
  <c r="F35" i="17"/>
  <c r="J34" i="17"/>
  <c r="I34" i="17"/>
  <c r="G34" i="17"/>
  <c r="H34" i="17" s="1"/>
  <c r="F34" i="17"/>
  <c r="L33" i="17"/>
  <c r="H33" i="17"/>
  <c r="K33" i="17" s="1"/>
  <c r="G33" i="17"/>
  <c r="F33" i="17"/>
  <c r="J32" i="17"/>
  <c r="I32" i="17"/>
  <c r="G32" i="17"/>
  <c r="L32" i="17" s="1"/>
  <c r="F32" i="17"/>
  <c r="I31" i="17"/>
  <c r="G31" i="17"/>
  <c r="H31" i="17" s="1"/>
  <c r="K31" i="17" s="1"/>
  <c r="F31" i="17"/>
  <c r="L30" i="17"/>
  <c r="H30" i="17"/>
  <c r="K30" i="17" s="1"/>
  <c r="G30" i="17"/>
  <c r="F30" i="17"/>
  <c r="G29" i="17"/>
  <c r="L29" i="17" s="1"/>
  <c r="F29" i="17"/>
  <c r="L28" i="17"/>
  <c r="J28" i="17"/>
  <c r="H28" i="17"/>
  <c r="K28" i="17" s="1"/>
  <c r="G28" i="17"/>
  <c r="F28" i="17"/>
  <c r="K27" i="17"/>
  <c r="I27" i="17"/>
  <c r="I28" i="17" s="1"/>
  <c r="H27" i="17"/>
  <c r="G27" i="17"/>
  <c r="L27" i="17" s="1"/>
  <c r="F27" i="17"/>
  <c r="G26" i="17"/>
  <c r="H26" i="17" s="1"/>
  <c r="K26" i="17" s="1"/>
  <c r="F26" i="17"/>
  <c r="L25" i="17"/>
  <c r="H25" i="17"/>
  <c r="K25" i="17" s="1"/>
  <c r="G25" i="17"/>
  <c r="F25" i="17"/>
  <c r="I24" i="17"/>
  <c r="G24" i="17"/>
  <c r="H24" i="17" s="1"/>
  <c r="F24" i="17"/>
  <c r="L23" i="17"/>
  <c r="J23" i="17"/>
  <c r="J24" i="17" s="1"/>
  <c r="I23" i="17"/>
  <c r="H23" i="17"/>
  <c r="K23" i="17" s="1"/>
  <c r="G23" i="17"/>
  <c r="F23" i="17"/>
  <c r="U22" i="17"/>
  <c r="L22" i="17"/>
  <c r="H22" i="17"/>
  <c r="K22" i="17" s="1"/>
  <c r="G22" i="17"/>
  <c r="F22" i="17"/>
  <c r="U21" i="17"/>
  <c r="L21" i="17"/>
  <c r="H21" i="17"/>
  <c r="K21" i="17" s="1"/>
  <c r="G21" i="17"/>
  <c r="F21" i="17"/>
  <c r="U20" i="17"/>
  <c r="L20" i="17"/>
  <c r="H20" i="17"/>
  <c r="K20" i="17" s="1"/>
  <c r="G20" i="17"/>
  <c r="F20" i="17"/>
  <c r="U19" i="17"/>
  <c r="L19" i="17"/>
  <c r="H19" i="17"/>
  <c r="K19" i="17" s="1"/>
  <c r="G19" i="17"/>
  <c r="F19" i="17"/>
  <c r="U18" i="17"/>
  <c r="H18" i="17"/>
  <c r="K18" i="17" s="1"/>
  <c r="G18" i="17"/>
  <c r="F18" i="17"/>
  <c r="U17" i="17"/>
  <c r="L17" i="17"/>
  <c r="J17" i="17"/>
  <c r="J18" i="17" s="1"/>
  <c r="L18" i="17" s="1"/>
  <c r="I17" i="17"/>
  <c r="I18" i="17" s="1"/>
  <c r="H17" i="17"/>
  <c r="K17" i="17" s="1"/>
  <c r="G17" i="17"/>
  <c r="F17" i="17"/>
  <c r="U16" i="17"/>
  <c r="L16" i="17"/>
  <c r="H16" i="17"/>
  <c r="K16" i="17" s="1"/>
  <c r="G16" i="17"/>
  <c r="F16" i="17"/>
  <c r="G15" i="17"/>
  <c r="H15" i="17" s="1"/>
  <c r="K15" i="17" s="1"/>
  <c r="F15" i="17"/>
  <c r="J14" i="17"/>
  <c r="L14" i="17" s="1"/>
  <c r="H14" i="17"/>
  <c r="K14" i="17" s="1"/>
  <c r="G14" i="17"/>
  <c r="F14" i="17"/>
  <c r="J13" i="17"/>
  <c r="L13" i="17" s="1"/>
  <c r="I13" i="17"/>
  <c r="I14" i="17" s="1"/>
  <c r="G13" i="17"/>
  <c r="H13" i="17" s="1"/>
  <c r="K13" i="17" s="1"/>
  <c r="F13" i="17"/>
  <c r="L12" i="17"/>
  <c r="H12" i="17"/>
  <c r="K12" i="17" s="1"/>
  <c r="G12" i="17"/>
  <c r="F12" i="17"/>
  <c r="I11" i="17"/>
  <c r="G11" i="17"/>
  <c r="H11" i="17" s="1"/>
  <c r="K11" i="17" s="1"/>
  <c r="F11" i="17"/>
  <c r="L10" i="17"/>
  <c r="J10" i="17"/>
  <c r="J11" i="17" s="1"/>
  <c r="L11" i="17" s="1"/>
  <c r="I10" i="17"/>
  <c r="H10" i="17"/>
  <c r="K10" i="17" s="1"/>
  <c r="G10" i="17"/>
  <c r="F10" i="17"/>
  <c r="G9" i="17"/>
  <c r="L9" i="17" s="1"/>
  <c r="F9" i="17"/>
  <c r="L8" i="17"/>
  <c r="K8" i="17"/>
  <c r="H8" i="17"/>
  <c r="G8" i="17"/>
  <c r="F8" i="17"/>
  <c r="G7" i="17"/>
  <c r="H7" i="17" s="1"/>
  <c r="K7" i="17" s="1"/>
  <c r="F7" i="17"/>
  <c r="I6" i="17"/>
  <c r="I7" i="17" s="1"/>
  <c r="F6" i="17"/>
  <c r="L5" i="17"/>
  <c r="G5" i="17"/>
  <c r="G6" i="17" s="1"/>
  <c r="F5" i="17"/>
  <c r="G4" i="17"/>
  <c r="F4" i="17"/>
  <c r="H43" i="16"/>
  <c r="G43" i="16"/>
  <c r="H42" i="16"/>
  <c r="G42" i="16"/>
  <c r="H41" i="16"/>
  <c r="G41" i="16"/>
  <c r="H40" i="16"/>
  <c r="G40" i="16"/>
  <c r="H39" i="16"/>
  <c r="G39" i="16"/>
  <c r="H38" i="16"/>
  <c r="G38" i="16"/>
  <c r="H37" i="16"/>
  <c r="G37" i="16"/>
  <c r="H36" i="16"/>
  <c r="G36" i="16"/>
  <c r="H35" i="16"/>
  <c r="G35" i="16"/>
  <c r="H34" i="16"/>
  <c r="G34" i="16"/>
  <c r="H33" i="16"/>
  <c r="G33" i="16"/>
  <c r="H32" i="16"/>
  <c r="G32" i="16"/>
  <c r="H31" i="16"/>
  <c r="G31" i="16"/>
  <c r="H30" i="16"/>
  <c r="G30" i="16"/>
  <c r="H29" i="16"/>
  <c r="G29" i="16"/>
  <c r="H28" i="16"/>
  <c r="G28" i="16"/>
  <c r="H27" i="16"/>
  <c r="G27" i="16"/>
  <c r="H26" i="16"/>
  <c r="G26" i="16"/>
  <c r="H25" i="16"/>
  <c r="G25" i="16"/>
  <c r="H24" i="16"/>
  <c r="G24" i="16"/>
  <c r="H23" i="16"/>
  <c r="D23" i="16"/>
  <c r="G23" i="16" s="1"/>
  <c r="H22" i="16"/>
  <c r="D22" i="16"/>
  <c r="G22" i="16" s="1"/>
  <c r="H21" i="16"/>
  <c r="G21" i="16"/>
  <c r="D21" i="16"/>
  <c r="H20" i="16"/>
  <c r="G20" i="16"/>
  <c r="D20" i="16"/>
  <c r="D19" i="16"/>
  <c r="G19" i="16" s="1"/>
  <c r="H19" i="16" s="1"/>
  <c r="D18" i="16"/>
  <c r="G18" i="16" s="1"/>
  <c r="H18" i="16" s="1"/>
  <c r="H17" i="16"/>
  <c r="G17" i="16"/>
  <c r="D17" i="16"/>
  <c r="G16" i="16"/>
  <c r="H16" i="16" s="1"/>
  <c r="D16" i="16"/>
  <c r="D15" i="16"/>
  <c r="G15" i="16" s="1"/>
  <c r="H15" i="16" s="1"/>
  <c r="D14" i="16"/>
  <c r="G14" i="16" s="1"/>
  <c r="H14" i="16" s="1"/>
  <c r="H13" i="16"/>
  <c r="G13" i="16"/>
  <c r="D13" i="16"/>
  <c r="G12" i="16"/>
  <c r="H12" i="16" s="1"/>
  <c r="D12" i="16"/>
  <c r="D11" i="16"/>
  <c r="G11" i="16" s="1"/>
  <c r="H11" i="16" s="1"/>
  <c r="D10" i="16"/>
  <c r="G10" i="16" s="1"/>
  <c r="H10" i="16" s="1"/>
  <c r="H9" i="16"/>
  <c r="G9" i="16"/>
  <c r="D9" i="16"/>
  <c r="G7" i="16"/>
  <c r="H7" i="16" s="1"/>
  <c r="E7" i="16"/>
  <c r="G6" i="16"/>
  <c r="H6" i="16" s="1"/>
  <c r="E6" i="16"/>
  <c r="H5" i="16"/>
  <c r="G5" i="16"/>
  <c r="E5" i="16"/>
  <c r="H4" i="16"/>
  <c r="G4" i="16"/>
  <c r="E4" i="16"/>
  <c r="G3" i="16"/>
  <c r="H3" i="16" s="1"/>
  <c r="E3" i="16"/>
  <c r="G2" i="16"/>
  <c r="H2" i="16" s="1"/>
  <c r="E2" i="16"/>
  <c r="M56" i="15"/>
  <c r="I22" i="9" s="1"/>
  <c r="I23" i="9" s="1"/>
  <c r="L55" i="15"/>
  <c r="K55" i="15"/>
  <c r="J55" i="15"/>
  <c r="I55" i="15"/>
  <c r="H55" i="15"/>
  <c r="L54" i="15"/>
  <c r="K54" i="15"/>
  <c r="J54" i="15"/>
  <c r="I54" i="15"/>
  <c r="H54" i="15"/>
  <c r="L53" i="15"/>
  <c r="K53" i="15"/>
  <c r="J53" i="15"/>
  <c r="I53" i="15"/>
  <c r="H53" i="15"/>
  <c r="L52" i="15"/>
  <c r="K52" i="15"/>
  <c r="J52" i="15"/>
  <c r="I52" i="15"/>
  <c r="H52" i="15"/>
  <c r="L51" i="15"/>
  <c r="K51" i="15"/>
  <c r="J51" i="15"/>
  <c r="I51" i="15"/>
  <c r="H51" i="15"/>
  <c r="L50" i="15"/>
  <c r="K50" i="15"/>
  <c r="J50" i="15"/>
  <c r="I50" i="15"/>
  <c r="H50" i="15"/>
  <c r="L49" i="15"/>
  <c r="K49" i="15"/>
  <c r="J49" i="15"/>
  <c r="I49" i="15"/>
  <c r="H49" i="15"/>
  <c r="L48" i="15"/>
  <c r="K48" i="15"/>
  <c r="J48" i="15"/>
  <c r="I48" i="15"/>
  <c r="H48" i="15"/>
  <c r="L47" i="15"/>
  <c r="K47" i="15"/>
  <c r="J47" i="15"/>
  <c r="I47" i="15"/>
  <c r="H47" i="15"/>
  <c r="L46" i="15"/>
  <c r="K46" i="15"/>
  <c r="J46" i="15"/>
  <c r="I46" i="15"/>
  <c r="H46" i="15"/>
  <c r="L45" i="15"/>
  <c r="K45" i="15"/>
  <c r="J45" i="15"/>
  <c r="I45" i="15"/>
  <c r="H45" i="15"/>
  <c r="L44" i="15"/>
  <c r="K44" i="15"/>
  <c r="J44" i="15"/>
  <c r="I44" i="15"/>
  <c r="H44" i="15"/>
  <c r="L43" i="15"/>
  <c r="K43" i="15"/>
  <c r="J43" i="15"/>
  <c r="I43" i="15"/>
  <c r="H43" i="15"/>
  <c r="L42" i="15"/>
  <c r="K42" i="15"/>
  <c r="J42" i="15"/>
  <c r="I42" i="15"/>
  <c r="H42" i="15"/>
  <c r="L41" i="15"/>
  <c r="K41" i="15"/>
  <c r="J41" i="15"/>
  <c r="I41" i="15"/>
  <c r="H41" i="15"/>
  <c r="L40" i="15"/>
  <c r="K40" i="15"/>
  <c r="J40" i="15"/>
  <c r="I40" i="15"/>
  <c r="H40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W29" i="15"/>
  <c r="V29" i="15"/>
  <c r="U29" i="15"/>
  <c r="T29" i="15"/>
  <c r="S29" i="15"/>
  <c r="R29" i="15"/>
  <c r="Q29" i="15"/>
  <c r="P29" i="15"/>
  <c r="O29" i="15"/>
  <c r="N29" i="15"/>
  <c r="M29" i="15"/>
  <c r="K29" i="15"/>
  <c r="J29" i="15"/>
  <c r="I29" i="15"/>
  <c r="H29" i="15"/>
  <c r="G29" i="15"/>
  <c r="F29" i="15"/>
  <c r="E29" i="15"/>
  <c r="W28" i="15"/>
  <c r="V28" i="15"/>
  <c r="U28" i="15"/>
  <c r="T28" i="15"/>
  <c r="S28" i="15"/>
  <c r="R28" i="15"/>
  <c r="Q28" i="15"/>
  <c r="P28" i="15"/>
  <c r="O28" i="15"/>
  <c r="N28" i="15"/>
  <c r="M28" i="15"/>
  <c r="K28" i="15"/>
  <c r="J28" i="15"/>
  <c r="I28" i="15"/>
  <c r="H28" i="15"/>
  <c r="G28" i="15"/>
  <c r="F28" i="15"/>
  <c r="E28" i="15"/>
  <c r="W27" i="15"/>
  <c r="V27" i="15"/>
  <c r="U27" i="15"/>
  <c r="T27" i="15"/>
  <c r="S27" i="15"/>
  <c r="R27" i="15"/>
  <c r="Q27" i="15"/>
  <c r="P27" i="15"/>
  <c r="O27" i="15"/>
  <c r="N27" i="15"/>
  <c r="M27" i="15"/>
  <c r="K27" i="15"/>
  <c r="J27" i="15"/>
  <c r="I27" i="15"/>
  <c r="H27" i="15"/>
  <c r="G27" i="15"/>
  <c r="F27" i="15"/>
  <c r="E27" i="15"/>
  <c r="W26" i="15"/>
  <c r="V26" i="15"/>
  <c r="U26" i="15"/>
  <c r="T26" i="15"/>
  <c r="S26" i="15"/>
  <c r="R26" i="15"/>
  <c r="Q26" i="15"/>
  <c r="P26" i="15"/>
  <c r="O26" i="15"/>
  <c r="N26" i="15"/>
  <c r="M26" i="15"/>
  <c r="K26" i="15"/>
  <c r="J26" i="15"/>
  <c r="I26" i="15"/>
  <c r="H26" i="15"/>
  <c r="G26" i="15"/>
  <c r="F26" i="15"/>
  <c r="E26" i="15"/>
  <c r="W25" i="15"/>
  <c r="V25" i="15"/>
  <c r="U25" i="15"/>
  <c r="T25" i="15"/>
  <c r="S25" i="15"/>
  <c r="R25" i="15"/>
  <c r="Q25" i="15"/>
  <c r="P25" i="15"/>
  <c r="O25" i="15"/>
  <c r="N25" i="15"/>
  <c r="M25" i="15"/>
  <c r="K25" i="15"/>
  <c r="J25" i="15"/>
  <c r="I25" i="15"/>
  <c r="H25" i="15"/>
  <c r="G25" i="15"/>
  <c r="F25" i="15"/>
  <c r="E25" i="15"/>
  <c r="W24" i="15"/>
  <c r="V24" i="15"/>
  <c r="U24" i="15"/>
  <c r="T24" i="15"/>
  <c r="S24" i="15"/>
  <c r="R24" i="15"/>
  <c r="Q24" i="15"/>
  <c r="P24" i="15"/>
  <c r="O24" i="15"/>
  <c r="N24" i="15"/>
  <c r="M24" i="15"/>
  <c r="K24" i="15"/>
  <c r="J24" i="15"/>
  <c r="I24" i="15"/>
  <c r="H24" i="15"/>
  <c r="G24" i="15"/>
  <c r="F24" i="15"/>
  <c r="E24" i="15"/>
  <c r="W23" i="15"/>
  <c r="V23" i="15"/>
  <c r="U23" i="15"/>
  <c r="T23" i="15"/>
  <c r="S23" i="15"/>
  <c r="R23" i="15"/>
  <c r="Q23" i="15"/>
  <c r="P23" i="15"/>
  <c r="O23" i="15"/>
  <c r="N23" i="15"/>
  <c r="M23" i="15"/>
  <c r="K23" i="15"/>
  <c r="J23" i="15"/>
  <c r="I23" i="15"/>
  <c r="H23" i="15"/>
  <c r="G23" i="15"/>
  <c r="F23" i="15"/>
  <c r="E23" i="15"/>
  <c r="W22" i="15"/>
  <c r="V22" i="15"/>
  <c r="U22" i="15"/>
  <c r="T22" i="15"/>
  <c r="S22" i="15"/>
  <c r="R22" i="15"/>
  <c r="Q22" i="15"/>
  <c r="P22" i="15"/>
  <c r="O22" i="15"/>
  <c r="N22" i="15"/>
  <c r="M22" i="15"/>
  <c r="K22" i="15"/>
  <c r="J22" i="15"/>
  <c r="I22" i="15"/>
  <c r="H22" i="15"/>
  <c r="G22" i="15"/>
  <c r="F22" i="15"/>
  <c r="E22" i="15"/>
  <c r="W21" i="15"/>
  <c r="V21" i="15"/>
  <c r="U21" i="15"/>
  <c r="T21" i="15"/>
  <c r="S21" i="15"/>
  <c r="R21" i="15"/>
  <c r="Q21" i="15"/>
  <c r="P21" i="15"/>
  <c r="O21" i="15"/>
  <c r="N21" i="15"/>
  <c r="M21" i="15"/>
  <c r="K21" i="15"/>
  <c r="J21" i="15"/>
  <c r="I21" i="15"/>
  <c r="H21" i="15"/>
  <c r="G21" i="15"/>
  <c r="F21" i="15"/>
  <c r="E21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W19" i="15"/>
  <c r="V19" i="15"/>
  <c r="U19" i="15"/>
  <c r="T19" i="15"/>
  <c r="S19" i="15"/>
  <c r="R19" i="15"/>
  <c r="Q19" i="15"/>
  <c r="P19" i="15"/>
  <c r="O19" i="15"/>
  <c r="N19" i="15"/>
  <c r="M19" i="15"/>
  <c r="K19" i="15"/>
  <c r="J19" i="15"/>
  <c r="I19" i="15"/>
  <c r="H19" i="15"/>
  <c r="G19" i="15"/>
  <c r="F19" i="15"/>
  <c r="E19" i="15"/>
  <c r="W18" i="15"/>
  <c r="V18" i="15"/>
  <c r="U18" i="15"/>
  <c r="T18" i="15"/>
  <c r="S18" i="15"/>
  <c r="R18" i="15"/>
  <c r="Q18" i="15"/>
  <c r="P18" i="15"/>
  <c r="O18" i="15"/>
  <c r="N18" i="15"/>
  <c r="M18" i="15"/>
  <c r="K18" i="15"/>
  <c r="J18" i="15"/>
  <c r="I18" i="15"/>
  <c r="H18" i="15"/>
  <c r="G18" i="15"/>
  <c r="F18" i="15"/>
  <c r="E18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W16" i="15"/>
  <c r="V16" i="15"/>
  <c r="U16" i="15"/>
  <c r="T16" i="15"/>
  <c r="S16" i="15"/>
  <c r="R16" i="15"/>
  <c r="Q16" i="15"/>
  <c r="P16" i="15"/>
  <c r="O16" i="15"/>
  <c r="N16" i="15"/>
  <c r="M16" i="15"/>
  <c r="K16" i="15"/>
  <c r="J16" i="15"/>
  <c r="I16" i="15"/>
  <c r="H16" i="15"/>
  <c r="G16" i="15"/>
  <c r="F16" i="15"/>
  <c r="E16" i="15"/>
  <c r="W15" i="15"/>
  <c r="V15" i="15"/>
  <c r="U15" i="15"/>
  <c r="T15" i="15"/>
  <c r="S15" i="15"/>
  <c r="R15" i="15"/>
  <c r="Q15" i="15"/>
  <c r="P15" i="15"/>
  <c r="O15" i="15"/>
  <c r="N15" i="15"/>
  <c r="M15" i="15"/>
  <c r="K15" i="15"/>
  <c r="J15" i="15"/>
  <c r="I15" i="15"/>
  <c r="H15" i="15"/>
  <c r="G15" i="15"/>
  <c r="F15" i="15"/>
  <c r="E15" i="15"/>
  <c r="W9" i="15"/>
  <c r="V9" i="15"/>
  <c r="U9" i="15"/>
  <c r="T9" i="15"/>
  <c r="S9" i="15"/>
  <c r="R9" i="15"/>
  <c r="Q9" i="15"/>
  <c r="P9" i="15"/>
  <c r="O9" i="15"/>
  <c r="N9" i="15"/>
  <c r="M9" i="15"/>
  <c r="K9" i="15"/>
  <c r="J9" i="15"/>
  <c r="I9" i="15"/>
  <c r="H9" i="15"/>
  <c r="G9" i="15"/>
  <c r="F9" i="15"/>
  <c r="E9" i="15"/>
  <c r="W8" i="15"/>
  <c r="V8" i="15"/>
  <c r="U8" i="15"/>
  <c r="T8" i="15"/>
  <c r="S8" i="15"/>
  <c r="R8" i="15"/>
  <c r="Q8" i="15"/>
  <c r="P8" i="15"/>
  <c r="O8" i="15"/>
  <c r="N8" i="15"/>
  <c r="M8" i="15"/>
  <c r="K8" i="15"/>
  <c r="J8" i="15"/>
  <c r="I8" i="15"/>
  <c r="H8" i="15"/>
  <c r="G8" i="15"/>
  <c r="F8" i="15"/>
  <c r="E8" i="15"/>
  <c r="W7" i="15"/>
  <c r="V7" i="15"/>
  <c r="U7" i="15"/>
  <c r="T7" i="15"/>
  <c r="S7" i="15"/>
  <c r="R7" i="15"/>
  <c r="Q7" i="15"/>
  <c r="P7" i="15"/>
  <c r="O7" i="15"/>
  <c r="N7" i="15"/>
  <c r="M7" i="15"/>
  <c r="K7" i="15"/>
  <c r="J7" i="15"/>
  <c r="I7" i="15"/>
  <c r="H7" i="15"/>
  <c r="G7" i="15"/>
  <c r="F7" i="15"/>
  <c r="E7" i="15"/>
  <c r="W6" i="15"/>
  <c r="V6" i="15"/>
  <c r="U6" i="15"/>
  <c r="T6" i="15"/>
  <c r="S6" i="15"/>
  <c r="R6" i="15"/>
  <c r="Q6" i="15"/>
  <c r="P6" i="15"/>
  <c r="O6" i="15"/>
  <c r="N6" i="15"/>
  <c r="M6" i="15"/>
  <c r="K6" i="15"/>
  <c r="J6" i="15"/>
  <c r="I6" i="15"/>
  <c r="H6" i="15"/>
  <c r="G6" i="15"/>
  <c r="F6" i="15"/>
  <c r="E6" i="15"/>
  <c r="W5" i="15"/>
  <c r="V5" i="15"/>
  <c r="U5" i="15"/>
  <c r="T5" i="15"/>
  <c r="S5" i="15"/>
  <c r="R5" i="15"/>
  <c r="Q5" i="15"/>
  <c r="P5" i="15"/>
  <c r="O5" i="15"/>
  <c r="N5" i="15"/>
  <c r="M5" i="15"/>
  <c r="K5" i="15"/>
  <c r="J5" i="15"/>
  <c r="I5" i="15"/>
  <c r="H5" i="15"/>
  <c r="G5" i="15"/>
  <c r="F5" i="15"/>
  <c r="E5" i="15"/>
  <c r="W4" i="15"/>
  <c r="W11" i="15" s="1"/>
  <c r="V4" i="15"/>
  <c r="U4" i="15"/>
  <c r="T4" i="15"/>
  <c r="S4" i="15"/>
  <c r="R4" i="15"/>
  <c r="Q4" i="15"/>
  <c r="P4" i="15"/>
  <c r="O4" i="15"/>
  <c r="N4" i="15"/>
  <c r="M4" i="15"/>
  <c r="K4" i="15"/>
  <c r="J4" i="15"/>
  <c r="I4" i="15"/>
  <c r="H4" i="15"/>
  <c r="G4" i="15"/>
  <c r="F4" i="15"/>
  <c r="E4" i="15"/>
  <c r="F13" i="12"/>
  <c r="F12" i="12"/>
  <c r="F11" i="12"/>
  <c r="F10" i="12"/>
  <c r="F9" i="12"/>
  <c r="F8" i="12"/>
  <c r="F7" i="12"/>
  <c r="F6" i="12"/>
  <c r="F5" i="12"/>
  <c r="F4" i="12"/>
  <c r="F3" i="12"/>
  <c r="F2" i="12"/>
  <c r="P11" i="11"/>
  <c r="P10" i="11"/>
  <c r="P9" i="11"/>
  <c r="P8" i="11"/>
  <c r="P7" i="11"/>
  <c r="P6" i="11"/>
  <c r="P5" i="11"/>
  <c r="P4" i="11"/>
  <c r="P3" i="11"/>
  <c r="P2" i="11"/>
  <c r="R81" i="10"/>
  <c r="P81" i="10"/>
  <c r="U80" i="10"/>
  <c r="R80" i="10"/>
  <c r="P80" i="10"/>
  <c r="R79" i="10"/>
  <c r="Q79" i="10"/>
  <c r="P79" i="10"/>
  <c r="R78" i="10"/>
  <c r="Q78" i="10"/>
  <c r="P78" i="10"/>
  <c r="I78" i="10"/>
  <c r="R77" i="10"/>
  <c r="Q77" i="10"/>
  <c r="P77" i="10"/>
  <c r="P82" i="10" s="1"/>
  <c r="R76" i="10"/>
  <c r="P76" i="10"/>
  <c r="K76" i="10"/>
  <c r="R75" i="10"/>
  <c r="P75" i="10"/>
  <c r="S74" i="10"/>
  <c r="R74" i="10"/>
  <c r="P74" i="10"/>
  <c r="J74" i="10"/>
  <c r="R73" i="10"/>
  <c r="Q73" i="10"/>
  <c r="P73" i="10"/>
  <c r="Y72" i="10"/>
  <c r="W72" i="10"/>
  <c r="V72" i="10"/>
  <c r="S72" i="10"/>
  <c r="R72" i="10"/>
  <c r="R82" i="10" s="1"/>
  <c r="P72" i="10"/>
  <c r="I72" i="10"/>
  <c r="P68" i="10"/>
  <c r="R67" i="10"/>
  <c r="P67" i="10"/>
  <c r="S66" i="10"/>
  <c r="S81" i="10" s="1"/>
  <c r="Q66" i="10"/>
  <c r="Q81" i="10" s="1"/>
  <c r="O66" i="10"/>
  <c r="O81" i="10" s="1"/>
  <c r="U65" i="10"/>
  <c r="V65" i="10" s="1"/>
  <c r="T65" i="10"/>
  <c r="T80" i="10" s="1"/>
  <c r="S65" i="10"/>
  <c r="S80" i="10" s="1"/>
  <c r="Q65" i="10"/>
  <c r="Q80" i="10" s="1"/>
  <c r="O65" i="10"/>
  <c r="O80" i="10" s="1"/>
  <c r="T64" i="10"/>
  <c r="S64" i="10"/>
  <c r="S79" i="10" s="1"/>
  <c r="Q64" i="10"/>
  <c r="N64" i="10"/>
  <c r="S63" i="10"/>
  <c r="T63" i="10" s="1"/>
  <c r="Q63" i="10"/>
  <c r="K63" i="10"/>
  <c r="I63" i="10"/>
  <c r="J63" i="10" s="1"/>
  <c r="J78" i="10" s="1"/>
  <c r="C63" i="10"/>
  <c r="A63" i="10" s="1"/>
  <c r="T62" i="10"/>
  <c r="U62" i="10" s="1"/>
  <c r="S62" i="10"/>
  <c r="S77" i="10" s="1"/>
  <c r="Q62" i="10"/>
  <c r="I62" i="10"/>
  <c r="J62" i="10" s="1"/>
  <c r="C62" i="10"/>
  <c r="A62" i="10" s="1"/>
  <c r="S61" i="10"/>
  <c r="S76" i="10" s="1"/>
  <c r="Q61" i="10"/>
  <c r="Q76" i="10" s="1"/>
  <c r="K61" i="10"/>
  <c r="L61" i="10" s="1"/>
  <c r="J61" i="10"/>
  <c r="J76" i="10" s="1"/>
  <c r="I61" i="10"/>
  <c r="I76" i="10" s="1"/>
  <c r="C61" i="10"/>
  <c r="A61" i="10"/>
  <c r="S60" i="10"/>
  <c r="Q60" i="10"/>
  <c r="Q75" i="10" s="1"/>
  <c r="J60" i="10"/>
  <c r="I60" i="10"/>
  <c r="I75" i="10" s="1"/>
  <c r="C60" i="10"/>
  <c r="A60" i="10" s="1"/>
  <c r="U59" i="10"/>
  <c r="T59" i="10"/>
  <c r="T74" i="10" s="1"/>
  <c r="S59" i="10"/>
  <c r="Q59" i="10"/>
  <c r="Q74" i="10" s="1"/>
  <c r="K59" i="10"/>
  <c r="L59" i="10" s="1"/>
  <c r="J59" i="10"/>
  <c r="I59" i="10"/>
  <c r="I74" i="10" s="1"/>
  <c r="C59" i="10"/>
  <c r="A59" i="10" s="1"/>
  <c r="S58" i="10"/>
  <c r="Q58" i="10"/>
  <c r="J58" i="10"/>
  <c r="I58" i="10"/>
  <c r="I73" i="10" s="1"/>
  <c r="C58" i="10"/>
  <c r="A58" i="10" s="1"/>
  <c r="Z57" i="10"/>
  <c r="Y57" i="10"/>
  <c r="X57" i="10"/>
  <c r="X72" i="10" s="1"/>
  <c r="W57" i="10"/>
  <c r="U57" i="10"/>
  <c r="U72" i="10" s="1"/>
  <c r="T57" i="10"/>
  <c r="S57" i="10"/>
  <c r="Q57" i="10"/>
  <c r="Q72" i="10" s="1"/>
  <c r="J57" i="10"/>
  <c r="K57" i="10" s="1"/>
  <c r="I57" i="10"/>
  <c r="I67" i="10" s="1"/>
  <c r="I68" i="10" s="1"/>
  <c r="C57" i="10"/>
  <c r="A57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AD19" i="10"/>
  <c r="AC19" i="10"/>
  <c r="AB19" i="10"/>
  <c r="AA19" i="10"/>
  <c r="Z19" i="10"/>
  <c r="Y19" i="10"/>
  <c r="X19" i="10"/>
  <c r="W19" i="10"/>
  <c r="V19" i="10"/>
  <c r="T19" i="10"/>
  <c r="S19" i="10"/>
  <c r="Q19" i="10"/>
  <c r="U18" i="10"/>
  <c r="U19" i="10" s="1"/>
  <c r="T18" i="10"/>
  <c r="S18" i="10"/>
  <c r="R18" i="10"/>
  <c r="R19" i="10" s="1"/>
  <c r="Q18" i="10"/>
  <c r="AD17" i="10"/>
  <c r="AC17" i="10"/>
  <c r="AB17" i="10"/>
  <c r="AA17" i="10"/>
  <c r="Z17" i="10"/>
  <c r="Y17" i="10"/>
  <c r="X17" i="10"/>
  <c r="W17" i="10"/>
  <c r="T17" i="10"/>
  <c r="S17" i="10"/>
  <c r="R17" i="10"/>
  <c r="Q17" i="10"/>
  <c r="O17" i="10"/>
  <c r="N17" i="10"/>
  <c r="M17" i="10"/>
  <c r="L17" i="10"/>
  <c r="K17" i="10"/>
  <c r="J17" i="10"/>
  <c r="I17" i="10"/>
  <c r="P14" i="10"/>
  <c r="P17" i="10" s="1"/>
  <c r="V12" i="10"/>
  <c r="U12" i="10"/>
  <c r="T12" i="10"/>
  <c r="V11" i="10"/>
  <c r="V17" i="10" s="1"/>
  <c r="U11" i="10"/>
  <c r="U17" i="10" s="1"/>
  <c r="T11" i="10"/>
  <c r="T61" i="10" s="1"/>
  <c r="T76" i="10" s="1"/>
  <c r="D63" i="9"/>
  <c r="E62" i="9"/>
  <c r="E61" i="9"/>
  <c r="F61" i="9" s="1"/>
  <c r="F81" i="9" s="1"/>
  <c r="E60" i="9"/>
  <c r="F60" i="9" s="1"/>
  <c r="F80" i="9" s="1"/>
  <c r="E59" i="9"/>
  <c r="E58" i="9"/>
  <c r="E57" i="9"/>
  <c r="F57" i="9" s="1"/>
  <c r="F77" i="9" s="1"/>
  <c r="E56" i="9"/>
  <c r="F56" i="9" s="1"/>
  <c r="F76" i="9" s="1"/>
  <c r="E55" i="9"/>
  <c r="E54" i="9"/>
  <c r="E53" i="9"/>
  <c r="F53" i="9" s="1"/>
  <c r="F73" i="9" s="1"/>
  <c r="E52" i="9"/>
  <c r="F52" i="9" s="1"/>
  <c r="F72" i="9" s="1"/>
  <c r="E51" i="9"/>
  <c r="E50" i="9"/>
  <c r="E49" i="9"/>
  <c r="F49" i="9" s="1"/>
  <c r="F69" i="9" s="1"/>
  <c r="E48" i="9"/>
  <c r="F48" i="9" s="1"/>
  <c r="F68" i="9" s="1"/>
  <c r="E47" i="9"/>
  <c r="H43" i="9"/>
  <c r="G43" i="9"/>
  <c r="F43" i="9"/>
  <c r="E43" i="9"/>
  <c r="D43" i="9"/>
  <c r="H21" i="9"/>
  <c r="G21" i="9"/>
  <c r="F21" i="9"/>
  <c r="E21" i="9"/>
  <c r="D21" i="9"/>
  <c r="K44" i="6"/>
  <c r="J44" i="6"/>
  <c r="I44" i="6"/>
  <c r="K43" i="6"/>
  <c r="J43" i="6"/>
  <c r="I43" i="6"/>
  <c r="K42" i="6"/>
  <c r="J42" i="6"/>
  <c r="I42" i="6"/>
  <c r="K41" i="6"/>
  <c r="J41" i="6"/>
  <c r="I41" i="6"/>
  <c r="K40" i="6"/>
  <c r="K45" i="6" s="1"/>
  <c r="J40" i="6"/>
  <c r="I40" i="6"/>
  <c r="K39" i="6"/>
  <c r="J39" i="6"/>
  <c r="J45" i="6" s="1"/>
  <c r="I39" i="6"/>
  <c r="K35" i="6"/>
  <c r="J35" i="6"/>
  <c r="I35" i="6"/>
  <c r="A35" i="6"/>
  <c r="M34" i="6"/>
  <c r="L34" i="6"/>
  <c r="L44" i="6" s="1"/>
  <c r="L31" i="6"/>
  <c r="M31" i="6" s="1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AC19" i="6"/>
  <c r="AB19" i="6"/>
  <c r="AA19" i="6"/>
  <c r="AC18" i="6"/>
  <c r="AB18" i="6"/>
  <c r="AA18" i="6"/>
  <c r="AC17" i="6"/>
  <c r="AB17" i="6"/>
  <c r="AA17" i="6"/>
  <c r="AC16" i="6"/>
  <c r="AB16" i="6"/>
  <c r="AA16" i="6"/>
  <c r="AC15" i="6"/>
  <c r="AB15" i="6"/>
  <c r="AA15" i="6"/>
  <c r="U15" i="6"/>
  <c r="T15" i="6"/>
  <c r="Q15" i="6"/>
  <c r="P15" i="6"/>
  <c r="M15" i="6"/>
  <c r="L15" i="6"/>
  <c r="I15" i="6"/>
  <c r="AC14" i="6"/>
  <c r="AB14" i="6"/>
  <c r="AA14" i="6"/>
  <c r="W14" i="6"/>
  <c r="W15" i="6" s="1"/>
  <c r="V14" i="6"/>
  <c r="V15" i="6" s="1"/>
  <c r="U14" i="6"/>
  <c r="T14" i="6"/>
  <c r="S14" i="6"/>
  <c r="S15" i="6" s="1"/>
  <c r="R14" i="6"/>
  <c r="R15" i="6" s="1"/>
  <c r="Q14" i="6"/>
  <c r="P14" i="6"/>
  <c r="O14" i="6"/>
  <c r="O15" i="6" s="1"/>
  <c r="N14" i="6"/>
  <c r="N15" i="6" s="1"/>
  <c r="M14" i="6"/>
  <c r="L14" i="6"/>
  <c r="K14" i="6"/>
  <c r="K15" i="6" s="1"/>
  <c r="J14" i="6"/>
  <c r="J15" i="6" s="1"/>
  <c r="I14" i="6"/>
  <c r="W13" i="6"/>
  <c r="V13" i="6"/>
  <c r="U13" i="6"/>
  <c r="T13" i="6"/>
  <c r="S13" i="6"/>
  <c r="Q13" i="6"/>
  <c r="P13" i="6"/>
  <c r="N13" i="6"/>
  <c r="J13" i="6"/>
  <c r="I13" i="6"/>
  <c r="Z12" i="6"/>
  <c r="N12" i="6"/>
  <c r="M12" i="6"/>
  <c r="Z11" i="6"/>
  <c r="R11" i="6"/>
  <c r="N11" i="6"/>
  <c r="M11" i="6"/>
  <c r="M13" i="6" s="1"/>
  <c r="L11" i="6"/>
  <c r="L33" i="6" s="1"/>
  <c r="L43" i="6" s="1"/>
  <c r="K11" i="6"/>
  <c r="Z10" i="6"/>
  <c r="R10" i="6"/>
  <c r="R13" i="6" s="1"/>
  <c r="O10" i="6"/>
  <c r="O13" i="6" s="1"/>
  <c r="N10" i="6"/>
  <c r="M10" i="6"/>
  <c r="L10" i="6"/>
  <c r="L32" i="6" s="1"/>
  <c r="Z9" i="6"/>
  <c r="Z8" i="6"/>
  <c r="R8" i="6"/>
  <c r="L8" i="6"/>
  <c r="L30" i="6" s="1"/>
  <c r="K8" i="6"/>
  <c r="K13" i="6" s="1"/>
  <c r="Z7" i="6"/>
  <c r="R7" i="6"/>
  <c r="L7" i="6"/>
  <c r="L29" i="15"/>
  <c r="L28" i="15"/>
  <c r="L27" i="15"/>
  <c r="L26" i="15"/>
  <c r="L25" i="15"/>
  <c r="L24" i="15"/>
  <c r="L23" i="15"/>
  <c r="L22" i="15"/>
  <c r="L21" i="15"/>
  <c r="L19" i="15"/>
  <c r="L16" i="15"/>
  <c r="L15" i="15"/>
  <c r="H28" i="4"/>
  <c r="F28" i="4"/>
  <c r="E28" i="4"/>
  <c r="D28" i="4"/>
  <c r="G27" i="4"/>
  <c r="I27" i="4" s="1"/>
  <c r="G26" i="4"/>
  <c r="I26" i="4" s="1"/>
  <c r="G25" i="4"/>
  <c r="I25" i="4" s="1"/>
  <c r="G24" i="4"/>
  <c r="I24" i="4" s="1"/>
  <c r="G23" i="4"/>
  <c r="G22" i="4"/>
  <c r="I22" i="4" s="1"/>
  <c r="J19" i="4"/>
  <c r="H19" i="4"/>
  <c r="G19" i="4"/>
  <c r="F19" i="4"/>
  <c r="E19" i="4"/>
  <c r="D19" i="4"/>
  <c r="I18" i="4"/>
  <c r="K18" i="4" s="1"/>
  <c r="I17" i="4"/>
  <c r="K17" i="4" s="1"/>
  <c r="I16" i="4"/>
  <c r="K16" i="4" s="1"/>
  <c r="U15" i="4"/>
  <c r="I15" i="4"/>
  <c r="K15" i="4" s="1"/>
  <c r="K14" i="4"/>
  <c r="I14" i="4"/>
  <c r="I13" i="4"/>
  <c r="I19" i="4" s="1"/>
  <c r="W9" i="4"/>
  <c r="U9" i="4"/>
  <c r="S9" i="4"/>
  <c r="R9" i="4"/>
  <c r="P9" i="4"/>
  <c r="O9" i="4"/>
  <c r="N9" i="4"/>
  <c r="L9" i="4"/>
  <c r="K9" i="4"/>
  <c r="J9" i="4"/>
  <c r="I9" i="4"/>
  <c r="H9" i="4"/>
  <c r="G9" i="4"/>
  <c r="F9" i="4"/>
  <c r="E9" i="4"/>
  <c r="Q8" i="4"/>
  <c r="V8" i="4" s="1"/>
  <c r="X8" i="4" s="1"/>
  <c r="X7" i="4"/>
  <c r="P7" i="4"/>
  <c r="V7" i="4" s="1"/>
  <c r="V6" i="4"/>
  <c r="X6" i="4" s="1"/>
  <c r="M6" i="4"/>
  <c r="T5" i="4"/>
  <c r="V5" i="4" s="1"/>
  <c r="X5" i="4" s="1"/>
  <c r="M4" i="4"/>
  <c r="D4" i="4"/>
  <c r="V4" i="4" s="1"/>
  <c r="X4" i="4" s="1"/>
  <c r="M3" i="4"/>
  <c r="V3" i="4" s="1"/>
  <c r="B34" i="6"/>
  <c r="B33" i="6"/>
  <c r="B32" i="6"/>
  <c r="B31" i="6"/>
  <c r="B30" i="6"/>
  <c r="B29" i="6"/>
  <c r="L9" i="15"/>
  <c r="L8" i="15"/>
  <c r="L7" i="15"/>
  <c r="L6" i="15"/>
  <c r="L5" i="15"/>
  <c r="H82" i="26" l="1"/>
  <c r="I71" i="26"/>
  <c r="I82" i="26" s="1"/>
  <c r="I62" i="26"/>
  <c r="L56" i="15"/>
  <c r="H22" i="9" s="1"/>
  <c r="H23" i="9" s="1"/>
  <c r="J34" i="15"/>
  <c r="G52" i="9"/>
  <c r="H52" i="9" s="1"/>
  <c r="K11" i="15"/>
  <c r="F11" i="15"/>
  <c r="S11" i="15"/>
  <c r="T11" i="15"/>
  <c r="G11" i="15"/>
  <c r="H11" i="15"/>
  <c r="V11" i="15"/>
  <c r="V34" i="15"/>
  <c r="J11" i="15"/>
  <c r="M11" i="15"/>
  <c r="E34" i="15"/>
  <c r="W34" i="15"/>
  <c r="N11" i="15"/>
  <c r="N34" i="15"/>
  <c r="K34" i="15"/>
  <c r="O11" i="15"/>
  <c r="O34" i="15"/>
  <c r="P11" i="15"/>
  <c r="P34" i="15"/>
  <c r="U34" i="15"/>
  <c r="Q11" i="15"/>
  <c r="I34" i="15"/>
  <c r="R11" i="15"/>
  <c r="E11" i="15"/>
  <c r="R34" i="15"/>
  <c r="I11" i="15"/>
  <c r="F34" i="15"/>
  <c r="S34" i="15"/>
  <c r="G34" i="15"/>
  <c r="T34" i="15"/>
  <c r="M34" i="15"/>
  <c r="Q34" i="15"/>
  <c r="U11" i="15"/>
  <c r="H34" i="15"/>
  <c r="G61" i="9"/>
  <c r="G81" i="9" s="1"/>
  <c r="E80" i="9"/>
  <c r="G53" i="9"/>
  <c r="G73" i="9" s="1"/>
  <c r="G60" i="9"/>
  <c r="H60" i="9" s="1"/>
  <c r="I56" i="15"/>
  <c r="E22" i="9" s="1"/>
  <c r="E23" i="9" s="1"/>
  <c r="E81" i="9"/>
  <c r="G49" i="9"/>
  <c r="G56" i="9"/>
  <c r="H56" i="9" s="1"/>
  <c r="D83" i="9"/>
  <c r="J56" i="15"/>
  <c r="F22" i="9" s="1"/>
  <c r="F23" i="9" s="1"/>
  <c r="G48" i="9"/>
  <c r="H48" i="9" s="1"/>
  <c r="G57" i="9"/>
  <c r="X3" i="4"/>
  <c r="X9" i="4" s="1"/>
  <c r="V9" i="4"/>
  <c r="D9" i="4"/>
  <c r="I28" i="4"/>
  <c r="L40" i="6"/>
  <c r="M30" i="6"/>
  <c r="T9" i="4"/>
  <c r="L4" i="15"/>
  <c r="L11" i="15" s="1"/>
  <c r="G28" i="4"/>
  <c r="I23" i="4"/>
  <c r="L18" i="15"/>
  <c r="L34" i="15" s="1"/>
  <c r="M9" i="4"/>
  <c r="Q9" i="4"/>
  <c r="L29" i="6"/>
  <c r="L13" i="6"/>
  <c r="L42" i="6"/>
  <c r="M32" i="6"/>
  <c r="M33" i="6"/>
  <c r="F55" i="9"/>
  <c r="E75" i="9"/>
  <c r="K72" i="10"/>
  <c r="L57" i="10"/>
  <c r="J73" i="10"/>
  <c r="K58" i="10"/>
  <c r="U74" i="10"/>
  <c r="V59" i="10"/>
  <c r="J75" i="10"/>
  <c r="K60" i="10"/>
  <c r="L76" i="10"/>
  <c r="M61" i="10"/>
  <c r="W65" i="10"/>
  <c r="V80" i="10"/>
  <c r="R68" i="10"/>
  <c r="J72" i="10"/>
  <c r="T77" i="10"/>
  <c r="N31" i="6"/>
  <c r="M41" i="6"/>
  <c r="M44" i="6"/>
  <c r="N34" i="6"/>
  <c r="E79" i="9"/>
  <c r="F59" i="9"/>
  <c r="L74" i="10"/>
  <c r="M59" i="10"/>
  <c r="J77" i="10"/>
  <c r="K62" i="10"/>
  <c r="V62" i="10"/>
  <c r="U77" i="10"/>
  <c r="K78" i="10"/>
  <c r="L63" i="10"/>
  <c r="K13" i="4"/>
  <c r="K19" i="4" s="1"/>
  <c r="L41" i="6"/>
  <c r="F51" i="9"/>
  <c r="E71" i="9"/>
  <c r="Q82" i="10"/>
  <c r="T78" i="10"/>
  <c r="U63" i="10"/>
  <c r="I45" i="6"/>
  <c r="E63" i="9"/>
  <c r="F47" i="9"/>
  <c r="E67" i="9"/>
  <c r="S73" i="10"/>
  <c r="T58" i="10"/>
  <c r="T67" i="10" s="1"/>
  <c r="T68" i="10" s="1"/>
  <c r="S75" i="10"/>
  <c r="T60" i="10"/>
  <c r="J67" i="10"/>
  <c r="J68" i="10" s="1"/>
  <c r="E70" i="9"/>
  <c r="F50" i="9"/>
  <c r="E74" i="9"/>
  <c r="F54" i="9"/>
  <c r="E78" i="9"/>
  <c r="F58" i="9"/>
  <c r="E82" i="9"/>
  <c r="F62" i="9"/>
  <c r="E68" i="9"/>
  <c r="E69" i="9"/>
  <c r="E72" i="9"/>
  <c r="E73" i="9"/>
  <c r="E76" i="9"/>
  <c r="E77" i="9"/>
  <c r="U64" i="10"/>
  <c r="T79" i="10"/>
  <c r="S82" i="10"/>
  <c r="K74" i="10"/>
  <c r="I77" i="10"/>
  <c r="T72" i="10"/>
  <c r="O64" i="10"/>
  <c r="O79" i="10" s="1"/>
  <c r="N79" i="10"/>
  <c r="Z72" i="10"/>
  <c r="AA57" i="10"/>
  <c r="U61" i="10"/>
  <c r="Q67" i="10"/>
  <c r="Q68" i="10" s="1"/>
  <c r="I82" i="10"/>
  <c r="S78" i="10"/>
  <c r="S67" i="10"/>
  <c r="S68" i="10" s="1"/>
  <c r="T66" i="10"/>
  <c r="H4" i="17"/>
  <c r="K4" i="17" s="1"/>
  <c r="L4" i="17"/>
  <c r="L7" i="17"/>
  <c r="K56" i="15"/>
  <c r="G22" i="9" s="1"/>
  <c r="G23" i="9" s="1"/>
  <c r="A15" i="25"/>
  <c r="A14" i="25"/>
  <c r="H56" i="15"/>
  <c r="D22" i="9" s="1"/>
  <c r="D23" i="9" s="1"/>
  <c r="L6" i="17"/>
  <c r="H6" i="17"/>
  <c r="K6" i="17" s="1"/>
  <c r="H9" i="17"/>
  <c r="K9" i="17" s="1"/>
  <c r="L15" i="17"/>
  <c r="L26" i="17"/>
  <c r="H29" i="17"/>
  <c r="K29" i="17" s="1"/>
  <c r="H32" i="17"/>
  <c r="K32" i="17" s="1"/>
  <c r="L36" i="17"/>
  <c r="H38" i="17"/>
  <c r="K38" i="17" s="1"/>
  <c r="H46" i="17"/>
  <c r="K46" i="17" s="1"/>
  <c r="L48" i="17"/>
  <c r="H50" i="17"/>
  <c r="K50" i="17" s="1"/>
  <c r="L53" i="17"/>
  <c r="G54" i="17"/>
  <c r="L57" i="17"/>
  <c r="H59" i="17"/>
  <c r="K59" i="17" s="1"/>
  <c r="L63" i="17"/>
  <c r="H65" i="17"/>
  <c r="K65" i="17" s="1"/>
  <c r="H69" i="17"/>
  <c r="K69" i="17" s="1"/>
  <c r="L71" i="17"/>
  <c r="L73" i="17"/>
  <c r="L31" i="17"/>
  <c r="H5" i="17"/>
  <c r="K5" i="17" s="1"/>
  <c r="G72" i="9" l="1"/>
  <c r="H61" i="9"/>
  <c r="H81" i="9" s="1"/>
  <c r="G68" i="9"/>
  <c r="H68" i="9"/>
  <c r="I48" i="9"/>
  <c r="I68" i="9" s="1"/>
  <c r="H76" i="9"/>
  <c r="I56" i="9"/>
  <c r="I76" i="9" s="1"/>
  <c r="H80" i="9"/>
  <c r="I60" i="9"/>
  <c r="I80" i="9" s="1"/>
  <c r="H72" i="9"/>
  <c r="I52" i="9"/>
  <c r="I72" i="9" s="1"/>
  <c r="G80" i="9"/>
  <c r="G76" i="9"/>
  <c r="H53" i="9"/>
  <c r="G77" i="9"/>
  <c r="H57" i="9"/>
  <c r="G69" i="9"/>
  <c r="H49" i="9"/>
  <c r="T75" i="10"/>
  <c r="U60" i="10"/>
  <c r="L78" i="10"/>
  <c r="M63" i="10"/>
  <c r="L62" i="10"/>
  <c r="K77" i="10"/>
  <c r="F79" i="9"/>
  <c r="G59" i="9"/>
  <c r="N44" i="6"/>
  <c r="O34" i="6"/>
  <c r="W80" i="10"/>
  <c r="X65" i="10"/>
  <c r="M43" i="6"/>
  <c r="N33" i="6"/>
  <c r="L39" i="6"/>
  <c r="L45" i="6" s="1"/>
  <c r="M29" i="6"/>
  <c r="L35" i="6"/>
  <c r="M40" i="6"/>
  <c r="N30" i="6"/>
  <c r="U66" i="10"/>
  <c r="T81" i="10"/>
  <c r="F67" i="9"/>
  <c r="F63" i="9"/>
  <c r="G47" i="9"/>
  <c r="U78" i="10"/>
  <c r="V63" i="10"/>
  <c r="V77" i="10"/>
  <c r="W62" i="10"/>
  <c r="N41" i="6"/>
  <c r="O31" i="6"/>
  <c r="L60" i="10"/>
  <c r="K75" i="10"/>
  <c r="K82" i="10" s="1"/>
  <c r="K73" i="10"/>
  <c r="L58" i="10"/>
  <c r="K67" i="10"/>
  <c r="K68" i="10" s="1"/>
  <c r="U76" i="10"/>
  <c r="V61" i="10"/>
  <c r="G58" i="9"/>
  <c r="F78" i="9"/>
  <c r="G50" i="9"/>
  <c r="F70" i="9"/>
  <c r="H54" i="17"/>
  <c r="G55" i="17"/>
  <c r="H55" i="17" s="1"/>
  <c r="AA72" i="10"/>
  <c r="AB57" i="10"/>
  <c r="F71" i="9"/>
  <c r="G51" i="9"/>
  <c r="J82" i="10"/>
  <c r="N61" i="10"/>
  <c r="M76" i="10"/>
  <c r="V74" i="10"/>
  <c r="W59" i="10"/>
  <c r="L72" i="10"/>
  <c r="M57" i="10"/>
  <c r="L67" i="10"/>
  <c r="L68" i="10" s="1"/>
  <c r="F75" i="9"/>
  <c r="G55" i="9"/>
  <c r="N32" i="6"/>
  <c r="M42" i="6"/>
  <c r="V64" i="10"/>
  <c r="U79" i="10"/>
  <c r="F82" i="9"/>
  <c r="G62" i="9"/>
  <c r="G54" i="9"/>
  <c r="F74" i="9"/>
  <c r="T73" i="10"/>
  <c r="T82" i="10" s="1"/>
  <c r="U58" i="10"/>
  <c r="E83" i="9"/>
  <c r="N59" i="10"/>
  <c r="M74" i="10"/>
  <c r="I61" i="9" l="1"/>
  <c r="I81" i="9" s="1"/>
  <c r="H77" i="9"/>
  <c r="I57" i="9"/>
  <c r="I77" i="9" s="1"/>
  <c r="H69" i="9"/>
  <c r="I49" i="9"/>
  <c r="I69" i="9" s="1"/>
  <c r="H73" i="9"/>
  <c r="I53" i="9"/>
  <c r="I73" i="9" s="1"/>
  <c r="H50" i="9"/>
  <c r="G70" i="9"/>
  <c r="W77" i="10"/>
  <c r="X62" i="10"/>
  <c r="U81" i="10"/>
  <c r="V66" i="10"/>
  <c r="H54" i="9"/>
  <c r="G74" i="9"/>
  <c r="W64" i="10"/>
  <c r="V79" i="10"/>
  <c r="N42" i="6"/>
  <c r="O32" i="6"/>
  <c r="M72" i="10"/>
  <c r="N57" i="10"/>
  <c r="L75" i="10"/>
  <c r="M60" i="10"/>
  <c r="O44" i="6"/>
  <c r="P34" i="6"/>
  <c r="U75" i="10"/>
  <c r="V60" i="10"/>
  <c r="G75" i="9"/>
  <c r="H55" i="9"/>
  <c r="N74" i="10"/>
  <c r="O59" i="10"/>
  <c r="O74" i="10" s="1"/>
  <c r="G67" i="9"/>
  <c r="G63" i="9"/>
  <c r="H47" i="9"/>
  <c r="I47" i="9" s="1"/>
  <c r="N40" i="6"/>
  <c r="O30" i="6"/>
  <c r="O33" i="6"/>
  <c r="N43" i="6"/>
  <c r="V58" i="10"/>
  <c r="U73" i="10"/>
  <c r="U82" i="10" s="1"/>
  <c r="U67" i="10"/>
  <c r="U68" i="10" s="1"/>
  <c r="H62" i="9"/>
  <c r="G82" i="9"/>
  <c r="N76" i="10"/>
  <c r="O61" i="10"/>
  <c r="O76" i="10" s="1"/>
  <c r="G71" i="9"/>
  <c r="H51" i="9"/>
  <c r="AB72" i="10"/>
  <c r="AC57" i="10"/>
  <c r="H58" i="9"/>
  <c r="G78" i="9"/>
  <c r="L73" i="10"/>
  <c r="L82" i="10" s="1"/>
  <c r="M58" i="10"/>
  <c r="O41" i="6"/>
  <c r="P31" i="6"/>
  <c r="W63" i="10"/>
  <c r="V78" i="10"/>
  <c r="F83" i="9"/>
  <c r="L77" i="10"/>
  <c r="M62" i="10"/>
  <c r="W74" i="10"/>
  <c r="X59" i="10"/>
  <c r="W61" i="10"/>
  <c r="V76" i="10"/>
  <c r="M39" i="6"/>
  <c r="M45" i="6" s="1"/>
  <c r="M35" i="6"/>
  <c r="N29" i="6"/>
  <c r="Y65" i="10"/>
  <c r="X80" i="10"/>
  <c r="G79" i="9"/>
  <c r="H59" i="9"/>
  <c r="N63" i="10"/>
  <c r="M78" i="10"/>
  <c r="H79" i="9" l="1"/>
  <c r="I59" i="9"/>
  <c r="I79" i="9" s="1"/>
  <c r="H71" i="9"/>
  <c r="I51" i="9"/>
  <c r="I71" i="9" s="1"/>
  <c r="H75" i="9"/>
  <c r="I55" i="9"/>
  <c r="I75" i="9" s="1"/>
  <c r="H74" i="9"/>
  <c r="I54" i="9"/>
  <c r="I74" i="9" s="1"/>
  <c r="H70" i="9"/>
  <c r="I50" i="9"/>
  <c r="I70" i="9" s="1"/>
  <c r="H78" i="9"/>
  <c r="I58" i="9"/>
  <c r="I78" i="9" s="1"/>
  <c r="H82" i="9"/>
  <c r="I62" i="9"/>
  <c r="I82" i="9" s="1"/>
  <c r="I67" i="9"/>
  <c r="N35" i="6"/>
  <c r="O29" i="6"/>
  <c r="N39" i="6"/>
  <c r="N45" i="6" s="1"/>
  <c r="X61" i="10"/>
  <c r="W76" i="10"/>
  <c r="AC72" i="10"/>
  <c r="AD57" i="10"/>
  <c r="V73" i="10"/>
  <c r="V67" i="10"/>
  <c r="V68" i="10" s="1"/>
  <c r="W58" i="10"/>
  <c r="Y62" i="10"/>
  <c r="X77" i="10"/>
  <c r="O42" i="6"/>
  <c r="P32" i="6"/>
  <c r="N58" i="10"/>
  <c r="M73" i="10"/>
  <c r="M82" i="10" s="1"/>
  <c r="P44" i="6"/>
  <c r="Q34" i="6"/>
  <c r="X63" i="10"/>
  <c r="W78" i="10"/>
  <c r="X74" i="10"/>
  <c r="Y59" i="10"/>
  <c r="Q31" i="6"/>
  <c r="P41" i="6"/>
  <c r="H67" i="9"/>
  <c r="H83" i="9" s="1"/>
  <c r="H63" i="9"/>
  <c r="V75" i="10"/>
  <c r="W60" i="10"/>
  <c r="M75" i="10"/>
  <c r="N60" i="10"/>
  <c r="O57" i="10"/>
  <c r="N72" i="10"/>
  <c r="W66" i="10"/>
  <c r="V81" i="10"/>
  <c r="P30" i="6"/>
  <c r="O40" i="6"/>
  <c r="G83" i="9"/>
  <c r="W79" i="10"/>
  <c r="X64" i="10"/>
  <c r="N78" i="10"/>
  <c r="O63" i="10"/>
  <c r="O78" i="10" s="1"/>
  <c r="Y80" i="10"/>
  <c r="Z65" i="10"/>
  <c r="M77" i="10"/>
  <c r="N62" i="10"/>
  <c r="N67" i="10" s="1"/>
  <c r="N68" i="10" s="1"/>
  <c r="P33" i="6"/>
  <c r="O43" i="6"/>
  <c r="M67" i="10"/>
  <c r="M68" i="10" s="1"/>
  <c r="I83" i="9" l="1"/>
  <c r="I63" i="9"/>
  <c r="P40" i="6"/>
  <c r="Q30" i="6"/>
  <c r="O72" i="10"/>
  <c r="AA65" i="10"/>
  <c r="Z80" i="10"/>
  <c r="X78" i="10"/>
  <c r="Y63" i="10"/>
  <c r="N73" i="10"/>
  <c r="O58" i="10"/>
  <c r="O73" i="10" s="1"/>
  <c r="Z62" i="10"/>
  <c r="Y77" i="10"/>
  <c r="V82" i="10"/>
  <c r="X60" i="10"/>
  <c r="W75" i="10"/>
  <c r="P43" i="6"/>
  <c r="Q33" i="6"/>
  <c r="W81" i="10"/>
  <c r="X66" i="10"/>
  <c r="N75" i="10"/>
  <c r="N82" i="10" s="1"/>
  <c r="O60" i="10"/>
  <c r="O75" i="10" s="1"/>
  <c r="R31" i="6"/>
  <c r="Q41" i="6"/>
  <c r="P42" i="6"/>
  <c r="Q32" i="6"/>
  <c r="AD72" i="10"/>
  <c r="X76" i="10"/>
  <c r="Y61" i="10"/>
  <c r="Y64" i="10"/>
  <c r="X79" i="10"/>
  <c r="Q44" i="6"/>
  <c r="R34" i="6"/>
  <c r="O35" i="6"/>
  <c r="P29" i="6"/>
  <c r="O39" i="6"/>
  <c r="O45" i="6" s="1"/>
  <c r="N77" i="10"/>
  <c r="O62" i="10"/>
  <c r="O77" i="10" s="1"/>
  <c r="Y74" i="10"/>
  <c r="Z59" i="10"/>
  <c r="X58" i="10"/>
  <c r="W73" i="10"/>
  <c r="W82" i="10" s="1"/>
  <c r="W67" i="10"/>
  <c r="W68" i="10" s="1"/>
  <c r="R44" i="6" l="1"/>
  <c r="S34" i="6"/>
  <c r="Y66" i="10"/>
  <c r="X81" i="10"/>
  <c r="Q43" i="6"/>
  <c r="R33" i="6"/>
  <c r="Q40" i="6"/>
  <c r="R30" i="6"/>
  <c r="Y60" i="10"/>
  <c r="X75" i="10"/>
  <c r="AA59" i="10"/>
  <c r="Z74" i="10"/>
  <c r="Y79" i="10"/>
  <c r="Z64" i="10"/>
  <c r="R41" i="6"/>
  <c r="S31" i="6"/>
  <c r="Y78" i="10"/>
  <c r="Z63" i="10"/>
  <c r="O67" i="10"/>
  <c r="O68" i="10" s="1"/>
  <c r="X73" i="10"/>
  <c r="Y58" i="10"/>
  <c r="X67" i="10"/>
  <c r="X68" i="10" s="1"/>
  <c r="P39" i="6"/>
  <c r="P45" i="6" s="1"/>
  <c r="P35" i="6"/>
  <c r="Q29" i="6"/>
  <c r="Y76" i="10"/>
  <c r="Z61" i="10"/>
  <c r="Q42" i="6"/>
  <c r="R32" i="6"/>
  <c r="Z77" i="10"/>
  <c r="AA62" i="10"/>
  <c r="AA80" i="10"/>
  <c r="AB65" i="10"/>
  <c r="O82" i="10"/>
  <c r="Z78" i="10" l="1"/>
  <c r="AA63" i="10"/>
  <c r="AA61" i="10"/>
  <c r="Z76" i="10"/>
  <c r="Q39" i="6"/>
  <c r="Q45" i="6" s="1"/>
  <c r="R29" i="6"/>
  <c r="Q35" i="6"/>
  <c r="AB59" i="10"/>
  <c r="AA74" i="10"/>
  <c r="Z60" i="10"/>
  <c r="Y75" i="10"/>
  <c r="S33" i="6"/>
  <c r="R43" i="6"/>
  <c r="AA77" i="10"/>
  <c r="AB62" i="10"/>
  <c r="Y73" i="10"/>
  <c r="Z58" i="10"/>
  <c r="Y67" i="10"/>
  <c r="Y68" i="10" s="1"/>
  <c r="Z79" i="10"/>
  <c r="AA64" i="10"/>
  <c r="R40" i="6"/>
  <c r="S30" i="6"/>
  <c r="S41" i="6"/>
  <c r="T31" i="6"/>
  <c r="AC65" i="10"/>
  <c r="AB80" i="10"/>
  <c r="R42" i="6"/>
  <c r="S32" i="6"/>
  <c r="X82" i="10"/>
  <c r="Y81" i="10"/>
  <c r="Z66" i="10"/>
  <c r="T34" i="6"/>
  <c r="S44" i="6"/>
  <c r="S42" i="6" l="1"/>
  <c r="T32" i="6"/>
  <c r="T33" i="6"/>
  <c r="S43" i="6"/>
  <c r="Z75" i="10"/>
  <c r="AA60" i="10"/>
  <c r="AB61" i="10"/>
  <c r="AA76" i="10"/>
  <c r="AA66" i="10"/>
  <c r="Z81" i="10"/>
  <c r="AD65" i="10"/>
  <c r="AD80" i="10" s="1"/>
  <c r="AC80" i="10"/>
  <c r="Z73" i="10"/>
  <c r="Z82" i="10" s="1"/>
  <c r="AA58" i="10"/>
  <c r="Z67" i="10"/>
  <c r="AB77" i="10"/>
  <c r="AC62" i="10"/>
  <c r="R35" i="6"/>
  <c r="S29" i="6"/>
  <c r="R39" i="6"/>
  <c r="R45" i="6" s="1"/>
  <c r="AB63" i="10"/>
  <c r="AA78" i="10"/>
  <c r="U31" i="6"/>
  <c r="T41" i="6"/>
  <c r="T44" i="6"/>
  <c r="U34" i="6"/>
  <c r="S40" i="6"/>
  <c r="T30" i="6"/>
  <c r="AA79" i="10"/>
  <c r="AB64" i="10"/>
  <c r="Y82" i="10"/>
  <c r="AB74" i="10"/>
  <c r="AC59" i="10"/>
  <c r="V31" i="6" l="1"/>
  <c r="U41" i="6"/>
  <c r="AB76" i="10"/>
  <c r="AC61" i="10"/>
  <c r="T43" i="6"/>
  <c r="U33" i="6"/>
  <c r="AC64" i="10"/>
  <c r="AB79" i="10"/>
  <c r="S35" i="6"/>
  <c r="T29" i="6"/>
  <c r="S39" i="6"/>
  <c r="S45" i="6" s="1"/>
  <c r="AC74" i="10"/>
  <c r="AD59" i="10"/>
  <c r="AD74" i="10" s="1"/>
  <c r="AA73" i="10"/>
  <c r="AB58" i="10"/>
  <c r="AA67" i="10"/>
  <c r="AA75" i="10"/>
  <c r="AB60" i="10"/>
  <c r="T42" i="6"/>
  <c r="U32" i="6"/>
  <c r="U44" i="6"/>
  <c r="V34" i="6"/>
  <c r="T40" i="6"/>
  <c r="U30" i="6"/>
  <c r="AB78" i="10"/>
  <c r="AC63" i="10"/>
  <c r="AD62" i="10"/>
  <c r="AD77" i="10" s="1"/>
  <c r="AC77" i="10"/>
  <c r="AA81" i="10"/>
  <c r="AB66" i="10"/>
  <c r="AC58" i="10" l="1"/>
  <c r="AB73" i="10"/>
  <c r="AB67" i="10"/>
  <c r="AD64" i="10"/>
  <c r="AD79" i="10" s="1"/>
  <c r="AC79" i="10"/>
  <c r="V32" i="6"/>
  <c r="U42" i="6"/>
  <c r="AC76" i="10"/>
  <c r="AD61" i="10"/>
  <c r="AD76" i="10" s="1"/>
  <c r="AC66" i="10"/>
  <c r="AB81" i="10"/>
  <c r="AC78" i="10"/>
  <c r="AD63" i="10"/>
  <c r="AD78" i="10" s="1"/>
  <c r="V44" i="6"/>
  <c r="W34" i="6"/>
  <c r="W44" i="6" s="1"/>
  <c r="AC60" i="10"/>
  <c r="AB75" i="10"/>
  <c r="AA82" i="10"/>
  <c r="T39" i="6"/>
  <c r="T45" i="6" s="1"/>
  <c r="U29" i="6"/>
  <c r="T35" i="6"/>
  <c r="U43" i="6"/>
  <c r="V33" i="6"/>
  <c r="U40" i="6"/>
  <c r="V30" i="6"/>
  <c r="V41" i="6"/>
  <c r="W31" i="6"/>
  <c r="W41" i="6" s="1"/>
  <c r="U39" i="6" l="1"/>
  <c r="U45" i="6" s="1"/>
  <c r="U35" i="6"/>
  <c r="V29" i="6"/>
  <c r="AD60" i="10"/>
  <c r="AD75" i="10" s="1"/>
  <c r="AC75" i="10"/>
  <c r="AC81" i="10"/>
  <c r="AD66" i="10"/>
  <c r="AD81" i="10" s="1"/>
  <c r="V42" i="6"/>
  <c r="W32" i="6"/>
  <c r="W42" i="6" s="1"/>
  <c r="AB82" i="10"/>
  <c r="W33" i="6"/>
  <c r="W43" i="6" s="1"/>
  <c r="V43" i="6"/>
  <c r="V40" i="6"/>
  <c r="W30" i="6"/>
  <c r="W40" i="6" s="1"/>
  <c r="AD58" i="10"/>
  <c r="AC73" i="10"/>
  <c r="AC82" i="10" s="1"/>
  <c r="AC67" i="10"/>
  <c r="AD73" i="10" l="1"/>
  <c r="AD82" i="10" s="1"/>
  <c r="AD67" i="10"/>
  <c r="V35" i="6"/>
  <c r="W29" i="6"/>
  <c r="V39" i="6"/>
  <c r="V45" i="6" s="1"/>
  <c r="W35" i="6" l="1"/>
  <c r="W39" i="6"/>
  <c r="W4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2" authorId="0" shapeId="0" xr:uid="{00000000-0006-0000-0500-000001000000}">
      <text>
        <r>
          <rPr>
            <sz val="10"/>
            <color rgb="FF000000"/>
            <rFont val="Calibri"/>
            <family val="2"/>
            <scheme val="minor"/>
          </rPr>
          <t>3840ea AIR 입고 예정</t>
        </r>
      </text>
    </comment>
  </commentList>
</comments>
</file>

<file path=xl/sharedStrings.xml><?xml version="1.0" encoding="utf-8"?>
<sst xmlns="http://schemas.openxmlformats.org/spreadsheetml/2006/main" count="1817" uniqueCount="518">
  <si>
    <t>Supply (arrival)</t>
  </si>
  <si>
    <t>Sep.</t>
  </si>
  <si>
    <t>Oct.</t>
  </si>
  <si>
    <t>Nov.</t>
  </si>
  <si>
    <t>Dec.</t>
  </si>
  <si>
    <t>Jan.</t>
  </si>
  <si>
    <t>Feb.</t>
  </si>
  <si>
    <t>Mar.</t>
  </si>
  <si>
    <t>Apr.</t>
  </si>
  <si>
    <t>May.</t>
  </si>
  <si>
    <t>Jun.</t>
  </si>
  <si>
    <t>July.</t>
  </si>
  <si>
    <t>Aug.</t>
  </si>
  <si>
    <t>Sept.</t>
  </si>
  <si>
    <t>PN</t>
  </si>
  <si>
    <t>Supply 
 (arrival)</t>
  </si>
  <si>
    <t>PF</t>
  </si>
  <si>
    <t>VANILLA</t>
  </si>
  <si>
    <t>Total</t>
  </si>
  <si>
    <t>발주 금액</t>
  </si>
  <si>
    <t>발주 금액(KRW)</t>
  </si>
  <si>
    <t>Actual</t>
  </si>
  <si>
    <t>fcst</t>
  </si>
  <si>
    <t>Sales</t>
  </si>
  <si>
    <t>Sales
 CU</t>
  </si>
  <si>
    <t>남양주</t>
  </si>
  <si>
    <t>디앤비</t>
  </si>
  <si>
    <t>Stock(CU)</t>
  </si>
  <si>
    <t>Stock Level(Month)</t>
  </si>
  <si>
    <t>Stock month
 by SKU</t>
  </si>
  <si>
    <t>인보이스 발행 날짜</t>
  </si>
  <si>
    <t>인보이스 넘버</t>
  </si>
  <si>
    <t>품목</t>
  </si>
  <si>
    <t>수량</t>
  </si>
  <si>
    <t>입고 상세</t>
  </si>
  <si>
    <t>입고예정일</t>
  </si>
  <si>
    <t>APTAMIL 1 KOR 4X800G</t>
  </si>
  <si>
    <t>APTAMIL 2 KOR 4X800G</t>
  </si>
  <si>
    <t>APTAMIL 3 KOR 4X800G</t>
  </si>
  <si>
    <t>6월</t>
  </si>
  <si>
    <t>8월</t>
  </si>
  <si>
    <t>품목명</t>
  </si>
  <si>
    <t>풀필먼트</t>
  </si>
  <si>
    <t>이마트</t>
  </si>
  <si>
    <t>01976-00</t>
  </si>
  <si>
    <t>누1</t>
  </si>
  <si>
    <t>01977-00</t>
  </si>
  <si>
    <t>누2</t>
  </si>
  <si>
    <t>01978-00</t>
  </si>
  <si>
    <t>누3</t>
  </si>
  <si>
    <t>02352-00</t>
  </si>
  <si>
    <t>푸1</t>
  </si>
  <si>
    <t>02353-00</t>
  </si>
  <si>
    <t>푸2</t>
  </si>
  <si>
    <t>02354-00</t>
  </si>
  <si>
    <t>푸3</t>
  </si>
  <si>
    <t>2월 마감재고</t>
  </si>
  <si>
    <t>3월 입고 재고</t>
  </si>
  <si>
    <t>롯마 출고</t>
  </si>
  <si>
    <t>이마출고</t>
  </si>
  <si>
    <t>풀필 출고</t>
  </si>
  <si>
    <t>일반 출고</t>
  </si>
  <si>
    <t>디앤비 회송 입고</t>
  </si>
  <si>
    <t>디앤비 파손</t>
  </si>
  <si>
    <t>유통기한 임박 폐기</t>
  </si>
  <si>
    <t>풀필 회송</t>
  </si>
  <si>
    <t>입고파손</t>
  </si>
  <si>
    <t>작업중 빈박스</t>
  </si>
  <si>
    <t>2월 재고 정정</t>
  </si>
  <si>
    <t>이마트 점포 클레임</t>
  </si>
  <si>
    <t>영훈 파트장님 출고</t>
  </si>
  <si>
    <t>실장님 사용</t>
  </si>
  <si>
    <t>기부</t>
  </si>
  <si>
    <t>반품입고</t>
  </si>
  <si>
    <t>3월 마감 재고</t>
  </si>
  <si>
    <t>3월 마감 실재고</t>
  </si>
  <si>
    <t>차이</t>
  </si>
  <si>
    <t>출고</t>
  </si>
  <si>
    <t>반출</t>
  </si>
  <si>
    <t>비가용 재고</t>
  </si>
  <si>
    <t>3월 출고 재고</t>
  </si>
  <si>
    <t>※ Aptamil D2C Jikgu Stock Overview</t>
  </si>
  <si>
    <t>Pre</t>
  </si>
  <si>
    <t>1X1200G</t>
  </si>
  <si>
    <t>TAB IF</t>
  </si>
  <si>
    <t>2X1200G</t>
  </si>
  <si>
    <t>TAB FO</t>
  </si>
  <si>
    <t>Kinder 1+</t>
  </si>
  <si>
    <t>Kinder 2+</t>
  </si>
  <si>
    <t>SF</t>
  </si>
  <si>
    <t>AR</t>
  </si>
  <si>
    <t>Comfort</t>
  </si>
  <si>
    <t>Fortimel</t>
  </si>
  <si>
    <t>Protein Mocha</t>
  </si>
  <si>
    <t>Protein Neu</t>
  </si>
  <si>
    <t>REDFRUITS</t>
  </si>
  <si>
    <t>GINGER</t>
  </si>
  <si>
    <t>Stock</t>
  </si>
  <si>
    <t>Stock Level(M)</t>
  </si>
  <si>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Aptamil Domestic Stock Overview</t>
    </r>
  </si>
  <si>
    <t>Production</t>
  </si>
  <si>
    <t>Dec</t>
  </si>
  <si>
    <t>Jan</t>
  </si>
  <si>
    <t>Feb</t>
  </si>
  <si>
    <t>Mar</t>
  </si>
  <si>
    <t>April</t>
  </si>
  <si>
    <t>May</t>
  </si>
  <si>
    <t>Jun</t>
  </si>
  <si>
    <t>July</t>
  </si>
  <si>
    <t>Aug</t>
  </si>
  <si>
    <t>6월 발주</t>
  </si>
  <si>
    <t>7월 발주</t>
  </si>
  <si>
    <t>8월 발주</t>
  </si>
  <si>
    <t>9월 발주</t>
  </si>
  <si>
    <t>재고</t>
  </si>
  <si>
    <t>판매량</t>
  </si>
  <si>
    <t>입고</t>
  </si>
  <si>
    <t>APTAMIL 1 6X800G CR/SL</t>
  </si>
  <si>
    <t>APTAMIL 3 6X800G CR/SL</t>
  </si>
  <si>
    <t>APTAMIL 2 6X800G CR/SL</t>
  </si>
  <si>
    <t>APTAMIL AR 1 ENG 24X400G</t>
  </si>
  <si>
    <t>APTAMIL PF DUO YCF1+, 4X800G KOR</t>
  </si>
  <si>
    <t>APTAMIL COMF 1 ESC 24X400GEXPORT</t>
  </si>
  <si>
    <t>APTAMIL PRONUTRA 1 3X1200G</t>
  </si>
  <si>
    <t>APTAMIL PRONUTRA 2 3X1200G</t>
  </si>
  <si>
    <t>APTAMIL PF DUO YCF2+, 4X800G KOR</t>
  </si>
  <si>
    <t>12월</t>
  </si>
  <si>
    <t>APTAMIL PRE 6X800G CR/SL</t>
  </si>
  <si>
    <t>APT TAB IF 4X(105 X4.6G)IT</t>
  </si>
  <si>
    <t>APT TAB FO NWW 4X(105X4.8G) IT</t>
  </si>
  <si>
    <t>5월</t>
  </si>
  <si>
    <t>Fortimel Compact Protein Mocha 125 ml</t>
  </si>
  <si>
    <t>Fortimel Compact Protein Neu 125 ml</t>
  </si>
  <si>
    <t>FMEL COMP PROT CL REDFRUITS</t>
  </si>
  <si>
    <t>FMEL COMP PROT HOTTR GINGER</t>
  </si>
  <si>
    <t>출고수량</t>
  </si>
  <si>
    <t>가용재고</t>
  </si>
  <si>
    <t>※ Medical Stock Overview</t>
  </si>
  <si>
    <t>~ 2025</t>
  </si>
  <si>
    <t>2026 ~</t>
  </si>
  <si>
    <t>Oct-Dec.</t>
  </si>
  <si>
    <t>Jau.</t>
  </si>
  <si>
    <t>Duocal</t>
  </si>
  <si>
    <t>Elemental Orange</t>
  </si>
  <si>
    <t>PK AID</t>
  </si>
  <si>
    <t>TYR Anamix</t>
  </si>
  <si>
    <t>NKH Anamix</t>
  </si>
  <si>
    <t>Lorenzo Oil</t>
  </si>
  <si>
    <t>Infatrini</t>
  </si>
  <si>
    <t>Neocate LCP</t>
  </si>
  <si>
    <t>GA1 Anamix Infant</t>
  </si>
  <si>
    <t>GA1 Anamix Junior</t>
  </si>
  <si>
    <t>MSUD Anamix Junior</t>
  </si>
  <si>
    <t>MSUD Maxamum</t>
  </si>
  <si>
    <t>Locasol</t>
  </si>
  <si>
    <t>Basic F</t>
  </si>
  <si>
    <t>Aptamil Pepti Syneo</t>
  </si>
  <si>
    <t>Elemental 028 Banana</t>
  </si>
  <si>
    <t>Sales
CU</t>
  </si>
  <si>
    <t>Stcok(CU)</t>
  </si>
  <si>
    <t>Stcok Level (Month)</t>
  </si>
  <si>
    <t>Stock month 
by SKU</t>
  </si>
  <si>
    <t>입고완료</t>
  </si>
  <si>
    <t>발주량</t>
  </si>
  <si>
    <t>June</t>
  </si>
  <si>
    <t>Sep</t>
  </si>
  <si>
    <t>Oct</t>
  </si>
  <si>
    <t>Nov</t>
  </si>
  <si>
    <t>인보이스+오더오버뷰(생산계획)</t>
  </si>
  <si>
    <t>Kinder</t>
  </si>
  <si>
    <t>actual</t>
  </si>
  <si>
    <t>전일까지 판매량</t>
  </si>
  <si>
    <t>3/27 재고</t>
  </si>
  <si>
    <t>Product SKU</t>
  </si>
  <si>
    <t>Channel SKU</t>
  </si>
  <si>
    <t>Other SKU</t>
  </si>
  <si>
    <t>Lot 1</t>
  </si>
  <si>
    <t>Expiration Date</t>
  </si>
  <si>
    <t>Stock-In Date</t>
  </si>
  <si>
    <t>Item Description</t>
  </si>
  <si>
    <t>Inventory Type</t>
  </si>
  <si>
    <t>Qty</t>
  </si>
  <si>
    <t>Location</t>
  </si>
  <si>
    <t>Picking Location</t>
  </si>
  <si>
    <t>Action</t>
  </si>
  <si>
    <t>Aptamil AR</t>
  </si>
  <si>
    <t>Aptamil AR 1 ENG</t>
  </si>
  <si>
    <t>Active</t>
  </si>
  <si>
    <t>TM9F</t>
  </si>
  <si>
    <t>Aptamil COMF</t>
  </si>
  <si>
    <t>Aptamil COMF 1 ESC</t>
  </si>
  <si>
    <t>Aptamil PF DUO YCF1+</t>
  </si>
  <si>
    <t>TM12F</t>
  </si>
  <si>
    <t>Aptamil Pronutra Pre</t>
  </si>
  <si>
    <t>Aptamil Profutura Pre</t>
  </si>
  <si>
    <t>TM12F-E</t>
  </si>
  <si>
    <t>Aptamil Pronutra Stage1</t>
  </si>
  <si>
    <t>Aptamil Pronutra Stage2</t>
  </si>
  <si>
    <t>Aptamil Pronutra Stage3</t>
  </si>
  <si>
    <t>Aptamil Profutura Stage 1</t>
  </si>
  <si>
    <t>Aptamil Profutura Stage1</t>
  </si>
  <si>
    <t>Hold</t>
  </si>
  <si>
    <t>KR</t>
  </si>
  <si>
    <t>Damaged</t>
  </si>
  <si>
    <t>LFS</t>
  </si>
  <si>
    <t>Aptamil Profutura Stage2</t>
  </si>
  <si>
    <t>Aptamil Profutura Stage 2</t>
  </si>
  <si>
    <t>TM12F-F</t>
  </si>
  <si>
    <t>Aptamil Pronutra Stage 1</t>
  </si>
  <si>
    <t>Aptamil Pronutra Stage 2</t>
  </si>
  <si>
    <t>Aptamil Pronutra Stage 3</t>
  </si>
  <si>
    <t>품목코드</t>
  </si>
  <si>
    <t>박스 수량</t>
  </si>
  <si>
    <t>박스 당 입수</t>
  </si>
  <si>
    <t>뉴트리시아 듀오칼/400G</t>
  </si>
  <si>
    <t>한독 입고완료</t>
  </si>
  <si>
    <t>리드타임</t>
  </si>
  <si>
    <t>3 month</t>
  </si>
  <si>
    <t>뉴트리시아 인파트리니/400G</t>
  </si>
  <si>
    <t>뉴트리시아 피케이 에이드4/500G</t>
  </si>
  <si>
    <t>뉴트리시아 압타밀 펩티 시네오/400g</t>
  </si>
  <si>
    <t>뉴트리시아 네오케이트 LCP/400G</t>
  </si>
  <si>
    <t>뉴트리시아 엘리멘탈 Banana</t>
  </si>
  <si>
    <t>뉴트리시아 엘리멘탈 028 엑스트라/100GX10</t>
  </si>
  <si>
    <t>뉴트리시아 엔케이에이치 아나믹스/400G</t>
  </si>
  <si>
    <t>뉴트리시아 엘리멘탈 028 엑스트라 바나나향</t>
  </si>
  <si>
    <t>뉴트리시아 지에이1 아나믹스 주니어/400g</t>
  </si>
  <si>
    <t>뉴트리시아 엠에스유디 맥사멈/500g</t>
  </si>
  <si>
    <t>뉴트리시아 로렌조 오일/500ML</t>
  </si>
  <si>
    <t>뉴트리시아 베이직 에프/300g</t>
  </si>
  <si>
    <t>뉴트리시아 티와이알 아나믹스/400G</t>
  </si>
  <si>
    <t>뉴트리시아 로카솔/400g</t>
  </si>
  <si>
    <t>뉴트리시아 엠에스유디 아나믹스 주니어</t>
  </si>
  <si>
    <t>뉴트리시아 지에이1 아나믹스 주니어</t>
  </si>
  <si>
    <t>뉴트리시아 지에이1 아나믹스 인펀트</t>
  </si>
  <si>
    <t>SKU Code</t>
  </si>
  <si>
    <t>제품명</t>
  </si>
  <si>
    <t>뉴트리시아 지에이1 아나믹스 인펀트/400g</t>
  </si>
  <si>
    <t>뉴트리시아 엠에스유디 아나믹스 주니어/400g</t>
  </si>
  <si>
    <t>뉴트리시아 압타밀 펩티 시네오/400g(판매용)</t>
  </si>
  <si>
    <t>뉴트리시아 엘리멘탈 028 엑스트라 바나나/100GX10</t>
  </si>
  <si>
    <t>구매 코드</t>
  </si>
  <si>
    <t>상품 코드</t>
  </si>
  <si>
    <t>제품명(영문명)</t>
  </si>
  <si>
    <t>입수량 (CU/TU)</t>
  </si>
  <si>
    <t>원산지</t>
  </si>
  <si>
    <t>UK</t>
  </si>
  <si>
    <t>Germany</t>
  </si>
  <si>
    <t>NL</t>
  </si>
  <si>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Aptamil Domestic Stock Overview</t>
    </r>
  </si>
  <si>
    <t>CORPORATE CODE</t>
  </si>
  <si>
    <t>구분</t>
  </si>
  <si>
    <t>코드</t>
  </si>
  <si>
    <t>박스 금액</t>
  </si>
  <si>
    <t>캔당금액</t>
  </si>
  <si>
    <t>환율</t>
  </si>
  <si>
    <t>내수</t>
  </si>
  <si>
    <t>APTAMIL PROFUTURA 1 4X800G KOR</t>
  </si>
  <si>
    <t>APTAMIL PROFUTURA 2 4X800G KOR</t>
  </si>
  <si>
    <t>APTAMIL PROFUTURA 3 4X800G KOR</t>
  </si>
  <si>
    <t>FORTIFIT VANILLA 12X280G A</t>
  </si>
  <si>
    <t>직구</t>
  </si>
  <si>
    <t>APT PROFUTURA PRE, KOR 4X800G</t>
  </si>
  <si>
    <t>APT PROFUTURA 1, KOR 4X800G</t>
  </si>
  <si>
    <t>APT PROFUTURA 2, KOR 4X800G</t>
  </si>
  <si>
    <t>메디컬</t>
  </si>
  <si>
    <t>내수 기준일</t>
  </si>
  <si>
    <t>직구 기준일</t>
  </si>
  <si>
    <t>*내수</t>
  </si>
  <si>
    <t>10/1~10/14</t>
  </si>
  <si>
    <t>10/15~10/28</t>
  </si>
  <si>
    <t>유통기한</t>
  </si>
  <si>
    <t>제조 일자</t>
  </si>
  <si>
    <t>재고량</t>
  </si>
  <si>
    <t>잔여일</t>
  </si>
  <si>
    <t>판매가능까지 남은기간</t>
  </si>
  <si>
    <t>주별 소진 필요량</t>
  </si>
  <si>
    <t>이전 판매량</t>
  </si>
  <si>
    <t>전주 판매량</t>
  </si>
  <si>
    <t>추가 증가 필요량</t>
  </si>
  <si>
    <t xml:space="preserve"> 폐기 예상 수량</t>
  </si>
  <si>
    <t>Z:\Nutricia\99. Sales\송예진\3. 주간업무\뉴트리시아</t>
  </si>
  <si>
    <t>쿠팡, 이마트, 롯데마트 제외 판매량</t>
  </si>
  <si>
    <t>Pronutra 1</t>
  </si>
  <si>
    <t>쿠팡, 롯데마트 제외 판매량</t>
  </si>
  <si>
    <t>Pronutra 2</t>
  </si>
  <si>
    <t>Pronutra 3</t>
  </si>
  <si>
    <t>Profutura Duo 1</t>
  </si>
  <si>
    <t>Profutura Duo 2</t>
  </si>
  <si>
    <t>Profutura Duo 3</t>
  </si>
  <si>
    <t>입고 가능 일수</t>
  </si>
  <si>
    <t>오프라인 납품 기일</t>
  </si>
  <si>
    <t>롯데마트</t>
  </si>
  <si>
    <t>쿠팡</t>
  </si>
  <si>
    <t>컬리</t>
  </si>
  <si>
    <t>네오케이트</t>
  </si>
  <si>
    <t>Z:\Nutricia\99. Sales\송예진\3. 주간업무\한독</t>
  </si>
  <si>
    <t>듀오칼</t>
  </si>
  <si>
    <t>인파트리니</t>
  </si>
  <si>
    <t>펩티시네오</t>
  </si>
  <si>
    <t>펩티 판매 가능 기간  3개월로 변경</t>
  </si>
  <si>
    <t>* 직구</t>
  </si>
  <si>
    <t>10/6~10/19</t>
  </si>
  <si>
    <t>10/13~10/26</t>
  </si>
  <si>
    <t>추가 판매 필요량</t>
  </si>
  <si>
    <t>쇼트 예정 월</t>
  </si>
  <si>
    <t>입고 예정</t>
  </si>
  <si>
    <t>11월?</t>
  </si>
  <si>
    <t>전량 폐기</t>
  </si>
  <si>
    <t>7월말? 8월?</t>
  </si>
  <si>
    <t>*홍콩 폐기 진행시 예상 비용</t>
  </si>
  <si>
    <t>*국내 폐기 진행시 예상 비용</t>
  </si>
  <si>
    <t>폐기 예상 수량:</t>
  </si>
  <si>
    <t>1,600캔 내외 (2.8 PLT)</t>
  </si>
  <si>
    <t>폐기 비용:</t>
  </si>
  <si>
    <t>PLT당 500~550 HKD</t>
  </si>
  <si>
    <t>40~50만원</t>
  </si>
  <si>
    <t>운송비(홍콩내륙):</t>
  </si>
  <si>
    <t>kg당 , 1HKD</t>
  </si>
  <si>
    <t>운송비(홍콩-한국):</t>
  </si>
  <si>
    <t>250만원 예상</t>
  </si>
  <si>
    <t>HKD</t>
  </si>
  <si>
    <t>KRW</t>
  </si>
  <si>
    <t>※ 수입 통관 문제 해결 필요.</t>
  </si>
  <si>
    <t>폐기 비용</t>
  </si>
  <si>
    <t>운송비</t>
  </si>
  <si>
    <t>* 중국 물류 테스트 오후 발송</t>
  </si>
  <si>
    <t>Order Number</t>
  </si>
  <si>
    <t>수신인</t>
  </si>
  <si>
    <t>전화번호</t>
  </si>
  <si>
    <t>고유 통관번호</t>
  </si>
  <si>
    <t>품명</t>
  </si>
  <si>
    <t>소요기간</t>
  </si>
  <si>
    <t>송장번호</t>
  </si>
  <si>
    <t>주문일</t>
  </si>
  <si>
    <t>발송일</t>
  </si>
  <si>
    <t>편명</t>
  </si>
  <si>
    <t>연태공항 출발</t>
  </si>
  <si>
    <t>인천공항 도착</t>
  </si>
  <si>
    <t>수입신고일</t>
  </si>
  <si>
    <t>수입신고 완료</t>
  </si>
  <si>
    <t>택배사 연결</t>
  </si>
  <si>
    <t>도착</t>
  </si>
  <si>
    <t>비고</t>
  </si>
  <si>
    <t>20240510_test1</t>
  </si>
  <si>
    <t>김영훈</t>
  </si>
  <si>
    <t>010-2612-4705</t>
  </si>
  <si>
    <t>P931160082310</t>
  </si>
  <si>
    <t>Aptamil Pronutra 2</t>
  </si>
  <si>
    <t>제주항공 7C9304</t>
  </si>
  <si>
    <t>5/15 부처님오신날 연휴</t>
  </si>
  <si>
    <t>20240510_test2</t>
  </si>
  <si>
    <t>박효진</t>
  </si>
  <si>
    <t>010-4417-0648</t>
  </si>
  <si>
    <t>P230005806137</t>
  </si>
  <si>
    <t>Aptamil Profutra 1</t>
  </si>
  <si>
    <t>5/18~19 주말</t>
  </si>
  <si>
    <t>20240510_test3</t>
  </si>
  <si>
    <t>강병현</t>
  </si>
  <si>
    <t>010-7156-5218</t>
  </si>
  <si>
    <t>P200017064720</t>
  </si>
  <si>
    <t>Aptamil Profutra 2</t>
  </si>
  <si>
    <t>*물류 테스트 추가 발송 예정건(오전발송)</t>
  </si>
  <si>
    <t>20240522_test1</t>
  </si>
  <si>
    <t>Aptamil Pronutra 1</t>
  </si>
  <si>
    <t>Central항공 I98809</t>
  </si>
  <si>
    <t>20240522_test2</t>
  </si>
  <si>
    <t>중국, 홍콩 배송일정 비교</t>
  </si>
  <si>
    <t>공항 출발</t>
  </si>
  <si>
    <t>인천 도착</t>
  </si>
  <si>
    <t>수입신고</t>
  </si>
  <si>
    <t>배송완료</t>
  </si>
  <si>
    <t>홍콩</t>
  </si>
  <si>
    <t>+1</t>
  </si>
  <si>
    <t>+1.66</t>
  </si>
  <si>
    <t>+3</t>
  </si>
  <si>
    <t>중국</t>
  </si>
  <si>
    <t>+0.05</t>
  </si>
  <si>
    <t>+0.52</t>
  </si>
  <si>
    <t>+1.14</t>
  </si>
  <si>
    <t>+2.30</t>
  </si>
  <si>
    <t>월</t>
  </si>
  <si>
    <t>주차</t>
  </si>
  <si>
    <t>일정</t>
  </si>
  <si>
    <t>10월</t>
  </si>
  <si>
    <t>7월~9월</t>
  </si>
  <si>
    <t>-</t>
  </si>
  <si>
    <t>무역서류 협의 완료, 포장 박스 금형 제작 완료.</t>
  </si>
  <si>
    <t>일</t>
  </si>
  <si>
    <t>화</t>
  </si>
  <si>
    <t>수</t>
  </si>
  <si>
    <t>목</t>
  </si>
  <si>
    <t>금</t>
  </si>
  <si>
    <t>토</t>
  </si>
  <si>
    <t>1~4주차</t>
  </si>
  <si>
    <t>물류 창고 전산 작업 완료, API 연동 작업 완료. 폐기 작업 진행.</t>
  </si>
  <si>
    <t>5주차</t>
  </si>
  <si>
    <t>1차 재고 이관</t>
  </si>
  <si>
    <t>현재고 중 2주분 판매량을 제외한 재고 + 최신 입고분 재고 이관</t>
  </si>
  <si>
    <t>11월</t>
  </si>
  <si>
    <t>1주차</t>
  </si>
  <si>
    <t>중국 출고 시작</t>
  </si>
  <si>
    <t>2주차</t>
  </si>
  <si>
    <t>2차 재고 이관</t>
  </si>
  <si>
    <t>잔량 이관진행</t>
  </si>
  <si>
    <t>4주차</t>
  </si>
  <si>
    <t>중국 입고 시작</t>
  </si>
  <si>
    <t>9월 말 선적 건 부터 입고 시작</t>
  </si>
  <si>
    <t>6월 선적분 홍콩 입고</t>
  </si>
  <si>
    <t>* 이관 예정 수량 파악(9/25 기준)</t>
  </si>
  <si>
    <t>9/24 기준</t>
  </si>
  <si>
    <t>~10/31</t>
  </si>
  <si>
    <t>월 평균</t>
  </si>
  <si>
    <t>10월 말일자 
예상 재고</t>
  </si>
  <si>
    <t>파렛트</t>
  </si>
  <si>
    <t>10/28~11/2</t>
  </si>
  <si>
    <t>11/5~11/9</t>
  </si>
  <si>
    <t>1차이관수량</t>
  </si>
  <si>
    <t>1차 이관 파렛트</t>
  </si>
  <si>
    <t>2차 이관 수량</t>
  </si>
  <si>
    <t>2차 이관 파렛트</t>
  </si>
  <si>
    <t>Pronutra pre</t>
  </si>
  <si>
    <t>Profutra Pre</t>
  </si>
  <si>
    <t>Profutra 1</t>
  </si>
  <si>
    <t>Profutra 2</t>
  </si>
  <si>
    <t>Profutra Kinder</t>
  </si>
  <si>
    <t>총계</t>
  </si>
  <si>
    <t>사용 차량 수</t>
  </si>
  <si>
    <t>입고 처리 일수</t>
  </si>
  <si>
    <t>7월 출고 박스 수량 예상</t>
  </si>
  <si>
    <t>캔수</t>
  </si>
  <si>
    <t>비율</t>
  </si>
  <si>
    <t>박스 수</t>
  </si>
  <si>
    <t>6박스</t>
  </si>
  <si>
    <t>4박스</t>
  </si>
  <si>
    <t>3박스</t>
  </si>
  <si>
    <t>*포장 비용 예상</t>
  </si>
  <si>
    <t>적용환율:</t>
  </si>
  <si>
    <t>장마 대비 외박스 포장</t>
  </si>
  <si>
    <t>단가</t>
  </si>
  <si>
    <t>청구단위</t>
  </si>
  <si>
    <t>청구수량</t>
  </si>
  <si>
    <t>금액(원)</t>
  </si>
  <si>
    <t>박스(CTN)</t>
  </si>
  <si>
    <t>7월(예상)</t>
  </si>
  <si>
    <t>총 계</t>
  </si>
  <si>
    <t>중국 캔당 비용</t>
  </si>
  <si>
    <t>+VAT</t>
  </si>
  <si>
    <t>7월</t>
  </si>
  <si>
    <t>9월</t>
  </si>
  <si>
    <t>홍콩 캔당 비용</t>
  </si>
  <si>
    <t>차액</t>
  </si>
  <si>
    <t>절감 예상액</t>
  </si>
  <si>
    <t>비용절감</t>
  </si>
  <si>
    <t>중국창고 이관시 비용 (3/24 재고 기준)</t>
  </si>
  <si>
    <t>완파렛트</t>
  </si>
  <si>
    <t>이전 예상 비용</t>
  </si>
  <si>
    <t>RMB 436,700</t>
  </si>
  <si>
    <t>기준일</t>
  </si>
  <si>
    <t>※ 내수</t>
  </si>
  <si>
    <t>현 재고</t>
  </si>
  <si>
    <t>판매가능일자</t>
  </si>
  <si>
    <t>온라인 판매가능 잔여주차</t>
  </si>
  <si>
    <t>온라인 주별 평균 판매량</t>
  </si>
  <si>
    <t>전주 폐기 예상 수량</t>
  </si>
  <si>
    <t>폐기 예상 수량</t>
  </si>
  <si>
    <t>주별 추가 판매 필요량</t>
  </si>
  <si>
    <t>프로누트라 1단계</t>
  </si>
  <si>
    <t>프로누트라 2단계</t>
  </si>
  <si>
    <t>프로누트라 3단계</t>
  </si>
  <si>
    <t>프로푸트라 1단계</t>
  </si>
  <si>
    <t>프로푸트라 2단계</t>
  </si>
  <si>
    <t>프로푸트라 3단계</t>
  </si>
  <si>
    <t>※ 판매량</t>
  </si>
  <si>
    <t>1W</t>
  </si>
  <si>
    <t>온라인</t>
  </si>
  <si>
    <t>2W</t>
  </si>
  <si>
    <t>3W</t>
  </si>
  <si>
    <t>4W</t>
  </si>
  <si>
    <t>이마트-온라인</t>
  </si>
  <si>
    <t>이마트-ssg</t>
  </si>
  <si>
    <t>이마트-오프라인</t>
  </si>
  <si>
    <t>현재 납품 중 유통기한</t>
  </si>
  <si>
    <t>#N/A</t>
  </si>
  <si>
    <t>#REF!</t>
  </si>
  <si>
    <r>
      <t>12</t>
    </r>
    <r>
      <rPr>
        <sz val="10"/>
        <color theme="1"/>
        <rFont val="맑은 고딕"/>
        <family val="2"/>
        <charset val="129"/>
      </rPr>
      <t>월 이전 물량</t>
    </r>
    <phoneticPr fontId="63" type="noConversion"/>
  </si>
  <si>
    <r>
      <t>10</t>
    </r>
    <r>
      <rPr>
        <sz val="10"/>
        <color theme="1"/>
        <rFont val="맑은 고딕"/>
        <family val="2"/>
        <charset val="129"/>
      </rPr>
      <t>월 생산</t>
    </r>
    <phoneticPr fontId="63" type="noConversion"/>
  </si>
  <si>
    <r>
      <t>11</t>
    </r>
    <r>
      <rPr>
        <sz val="10"/>
        <color theme="1"/>
        <rFont val="맑은 고딕"/>
        <family val="2"/>
        <charset val="129"/>
      </rPr>
      <t>월 생산</t>
    </r>
    <phoneticPr fontId="63" type="noConversion"/>
  </si>
  <si>
    <r>
      <t>12</t>
    </r>
    <r>
      <rPr>
        <sz val="10"/>
        <color theme="1"/>
        <rFont val="맑은 고딕"/>
        <family val="2"/>
        <charset val="129"/>
      </rPr>
      <t>월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생산</t>
    </r>
    <phoneticPr fontId="63" type="noConversion"/>
  </si>
  <si>
    <r>
      <t>1</t>
    </r>
    <r>
      <rPr>
        <sz val="10"/>
        <color theme="1"/>
        <rFont val="맑은 고딕"/>
        <family val="2"/>
        <charset val="129"/>
      </rPr>
      <t>월 생산</t>
    </r>
    <phoneticPr fontId="63" type="noConversion"/>
  </si>
  <si>
    <r>
      <t>2</t>
    </r>
    <r>
      <rPr>
        <sz val="10"/>
        <color theme="1"/>
        <rFont val="맑은 고딕"/>
        <family val="2"/>
        <charset val="129"/>
      </rPr>
      <t>월 생산</t>
    </r>
    <phoneticPr fontId="63" type="noConversion"/>
  </si>
  <si>
    <r>
      <t>1</t>
    </r>
    <r>
      <rPr>
        <sz val="10"/>
        <color theme="1"/>
        <rFont val="맑은 고딕"/>
        <family val="2"/>
        <charset val="129"/>
      </rPr>
      <t>월 결제</t>
    </r>
    <phoneticPr fontId="63" type="noConversion"/>
  </si>
  <si>
    <t>금액</t>
    <phoneticPr fontId="63" type="noConversion"/>
  </si>
  <si>
    <t>May.</t>
    <phoneticPr fontId="63" type="noConversion"/>
  </si>
  <si>
    <t>캔당 유로가</t>
    <phoneticPr fontId="63" type="noConversion"/>
  </si>
  <si>
    <t>박스당 유로가</t>
    <phoneticPr fontId="63" type="noConversion"/>
  </si>
  <si>
    <t>Stock Transfer</t>
    <phoneticPr fontId="63" type="noConversion"/>
  </si>
  <si>
    <t>Dec.</t>
    <phoneticPr fontId="63" type="noConversion"/>
  </si>
  <si>
    <t>Suggested</t>
    <phoneticPr fontId="63" type="noConversion"/>
  </si>
  <si>
    <r>
      <t>11</t>
    </r>
    <r>
      <rPr>
        <sz val="10"/>
        <color theme="1"/>
        <rFont val="맑은 고딕"/>
        <family val="2"/>
        <charset val="129"/>
      </rPr>
      <t xml:space="preserve">월 </t>
    </r>
    <r>
      <rPr>
        <sz val="10"/>
        <color theme="1"/>
        <rFont val="Calibri"/>
        <family val="2"/>
        <scheme val="minor"/>
      </rPr>
      <t>shipout</t>
    </r>
    <phoneticPr fontId="63" type="noConversion"/>
  </si>
  <si>
    <r>
      <t>12</t>
    </r>
    <r>
      <rPr>
        <sz val="10"/>
        <color theme="1"/>
        <rFont val="맑은 고딕"/>
        <family val="2"/>
        <charset val="129"/>
      </rPr>
      <t xml:space="preserve">월 </t>
    </r>
    <r>
      <rPr>
        <sz val="10"/>
        <color theme="1"/>
        <rFont val="Calibri"/>
        <family val="2"/>
        <scheme val="minor"/>
      </rPr>
      <t>shipout</t>
    </r>
    <phoneticPr fontId="63" type="noConversion"/>
  </si>
  <si>
    <r>
      <t>1</t>
    </r>
    <r>
      <rPr>
        <sz val="10"/>
        <color theme="1"/>
        <rFont val="맑은 고딕"/>
        <family val="2"/>
        <charset val="129"/>
      </rPr>
      <t xml:space="preserve">월 </t>
    </r>
    <r>
      <rPr>
        <sz val="10"/>
        <color theme="1"/>
        <rFont val="Calibri"/>
        <family val="2"/>
        <scheme val="minor"/>
      </rPr>
      <t>shipout</t>
    </r>
    <phoneticPr fontId="63" type="noConversion"/>
  </si>
  <si>
    <r>
      <rPr>
        <sz val="10"/>
        <color theme="1"/>
        <rFont val="맑은 고딕"/>
        <family val="2"/>
        <charset val="129"/>
      </rPr>
      <t>2월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결제</t>
    </r>
    <phoneticPr fontId="63" type="noConversion"/>
  </si>
  <si>
    <t>1월 결제</t>
    <phoneticPr fontId="63" type="noConversion"/>
  </si>
  <si>
    <t>12월 결제</t>
    <phoneticPr fontId="63" type="noConversion"/>
  </si>
  <si>
    <r>
      <rPr>
        <sz val="10"/>
        <color theme="1"/>
        <rFont val="맑은 고딕"/>
        <family val="2"/>
        <charset val="129"/>
      </rPr>
      <t xml:space="preserve">2월 </t>
    </r>
    <r>
      <rPr>
        <sz val="10"/>
        <color theme="1"/>
        <rFont val="Calibri"/>
        <family val="2"/>
        <scheme val="minor"/>
      </rPr>
      <t>shipout</t>
    </r>
    <phoneticPr fontId="63" type="noConversion"/>
  </si>
  <si>
    <r>
      <rPr>
        <sz val="10"/>
        <color theme="1"/>
        <rFont val="맑은 고딕"/>
        <family val="2"/>
        <charset val="129"/>
      </rPr>
      <t xml:space="preserve">3월 </t>
    </r>
    <r>
      <rPr>
        <sz val="10"/>
        <color theme="1"/>
        <rFont val="Calibri"/>
        <family val="2"/>
        <scheme val="minor"/>
      </rPr>
      <t>shipout</t>
    </r>
    <phoneticPr fontId="63" type="noConversion"/>
  </si>
  <si>
    <t>3월 결제</t>
    <phoneticPr fontId="63" type="noConversion"/>
  </si>
  <si>
    <t>4월 결제</t>
    <phoneticPr fontId="63" type="noConversion"/>
  </si>
  <si>
    <r>
      <t>12</t>
    </r>
    <r>
      <rPr>
        <sz val="10"/>
        <color theme="1"/>
        <rFont val="맑은 고딕"/>
        <family val="2"/>
        <charset val="129"/>
      </rPr>
      <t>월</t>
    </r>
    <r>
      <rPr>
        <sz val="10"/>
        <color theme="1"/>
        <rFont val="Calibri"/>
        <family val="2"/>
        <scheme val="minor"/>
      </rPr>
      <t xml:space="preserve"> transfer</t>
    </r>
    <phoneticPr fontId="63" type="noConversion"/>
  </si>
  <si>
    <t>1PT</t>
    <phoneticPr fontId="63" type="noConversion"/>
  </si>
  <si>
    <t>1TU</t>
    <phoneticPr fontId="63" type="noConversion"/>
  </si>
  <si>
    <t>CU</t>
    <phoneticPr fontId="63" type="noConversion"/>
  </si>
  <si>
    <t>엘리멘탈</t>
    <phoneticPr fontId="63" type="noConversion"/>
  </si>
  <si>
    <t>인파트리니</t>
    <phoneticPr fontId="63" type="noConversion"/>
  </si>
  <si>
    <t>TU</t>
    <phoneticPr fontId="63" type="noConversion"/>
  </si>
  <si>
    <t>엘리멘탈 바나나</t>
    <phoneticPr fontId="63" type="noConversion"/>
  </si>
  <si>
    <t>June.</t>
    <phoneticPr fontId="6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</si>
</sst>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&quot;환율 기준: &quot;0,000.00"/>
    <numFmt numFmtId="178" formatCode="_-* #,##0_-;\-* #,##0_-;_-* &quot;-&quot;_-;_-@"/>
    <numFmt numFmtId="179" formatCode="[$₩-412]#,##0.00"/>
    <numFmt numFmtId="180" formatCode="0.0"/>
    <numFmt numFmtId="181" formatCode="#,##0.0_);[Red]\(#,##0.0\)"/>
    <numFmt numFmtId="182" formatCode="yyyy\-mm\-dd"/>
    <numFmt numFmtId="183" formatCode="&quot;€&quot;#,##0.00"/>
    <numFmt numFmtId="184" formatCode="m/d"/>
    <numFmt numFmtId="185" formatCode="yyyy\-mm"/>
    <numFmt numFmtId="186" formatCode="yyyy\-m"/>
    <numFmt numFmtId="187" formatCode="[$€]#,##0.00"/>
    <numFmt numFmtId="188" formatCode="#,##0&quot;일&quot;"/>
    <numFmt numFmtId="189" formatCode="m&quot;월&quot;\ d&quot;일&quot;"/>
    <numFmt numFmtId="190" formatCode="&quot;₩&quot;#,##0.00"/>
    <numFmt numFmtId="191" formatCode="[$₩-412]#,##0"/>
    <numFmt numFmtId="192" formatCode="0_);[Red]\(0\)"/>
    <numFmt numFmtId="193" formatCode="#,##0.0"/>
  </numFmts>
  <fonts count="71">
    <font>
      <sz val="10"/>
      <color rgb="FF000000"/>
      <name val="Calibri"/>
      <scheme val="minor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sz val="10"/>
      <color theme="1"/>
      <name val="Arial"/>
      <family val="2"/>
    </font>
    <font>
      <sz val="1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10"/>
      <color theme="1"/>
      <name val="Calibri"/>
      <family val="2"/>
      <scheme val="minor"/>
    </font>
    <font>
      <b/>
      <i/>
      <sz val="8"/>
      <color rgb="FFA5A5A5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FF0000"/>
      <name val="&quot;맑은 고딕&quot;"/>
      <family val="3"/>
      <charset val="129"/>
    </font>
    <font>
      <sz val="10"/>
      <color rgb="FF000000"/>
      <name val="Calibri"/>
      <family val="2"/>
    </font>
    <font>
      <b/>
      <sz val="10"/>
      <color rgb="FF000000"/>
      <name val="Arial"/>
      <family val="2"/>
    </font>
    <font>
      <sz val="10"/>
      <color theme="1"/>
      <name val="돋움"/>
      <family val="3"/>
      <charset val="129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&quot;맑은 고딕&quot;"/>
      <family val="3"/>
      <charset val="129"/>
    </font>
    <font>
      <i/>
      <sz val="9"/>
      <color rgb="FF000000"/>
      <name val="Arial"/>
      <family val="2"/>
    </font>
    <font>
      <b/>
      <i/>
      <sz val="9"/>
      <color rgb="FFFF0000"/>
      <name val="Arial"/>
      <family val="2"/>
    </font>
    <font>
      <b/>
      <i/>
      <sz val="9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&quot;Calibri Light&quot;"/>
    </font>
    <font>
      <sz val="10"/>
      <color rgb="FF000000"/>
      <name val="&quot;맑은 고딕&quot;"/>
      <family val="3"/>
      <charset val="129"/>
    </font>
    <font>
      <b/>
      <sz val="13"/>
      <color rgb="FF000000"/>
      <name val="Arial"/>
      <family val="2"/>
    </font>
    <font>
      <b/>
      <sz val="9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0000"/>
      <name val="&quot;Arial Unicode MS&quot;"/>
    </font>
    <font>
      <b/>
      <i/>
      <sz val="8"/>
      <color rgb="FFA6A6A6"/>
      <name val="Arial"/>
      <family val="2"/>
    </font>
    <font>
      <i/>
      <sz val="9"/>
      <color rgb="FFFF0000"/>
      <name val="Arial"/>
      <family val="2"/>
    </font>
    <font>
      <sz val="12"/>
      <color rgb="FF212529"/>
      <name val="&quot;맑은 고딕&quot;"/>
      <family val="3"/>
      <charset val="129"/>
    </font>
    <font>
      <b/>
      <sz val="12"/>
      <color rgb="FF212529"/>
      <name val="-apple-system"/>
    </font>
    <font>
      <sz val="12"/>
      <color rgb="FF212529"/>
      <name val="-apple-system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&quot;맑은 고딕&quot;"/>
      <family val="3"/>
      <charset val="129"/>
    </font>
    <font>
      <sz val="10"/>
      <color rgb="FF000000"/>
      <name val="Aptos"/>
      <family val="2"/>
    </font>
    <font>
      <b/>
      <sz val="13"/>
      <color theme="1"/>
      <name val="Calibri"/>
      <family val="2"/>
      <scheme val="minor"/>
    </font>
    <font>
      <sz val="11"/>
      <color rgb="FFFF0000"/>
      <name val="&quot;Calibri Light&quot;"/>
    </font>
    <font>
      <strike/>
      <sz val="12"/>
      <color rgb="FF212529"/>
      <name val="&quot;Segoe UI&quot;"/>
    </font>
    <font>
      <strike/>
      <sz val="12"/>
      <color rgb="FF212529"/>
      <name val="Arial"/>
      <family val="2"/>
    </font>
    <font>
      <strike/>
      <sz val="10"/>
      <color theme="1"/>
      <name val="Calibri"/>
      <family val="2"/>
      <scheme val="minor"/>
    </font>
    <font>
      <sz val="12"/>
      <color rgb="FF212529"/>
      <name val="&quot;Segoe UI&quot;"/>
    </font>
    <font>
      <sz val="12"/>
      <color rgb="FF212529"/>
      <name val="Arial"/>
      <family val="2"/>
    </font>
    <font>
      <sz val="12"/>
      <color rgb="FF212529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&quot;맑은 고딕&quot;"/>
      <family val="3"/>
      <charset val="129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&quot;맑은 고딕&quot;"/>
      <family val="3"/>
      <charset val="129"/>
    </font>
    <font>
      <b/>
      <sz val="11"/>
      <color rgb="FF000000"/>
      <name val="Calibri"/>
      <family val="2"/>
    </font>
    <font>
      <b/>
      <sz val="15"/>
      <color rgb="FF000000"/>
      <name val="&quot;맑은 고딕&quot;"/>
      <family val="3"/>
      <charset val="129"/>
    </font>
    <font>
      <b/>
      <sz val="10"/>
      <color rgb="FF000000"/>
      <name val="&quot;맑은 고딕&quot;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Arial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name val="Arial"/>
      <family val="2"/>
    </font>
    <font>
      <b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EAD1DC"/>
        <bgColor rgb="FFEAD1DC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5A8AC6"/>
        <bgColor rgb="FF5A8AC6"/>
      </patternFill>
    </fill>
    <fill>
      <patternFill patternType="solid">
        <fgColor rgb="FFD0CECE"/>
        <bgColor rgb="FFD0CECE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CCCCCC"/>
        <bgColor rgb="FFCCCCCC"/>
      </patternFill>
    </fill>
    <fill>
      <patternFill patternType="solid">
        <fgColor rgb="FFD9E1F2"/>
        <bgColor rgb="FFD9E1F2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4F6F8"/>
        <bgColor rgb="FFF4F6F8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medium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medium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CC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62" fillId="0" borderId="0" applyFont="0" applyFill="0" applyBorder="0" applyAlignment="0" applyProtection="0">
      <alignment vertical="center"/>
    </xf>
  </cellStyleXfs>
  <cellXfs count="692">
    <xf numFmtId="0" fontId="0" fillId="0" borderId="0" xfId="0"/>
    <xf numFmtId="176" fontId="1" fillId="2" borderId="0" xfId="0" applyNumberFormat="1" applyFont="1" applyFill="1"/>
    <xf numFmtId="176" fontId="1" fillId="0" borderId="0" xfId="0" applyNumberFormat="1" applyFont="1"/>
    <xf numFmtId="176" fontId="2" fillId="0" borderId="0" xfId="0" applyNumberFormat="1" applyFont="1"/>
    <xf numFmtId="176" fontId="5" fillId="3" borderId="4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78" fontId="5" fillId="3" borderId="4" xfId="0" applyNumberFormat="1" applyFont="1" applyFill="1" applyBorder="1" applyAlignment="1">
      <alignment horizontal="right"/>
    </xf>
    <xf numFmtId="178" fontId="5" fillId="3" borderId="12" xfId="0" applyNumberFormat="1" applyFont="1" applyFill="1" applyBorder="1" applyAlignment="1">
      <alignment horizontal="right"/>
    </xf>
    <xf numFmtId="178" fontId="5" fillId="3" borderId="7" xfId="0" applyNumberFormat="1" applyFont="1" applyFill="1" applyBorder="1" applyAlignment="1">
      <alignment horizontal="right"/>
    </xf>
    <xf numFmtId="178" fontId="5" fillId="3" borderId="17" xfId="0" applyNumberFormat="1" applyFont="1" applyFill="1" applyBorder="1" applyAlignment="1">
      <alignment horizontal="right"/>
    </xf>
    <xf numFmtId="1" fontId="9" fillId="0" borderId="0" xfId="0" applyNumberFormat="1" applyFont="1"/>
    <xf numFmtId="176" fontId="5" fillId="8" borderId="4" xfId="0" applyNumberFormat="1" applyFont="1" applyFill="1" applyBorder="1" applyAlignment="1">
      <alignment horizontal="center"/>
    </xf>
    <xf numFmtId="176" fontId="5" fillId="8" borderId="5" xfId="0" applyNumberFormat="1" applyFont="1" applyFill="1" applyBorder="1" applyAlignment="1">
      <alignment horizontal="center"/>
    </xf>
    <xf numFmtId="3" fontId="11" fillId="0" borderId="4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19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176" fontId="14" fillId="2" borderId="0" xfId="0" applyNumberFormat="1" applyFont="1" applyFill="1"/>
    <xf numFmtId="176" fontId="5" fillId="8" borderId="4" xfId="0" applyNumberFormat="1" applyFont="1" applyFill="1" applyBorder="1" applyAlignment="1">
      <alignment horizontal="right"/>
    </xf>
    <xf numFmtId="0" fontId="5" fillId="8" borderId="7" xfId="0" applyFont="1" applyFill="1" applyBorder="1" applyAlignment="1">
      <alignment horizontal="center"/>
    </xf>
    <xf numFmtId="180" fontId="11" fillId="10" borderId="4" xfId="0" applyNumberFormat="1" applyFont="1" applyFill="1" applyBorder="1" applyAlignment="1">
      <alignment horizontal="right"/>
    </xf>
    <xf numFmtId="180" fontId="11" fillId="10" borderId="12" xfId="0" applyNumberFormat="1" applyFont="1" applyFill="1" applyBorder="1" applyAlignment="1">
      <alignment horizontal="right"/>
    </xf>
    <xf numFmtId="180" fontId="11" fillId="10" borderId="19" xfId="0" applyNumberFormat="1" applyFont="1" applyFill="1" applyBorder="1" applyAlignment="1">
      <alignment horizontal="right"/>
    </xf>
    <xf numFmtId="180" fontId="11" fillId="10" borderId="7" xfId="0" applyNumberFormat="1" applyFont="1" applyFill="1" applyBorder="1" applyAlignment="1">
      <alignment horizontal="right"/>
    </xf>
    <xf numFmtId="176" fontId="1" fillId="8" borderId="18" xfId="0" applyNumberFormat="1" applyFont="1" applyFill="1" applyBorder="1"/>
    <xf numFmtId="181" fontId="5" fillId="8" borderId="4" xfId="0" applyNumberFormat="1" applyFont="1" applyFill="1" applyBorder="1" applyAlignment="1">
      <alignment horizontal="right"/>
    </xf>
    <xf numFmtId="181" fontId="5" fillId="8" borderId="17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3" fontId="9" fillId="0" borderId="0" xfId="0" applyNumberFormat="1" applyFont="1"/>
    <xf numFmtId="0" fontId="9" fillId="9" borderId="0" xfId="0" applyFont="1" applyFill="1"/>
    <xf numFmtId="0" fontId="9" fillId="0" borderId="0" xfId="0" applyFont="1"/>
    <xf numFmtId="0" fontId="8" fillId="0" borderId="0" xfId="0" applyFont="1"/>
    <xf numFmtId="0" fontId="8" fillId="18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3" fontId="8" fillId="0" borderId="7" xfId="0" applyNumberFormat="1" applyFont="1" applyBorder="1" applyAlignment="1">
      <alignment horizontal="center"/>
    </xf>
    <xf numFmtId="3" fontId="8" fillId="0" borderId="19" xfId="0" applyNumberFormat="1" applyFont="1" applyBorder="1" applyAlignment="1">
      <alignment horizontal="center"/>
    </xf>
    <xf numFmtId="3" fontId="8" fillId="0" borderId="13" xfId="0" applyNumberFormat="1" applyFont="1" applyBorder="1" applyAlignment="1">
      <alignment horizontal="center"/>
    </xf>
    <xf numFmtId="3" fontId="8" fillId="0" borderId="15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7" xfId="0" applyFont="1" applyBorder="1"/>
    <xf numFmtId="0" fontId="8" fillId="18" borderId="7" xfId="0" applyFont="1" applyFill="1" applyBorder="1"/>
    <xf numFmtId="0" fontId="9" fillId="0" borderId="7" xfId="0" applyFont="1" applyBorder="1"/>
    <xf numFmtId="0" fontId="9" fillId="18" borderId="7" xfId="0" applyFont="1" applyFill="1" applyBorder="1"/>
    <xf numFmtId="0" fontId="11" fillId="4" borderId="11" xfId="0" applyFont="1" applyFill="1" applyBorder="1" applyAlignment="1">
      <alignment horizontal="center" vertical="center"/>
    </xf>
    <xf numFmtId="3" fontId="8" fillId="0" borderId="7" xfId="0" applyNumberFormat="1" applyFont="1" applyBorder="1" applyAlignment="1">
      <alignment horizontal="right"/>
    </xf>
    <xf numFmtId="3" fontId="8" fillId="19" borderId="7" xfId="0" applyNumberFormat="1" applyFont="1" applyFill="1" applyBorder="1" applyAlignment="1">
      <alignment horizontal="right"/>
    </xf>
    <xf numFmtId="0" fontId="9" fillId="19" borderId="7" xfId="0" applyFont="1" applyFill="1" applyBorder="1"/>
    <xf numFmtId="0" fontId="11" fillId="4" borderId="15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3" fontId="18" fillId="0" borderId="0" xfId="0" applyNumberFormat="1" applyFont="1" applyAlignment="1">
      <alignment horizontal="right"/>
    </xf>
    <xf numFmtId="0" fontId="9" fillId="0" borderId="7" xfId="0" applyFont="1" applyBorder="1" applyAlignment="1">
      <alignment horizontal="center"/>
    </xf>
    <xf numFmtId="0" fontId="16" fillId="4" borderId="18" xfId="0" applyFont="1" applyFill="1" applyBorder="1"/>
    <xf numFmtId="0" fontId="19" fillId="2" borderId="0" xfId="0" applyFont="1" applyFill="1"/>
    <xf numFmtId="0" fontId="20" fillId="2" borderId="0" xfId="0" applyFont="1" applyFill="1"/>
    <xf numFmtId="0" fontId="11" fillId="0" borderId="0" xfId="0" applyFont="1"/>
    <xf numFmtId="0" fontId="21" fillId="0" borderId="0" xfId="0" applyFont="1"/>
    <xf numFmtId="0" fontId="2" fillId="0" borderId="0" xfId="0" applyFont="1"/>
    <xf numFmtId="0" fontId="17" fillId="0" borderId="0" xfId="0" applyFont="1"/>
    <xf numFmtId="0" fontId="11" fillId="21" borderId="7" xfId="0" applyFont="1" applyFill="1" applyBorder="1" applyAlignment="1">
      <alignment horizontal="center"/>
    </xf>
    <xf numFmtId="3" fontId="11" fillId="0" borderId="12" xfId="0" applyNumberFormat="1" applyFont="1" applyBorder="1"/>
    <xf numFmtId="3" fontId="11" fillId="0" borderId="19" xfId="0" applyNumberFormat="1" applyFont="1" applyBorder="1"/>
    <xf numFmtId="3" fontId="11" fillId="0" borderId="7" xfId="0" applyNumberFormat="1" applyFont="1" applyBorder="1"/>
    <xf numFmtId="3" fontId="11" fillId="0" borderId="4" xfId="0" applyNumberFormat="1" applyFont="1" applyBorder="1"/>
    <xf numFmtId="0" fontId="11" fillId="22" borderId="7" xfId="0" applyFont="1" applyFill="1" applyBorder="1" applyAlignment="1">
      <alignment horizontal="center"/>
    </xf>
    <xf numFmtId="3" fontId="17" fillId="9" borderId="4" xfId="0" applyNumberFormat="1" applyFont="1" applyFill="1" applyBorder="1" applyAlignment="1">
      <alignment horizontal="right"/>
    </xf>
    <xf numFmtId="3" fontId="17" fillId="9" borderId="12" xfId="0" applyNumberFormat="1" applyFont="1" applyFill="1" applyBorder="1" applyAlignment="1">
      <alignment horizontal="right"/>
    </xf>
    <xf numFmtId="3" fontId="17" fillId="9" borderId="19" xfId="0" applyNumberFormat="1" applyFont="1" applyFill="1" applyBorder="1" applyAlignment="1">
      <alignment horizontal="right"/>
    </xf>
    <xf numFmtId="3" fontId="17" fillId="9" borderId="7" xfId="0" applyNumberFormat="1" applyFont="1" applyFill="1" applyBorder="1" applyAlignment="1">
      <alignment horizontal="right"/>
    </xf>
    <xf numFmtId="3" fontId="11" fillId="9" borderId="7" xfId="0" applyNumberFormat="1" applyFont="1" applyFill="1" applyBorder="1" applyAlignment="1">
      <alignment horizontal="right"/>
    </xf>
    <xf numFmtId="0" fontId="11" fillId="15" borderId="7" xfId="0" applyFont="1" applyFill="1" applyBorder="1" applyAlignment="1">
      <alignment horizontal="center"/>
    </xf>
    <xf numFmtId="0" fontId="11" fillId="7" borderId="7" xfId="0" applyFont="1" applyFill="1" applyBorder="1" applyAlignment="1">
      <alignment horizontal="center"/>
    </xf>
    <xf numFmtId="0" fontId="17" fillId="20" borderId="4" xfId="0" applyFont="1" applyFill="1" applyBorder="1" applyAlignment="1">
      <alignment horizontal="center"/>
    </xf>
    <xf numFmtId="3" fontId="17" fillId="20" borderId="4" xfId="0" applyNumberFormat="1" applyFont="1" applyFill="1" applyBorder="1" applyAlignment="1">
      <alignment horizontal="right"/>
    </xf>
    <xf numFmtId="3" fontId="17" fillId="20" borderId="12" xfId="0" applyNumberFormat="1" applyFont="1" applyFill="1" applyBorder="1" applyAlignment="1">
      <alignment horizontal="right"/>
    </xf>
    <xf numFmtId="3" fontId="17" fillId="20" borderId="7" xfId="0" applyNumberFormat="1" applyFont="1" applyFill="1" applyBorder="1" applyAlignment="1">
      <alignment horizontal="right"/>
    </xf>
    <xf numFmtId="3" fontId="17" fillId="20" borderId="17" xfId="0" applyNumberFormat="1" applyFont="1" applyFill="1" applyBorder="1" applyAlignment="1">
      <alignment horizontal="right"/>
    </xf>
    <xf numFmtId="0" fontId="20" fillId="0" borderId="0" xfId="0" applyFont="1"/>
    <xf numFmtId="0" fontId="17" fillId="0" borderId="0" xfId="0" applyFont="1" applyAlignment="1">
      <alignment horizontal="center"/>
    </xf>
    <xf numFmtId="176" fontId="5" fillId="4" borderId="4" xfId="0" applyNumberFormat="1" applyFont="1" applyFill="1" applyBorder="1" applyAlignment="1">
      <alignment horizontal="center"/>
    </xf>
    <xf numFmtId="176" fontId="5" fillId="4" borderId="5" xfId="0" applyNumberFormat="1" applyFont="1" applyFill="1" applyBorder="1" applyAlignment="1">
      <alignment horizontal="center"/>
    </xf>
    <xf numFmtId="176" fontId="5" fillId="4" borderId="19" xfId="0" applyNumberFormat="1" applyFont="1" applyFill="1" applyBorder="1" applyAlignment="1">
      <alignment horizontal="center"/>
    </xf>
    <xf numFmtId="0" fontId="17" fillId="21" borderId="7" xfId="0" applyFont="1" applyFill="1" applyBorder="1" applyAlignment="1">
      <alignment horizontal="center"/>
    </xf>
    <xf numFmtId="0" fontId="17" fillId="21" borderId="5" xfId="0" applyFont="1" applyFill="1" applyBorder="1" applyAlignment="1">
      <alignment horizontal="center"/>
    </xf>
    <xf numFmtId="3" fontId="11" fillId="0" borderId="7" xfId="0" applyNumberFormat="1" applyFont="1" applyBorder="1" applyAlignment="1">
      <alignment horizontal="right"/>
    </xf>
    <xf numFmtId="0" fontId="17" fillId="21" borderId="4" xfId="0" applyFont="1" applyFill="1" applyBorder="1" applyAlignment="1">
      <alignment horizontal="center"/>
    </xf>
    <xf numFmtId="3" fontId="17" fillId="21" borderId="4" xfId="0" applyNumberFormat="1" applyFont="1" applyFill="1" applyBorder="1" applyAlignment="1">
      <alignment horizontal="right"/>
    </xf>
    <xf numFmtId="3" fontId="17" fillId="21" borderId="17" xfId="0" applyNumberFormat="1" applyFont="1" applyFill="1" applyBorder="1" applyAlignment="1">
      <alignment horizontal="right"/>
    </xf>
    <xf numFmtId="3" fontId="17" fillId="21" borderId="7" xfId="0" applyNumberFormat="1" applyFont="1" applyFill="1" applyBorder="1" applyAlignment="1">
      <alignment horizontal="right"/>
    </xf>
    <xf numFmtId="0" fontId="22" fillId="0" borderId="0" xfId="0" applyFont="1"/>
    <xf numFmtId="0" fontId="23" fillId="2" borderId="0" xfId="0" applyFont="1" applyFill="1"/>
    <xf numFmtId="0" fontId="17" fillId="5" borderId="7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3" fontId="11" fillId="14" borderId="7" xfId="0" applyNumberFormat="1" applyFont="1" applyFill="1" applyBorder="1" applyAlignment="1">
      <alignment horizontal="right"/>
    </xf>
    <xf numFmtId="3" fontId="11" fillId="14" borderId="12" xfId="0" applyNumberFormat="1" applyFont="1" applyFill="1" applyBorder="1" applyAlignment="1">
      <alignment horizontal="right"/>
    </xf>
    <xf numFmtId="3" fontId="17" fillId="5" borderId="4" xfId="0" applyNumberFormat="1" applyFont="1" applyFill="1" applyBorder="1" applyAlignment="1">
      <alignment horizontal="right"/>
    </xf>
    <xf numFmtId="3" fontId="17" fillId="5" borderId="17" xfId="0" applyNumberFormat="1" applyFont="1" applyFill="1" applyBorder="1" applyAlignment="1">
      <alignment horizontal="right"/>
    </xf>
    <xf numFmtId="3" fontId="17" fillId="5" borderId="19" xfId="0" applyNumberFormat="1" applyFont="1" applyFill="1" applyBorder="1" applyAlignment="1">
      <alignment horizontal="right"/>
    </xf>
    <xf numFmtId="3" fontId="17" fillId="5" borderId="7" xfId="0" applyNumberFormat="1" applyFont="1" applyFill="1" applyBorder="1" applyAlignment="1">
      <alignment horizontal="right"/>
    </xf>
    <xf numFmtId="0" fontId="9" fillId="2" borderId="0" xfId="0" applyFont="1" applyFill="1"/>
    <xf numFmtId="0" fontId="17" fillId="5" borderId="19" xfId="0" applyFont="1" applyFill="1" applyBorder="1" applyAlignment="1">
      <alignment horizontal="center"/>
    </xf>
    <xf numFmtId="9" fontId="1" fillId="0" borderId="0" xfId="0" applyNumberFormat="1" applyFont="1"/>
    <xf numFmtId="0" fontId="1" fillId="23" borderId="0" xfId="0" applyFont="1" applyFill="1"/>
    <xf numFmtId="176" fontId="5" fillId="0" borderId="16" xfId="0" applyNumberFormat="1" applyFont="1" applyBorder="1" applyAlignment="1">
      <alignment horizontal="center"/>
    </xf>
    <xf numFmtId="176" fontId="5" fillId="0" borderId="0" xfId="0" applyNumberFormat="1" applyFont="1" applyAlignment="1">
      <alignment horizontal="center"/>
    </xf>
    <xf numFmtId="176" fontId="5" fillId="3" borderId="7" xfId="0" applyNumberFormat="1" applyFont="1" applyFill="1" applyBorder="1" applyAlignment="1">
      <alignment horizontal="center"/>
    </xf>
    <xf numFmtId="176" fontId="5" fillId="3" borderId="5" xfId="0" applyNumberFormat="1" applyFont="1" applyFill="1" applyBorder="1" applyAlignment="1">
      <alignment horizontal="center"/>
    </xf>
    <xf numFmtId="176" fontId="5" fillId="3" borderId="19" xfId="0" applyNumberFormat="1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176" fontId="3" fillId="4" borderId="11" xfId="0" applyNumberFormat="1" applyFont="1" applyFill="1" applyBorder="1" applyAlignment="1">
      <alignment horizontal="center"/>
    </xf>
    <xf numFmtId="3" fontId="6" fillId="14" borderId="7" xfId="0" applyNumberFormat="1" applyFont="1" applyFill="1" applyBorder="1" applyAlignment="1">
      <alignment horizontal="right"/>
    </xf>
    <xf numFmtId="3" fontId="6" fillId="14" borderId="7" xfId="0" applyNumberFormat="1" applyFont="1" applyFill="1" applyBorder="1"/>
    <xf numFmtId="3" fontId="6" fillId="2" borderId="4" xfId="0" applyNumberFormat="1" applyFont="1" applyFill="1" applyBorder="1"/>
    <xf numFmtId="3" fontId="6" fillId="2" borderId="12" xfId="0" applyNumberFormat="1" applyFont="1" applyFill="1" applyBorder="1"/>
    <xf numFmtId="0" fontId="6" fillId="2" borderId="19" xfId="0" applyFont="1" applyFill="1" applyBorder="1" applyAlignment="1">
      <alignment horizontal="right"/>
    </xf>
    <xf numFmtId="0" fontId="6" fillId="2" borderId="7" xfId="0" applyFont="1" applyFill="1" applyBorder="1" applyAlignment="1">
      <alignment horizontal="right"/>
    </xf>
    <xf numFmtId="178" fontId="6" fillId="0" borderId="7" xfId="0" applyNumberFormat="1" applyFont="1" applyBorder="1"/>
    <xf numFmtId="178" fontId="6" fillId="23" borderId="7" xfId="0" applyNumberFormat="1" applyFont="1" applyFill="1" applyBorder="1"/>
    <xf numFmtId="0" fontId="25" fillId="0" borderId="13" xfId="0" applyFont="1" applyBorder="1" applyAlignment="1">
      <alignment horizontal="center"/>
    </xf>
    <xf numFmtId="3" fontId="25" fillId="0" borderId="15" xfId="0" applyNumberFormat="1" applyFont="1" applyBorder="1" applyAlignment="1">
      <alignment horizontal="center"/>
    </xf>
    <xf numFmtId="3" fontId="26" fillId="24" borderId="9" xfId="0" applyNumberFormat="1" applyFont="1" applyFill="1" applyBorder="1"/>
    <xf numFmtId="3" fontId="26" fillId="24" borderId="9" xfId="0" applyNumberFormat="1" applyFont="1" applyFill="1" applyBorder="1" applyAlignment="1">
      <alignment horizontal="center"/>
    </xf>
    <xf numFmtId="3" fontId="6" fillId="14" borderId="4" xfId="0" applyNumberFormat="1" applyFont="1" applyFill="1" applyBorder="1"/>
    <xf numFmtId="3" fontId="6" fillId="2" borderId="12" xfId="0" applyNumberFormat="1" applyFont="1" applyFill="1" applyBorder="1" applyAlignment="1">
      <alignment horizontal="right"/>
    </xf>
    <xf numFmtId="0" fontId="6" fillId="2" borderId="19" xfId="0" applyFont="1" applyFill="1" applyBorder="1"/>
    <xf numFmtId="176" fontId="3" fillId="4" borderId="15" xfId="0" applyNumberFormat="1" applyFont="1" applyFill="1" applyBorder="1" applyAlignment="1">
      <alignment horizontal="center"/>
    </xf>
    <xf numFmtId="0" fontId="6" fillId="2" borderId="12" xfId="0" applyFont="1" applyFill="1" applyBorder="1" applyAlignment="1">
      <alignment horizontal="right"/>
    </xf>
    <xf numFmtId="0" fontId="6" fillId="2" borderId="7" xfId="0" applyFont="1" applyFill="1" applyBorder="1"/>
    <xf numFmtId="176" fontId="3" fillId="6" borderId="11" xfId="0" applyNumberFormat="1" applyFont="1" applyFill="1" applyBorder="1" applyAlignment="1">
      <alignment horizontal="center"/>
    </xf>
    <xf numFmtId="0" fontId="6" fillId="0" borderId="7" xfId="0" applyFont="1" applyBorder="1"/>
    <xf numFmtId="3" fontId="6" fillId="14" borderId="4" xfId="0" applyNumberFormat="1" applyFont="1" applyFill="1" applyBorder="1" applyAlignment="1">
      <alignment horizontal="right"/>
    </xf>
    <xf numFmtId="3" fontId="6" fillId="2" borderId="19" xfId="0" applyNumberFormat="1" applyFont="1" applyFill="1" applyBorder="1" applyAlignment="1">
      <alignment horizontal="right"/>
    </xf>
    <xf numFmtId="3" fontId="6" fillId="2" borderId="7" xfId="0" applyNumberFormat="1" applyFont="1" applyFill="1" applyBorder="1" applyAlignment="1">
      <alignment horizontal="right"/>
    </xf>
    <xf numFmtId="3" fontId="6" fillId="0" borderId="7" xfId="0" applyNumberFormat="1" applyFont="1" applyBorder="1"/>
    <xf numFmtId="0" fontId="6" fillId="14" borderId="7" xfId="0" applyFont="1" applyFill="1" applyBorder="1"/>
    <xf numFmtId="3" fontId="6" fillId="14" borderId="12" xfId="0" applyNumberFormat="1" applyFont="1" applyFill="1" applyBorder="1" applyAlignment="1">
      <alignment horizontal="right"/>
    </xf>
    <xf numFmtId="176" fontId="3" fillId="6" borderId="15" xfId="0" applyNumberFormat="1" applyFont="1" applyFill="1" applyBorder="1" applyAlignment="1">
      <alignment horizontal="center"/>
    </xf>
    <xf numFmtId="3" fontId="27" fillId="14" borderId="7" xfId="0" applyNumberFormat="1" applyFont="1" applyFill="1" applyBorder="1" applyAlignment="1">
      <alignment horizontal="right"/>
    </xf>
    <xf numFmtId="3" fontId="6" fillId="9" borderId="4" xfId="0" applyNumberFormat="1" applyFont="1" applyFill="1" applyBorder="1" applyAlignment="1">
      <alignment horizontal="right"/>
    </xf>
    <xf numFmtId="0" fontId="6" fillId="14" borderId="12" xfId="0" applyFont="1" applyFill="1" applyBorder="1"/>
    <xf numFmtId="178" fontId="5" fillId="3" borderId="19" xfId="0" applyNumberFormat="1" applyFont="1" applyFill="1" applyBorder="1" applyAlignment="1">
      <alignment horizontal="right"/>
    </xf>
    <xf numFmtId="176" fontId="1" fillId="0" borderId="16" xfId="0" applyNumberFormat="1" applyFont="1" applyBorder="1"/>
    <xf numFmtId="176" fontId="10" fillId="0" borderId="16" xfId="0" applyNumberFormat="1" applyFont="1" applyBorder="1" applyAlignment="1">
      <alignment horizontal="center"/>
    </xf>
    <xf numFmtId="176" fontId="10" fillId="0" borderId="0" xfId="0" applyNumberFormat="1" applyFont="1" applyAlignment="1">
      <alignment horizontal="center"/>
    </xf>
    <xf numFmtId="176" fontId="5" fillId="4" borderId="7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3" fontId="3" fillId="0" borderId="7" xfId="0" applyNumberFormat="1" applyFont="1" applyBorder="1" applyAlignment="1">
      <alignment horizontal="right"/>
    </xf>
    <xf numFmtId="176" fontId="3" fillId="0" borderId="7" xfId="0" applyNumberFormat="1" applyFont="1" applyBorder="1" applyAlignment="1">
      <alignment horizontal="right"/>
    </xf>
    <xf numFmtId="176" fontId="3" fillId="0" borderId="4" xfId="0" applyNumberFormat="1" applyFont="1" applyBorder="1" applyAlignment="1">
      <alignment horizontal="right"/>
    </xf>
    <xf numFmtId="176" fontId="3" fillId="0" borderId="12" xfId="0" applyNumberFormat="1" applyFont="1" applyBorder="1" applyAlignment="1">
      <alignment horizontal="right"/>
    </xf>
    <xf numFmtId="176" fontId="11" fillId="23" borderId="7" xfId="0" applyNumberFormat="1" applyFont="1" applyFill="1" applyBorder="1" applyAlignment="1">
      <alignment horizontal="center"/>
    </xf>
    <xf numFmtId="176" fontId="11" fillId="23" borderId="19" xfId="0" applyNumberFormat="1" applyFont="1" applyFill="1" applyBorder="1" applyAlignment="1">
      <alignment horizontal="center"/>
    </xf>
    <xf numFmtId="176" fontId="11" fillId="23" borderId="13" xfId="0" applyNumberFormat="1" applyFont="1" applyFill="1" applyBorder="1" applyAlignment="1">
      <alignment horizontal="center"/>
    </xf>
    <xf numFmtId="176" fontId="11" fillId="23" borderId="15" xfId="0" applyNumberFormat="1" applyFont="1" applyFill="1" applyBorder="1" applyAlignment="1">
      <alignment horizontal="center"/>
    </xf>
    <xf numFmtId="176" fontId="1" fillId="4" borderId="18" xfId="0" applyNumberFormat="1" applyFont="1" applyFill="1" applyBorder="1"/>
    <xf numFmtId="176" fontId="5" fillId="4" borderId="7" xfId="0" applyNumberFormat="1" applyFont="1" applyFill="1" applyBorder="1" applyAlignment="1">
      <alignment horizontal="right"/>
    </xf>
    <xf numFmtId="176" fontId="5" fillId="4" borderId="4" xfId="0" applyNumberFormat="1" applyFont="1" applyFill="1" applyBorder="1" applyAlignment="1">
      <alignment horizontal="right"/>
    </xf>
    <xf numFmtId="176" fontId="5" fillId="4" borderId="17" xfId="0" applyNumberFormat="1" applyFont="1" applyFill="1" applyBorder="1" applyAlignment="1">
      <alignment horizontal="right"/>
    </xf>
    <xf numFmtId="176" fontId="5" fillId="4" borderId="19" xfId="0" applyNumberFormat="1" applyFont="1" applyFill="1" applyBorder="1" applyAlignment="1">
      <alignment horizontal="right"/>
    </xf>
    <xf numFmtId="176" fontId="11" fillId="2" borderId="24" xfId="0" applyNumberFormat="1" applyFont="1" applyFill="1" applyBorder="1"/>
    <xf numFmtId="176" fontId="5" fillId="8" borderId="13" xfId="0" applyNumberFormat="1" applyFont="1" applyFill="1" applyBorder="1" applyAlignment="1">
      <alignment horizontal="center"/>
    </xf>
    <xf numFmtId="176" fontId="5" fillId="8" borderId="18" xfId="0" applyNumberFormat="1" applyFont="1" applyFill="1" applyBorder="1" applyAlignment="1">
      <alignment horizontal="center"/>
    </xf>
    <xf numFmtId="176" fontId="5" fillId="8" borderId="15" xfId="0" applyNumberFormat="1" applyFont="1" applyFill="1" applyBorder="1" applyAlignment="1">
      <alignment horizontal="center"/>
    </xf>
    <xf numFmtId="3" fontId="11" fillId="2" borderId="24" xfId="0" applyNumberFormat="1" applyFont="1" applyFill="1" applyBorder="1" applyAlignment="1">
      <alignment horizontal="right"/>
    </xf>
    <xf numFmtId="176" fontId="11" fillId="2" borderId="24" xfId="0" applyNumberFormat="1" applyFont="1" applyFill="1" applyBorder="1" applyAlignment="1">
      <alignment horizontal="right"/>
    </xf>
    <xf numFmtId="176" fontId="3" fillId="4" borderId="20" xfId="0" applyNumberFormat="1" applyFont="1" applyFill="1" applyBorder="1" applyAlignment="1">
      <alignment horizontal="center"/>
    </xf>
    <xf numFmtId="178" fontId="6" fillId="14" borderId="11" xfId="0" applyNumberFormat="1" applyFont="1" applyFill="1" applyBorder="1" applyAlignment="1">
      <alignment horizontal="right"/>
    </xf>
    <xf numFmtId="176" fontId="3" fillId="4" borderId="16" xfId="0" applyNumberFormat="1" applyFont="1" applyFill="1" applyBorder="1" applyAlignment="1">
      <alignment horizontal="center"/>
    </xf>
    <xf numFmtId="176" fontId="3" fillId="6" borderId="20" xfId="0" applyNumberFormat="1" applyFont="1" applyFill="1" applyBorder="1" applyAlignment="1">
      <alignment horizontal="center"/>
    </xf>
    <xf numFmtId="176" fontId="3" fillId="6" borderId="16" xfId="0" applyNumberFormat="1" applyFont="1" applyFill="1" applyBorder="1" applyAlignment="1">
      <alignment horizontal="center"/>
    </xf>
    <xf numFmtId="176" fontId="14" fillId="2" borderId="24" xfId="0" applyNumberFormat="1" applyFont="1" applyFill="1" applyBorder="1"/>
    <xf numFmtId="176" fontId="5" fillId="8" borderId="7" xfId="0" applyNumberFormat="1" applyFont="1" applyFill="1" applyBorder="1" applyAlignment="1">
      <alignment horizontal="right"/>
    </xf>
    <xf numFmtId="176" fontId="5" fillId="8" borderId="19" xfId="0" applyNumberFormat="1" applyFont="1" applyFill="1" applyBorder="1" applyAlignment="1">
      <alignment horizontal="right"/>
    </xf>
    <xf numFmtId="176" fontId="20" fillId="8" borderId="7" xfId="0" applyNumberFormat="1" applyFont="1" applyFill="1" applyBorder="1" applyAlignment="1">
      <alignment horizontal="right"/>
    </xf>
    <xf numFmtId="181" fontId="1" fillId="0" borderId="0" xfId="0" applyNumberFormat="1" applyFont="1"/>
    <xf numFmtId="176" fontId="1" fillId="2" borderId="16" xfId="0" applyNumberFormat="1" applyFont="1" applyFill="1" applyBorder="1"/>
    <xf numFmtId="181" fontId="1" fillId="0" borderId="16" xfId="0" applyNumberFormat="1" applyFont="1" applyBorder="1"/>
    <xf numFmtId="176" fontId="5" fillId="8" borderId="7" xfId="0" applyNumberFormat="1" applyFont="1" applyFill="1" applyBorder="1" applyAlignment="1">
      <alignment horizontal="center"/>
    </xf>
    <xf numFmtId="176" fontId="5" fillId="8" borderId="19" xfId="0" applyNumberFormat="1" applyFont="1" applyFill="1" applyBorder="1" applyAlignment="1">
      <alignment horizontal="center"/>
    </xf>
    <xf numFmtId="176" fontId="3" fillId="4" borderId="7" xfId="0" applyNumberFormat="1" applyFont="1" applyFill="1" applyBorder="1" applyAlignment="1">
      <alignment horizontal="center"/>
    </xf>
    <xf numFmtId="181" fontId="5" fillId="8" borderId="7" xfId="0" applyNumberFormat="1" applyFont="1" applyFill="1" applyBorder="1" applyAlignment="1">
      <alignment horizontal="right"/>
    </xf>
    <xf numFmtId="181" fontId="5" fillId="8" borderId="19" xfId="0" applyNumberFormat="1" applyFont="1" applyFill="1" applyBorder="1" applyAlignment="1">
      <alignment horizontal="right"/>
    </xf>
    <xf numFmtId="0" fontId="17" fillId="20" borderId="5" xfId="0" applyFont="1" applyFill="1" applyBorder="1" applyAlignment="1">
      <alignment horizontal="center"/>
    </xf>
    <xf numFmtId="0" fontId="11" fillId="21" borderId="2" xfId="0" applyFont="1" applyFill="1" applyBorder="1" applyAlignment="1">
      <alignment horizontal="center"/>
    </xf>
    <xf numFmtId="0" fontId="11" fillId="21" borderId="0" xfId="0" applyFont="1" applyFill="1" applyAlignment="1">
      <alignment horizontal="center"/>
    </xf>
    <xf numFmtId="0" fontId="11" fillId="21" borderId="16" xfId="0" applyFont="1" applyFill="1" applyBorder="1" applyAlignment="1">
      <alignment horizontal="center"/>
    </xf>
    <xf numFmtId="0" fontId="11" fillId="22" borderId="0" xfId="0" applyFont="1" applyFill="1" applyAlignment="1">
      <alignment horizontal="center"/>
    </xf>
    <xf numFmtId="0" fontId="11" fillId="22" borderId="24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11" fillId="15" borderId="15" xfId="0" applyFont="1" applyFill="1" applyBorder="1" applyAlignment="1">
      <alignment horizontal="center"/>
    </xf>
    <xf numFmtId="3" fontId="17" fillId="20" borderId="6" xfId="0" applyNumberFormat="1" applyFont="1" applyFill="1" applyBorder="1" applyAlignment="1">
      <alignment horizontal="right"/>
    </xf>
    <xf numFmtId="0" fontId="3" fillId="0" borderId="0" xfId="0" applyFont="1"/>
    <xf numFmtId="3" fontId="3" fillId="0" borderId="7" xfId="0" applyNumberFormat="1" applyFont="1" applyBorder="1"/>
    <xf numFmtId="0" fontId="19" fillId="0" borderId="0" xfId="0" applyFont="1"/>
    <xf numFmtId="0" fontId="31" fillId="14" borderId="0" xfId="0" applyFont="1" applyFill="1" applyAlignment="1">
      <alignment horizontal="center"/>
    </xf>
    <xf numFmtId="9" fontId="17" fillId="0" borderId="0" xfId="0" applyNumberFormat="1" applyFont="1" applyAlignment="1">
      <alignment horizontal="right"/>
    </xf>
    <xf numFmtId="9" fontId="17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17" fillId="20" borderId="7" xfId="0" applyFont="1" applyFill="1" applyBorder="1" applyAlignment="1">
      <alignment horizontal="center"/>
    </xf>
    <xf numFmtId="0" fontId="17" fillId="20" borderId="19" xfId="0" applyFont="1" applyFill="1" applyBorder="1" applyAlignment="1">
      <alignment horizontal="center"/>
    </xf>
    <xf numFmtId="3" fontId="3" fillId="14" borderId="7" xfId="0" applyNumberFormat="1" applyFont="1" applyFill="1" applyBorder="1" applyAlignment="1">
      <alignment horizontal="right"/>
    </xf>
    <xf numFmtId="3" fontId="3" fillId="0" borderId="4" xfId="0" applyNumberFormat="1" applyFont="1" applyBorder="1"/>
    <xf numFmtId="3" fontId="3" fillId="0" borderId="12" xfId="0" applyNumberFormat="1" applyFont="1" applyBorder="1"/>
    <xf numFmtId="3" fontId="19" fillId="0" borderId="19" xfId="0" applyNumberFormat="1" applyFont="1" applyBorder="1"/>
    <xf numFmtId="3" fontId="11" fillId="23" borderId="7" xfId="0" applyNumberFormat="1" applyFont="1" applyFill="1" applyBorder="1"/>
    <xf numFmtId="3" fontId="11" fillId="13" borderId="7" xfId="0" applyNumberFormat="1" applyFont="1" applyFill="1" applyBorder="1"/>
    <xf numFmtId="3" fontId="3" fillId="14" borderId="4" xfId="0" applyNumberFormat="1" applyFont="1" applyFill="1" applyBorder="1" applyAlignment="1">
      <alignment horizontal="right"/>
    </xf>
    <xf numFmtId="3" fontId="3" fillId="14" borderId="12" xfId="0" applyNumberFormat="1" applyFont="1" applyFill="1" applyBorder="1"/>
    <xf numFmtId="3" fontId="3" fillId="0" borderId="19" xfId="0" applyNumberFormat="1" applyFont="1" applyBorder="1"/>
    <xf numFmtId="3" fontId="3" fillId="0" borderId="6" xfId="0" applyNumberFormat="1" applyFont="1" applyBorder="1"/>
    <xf numFmtId="0" fontId="9" fillId="0" borderId="4" xfId="0" applyFont="1" applyBorder="1"/>
    <xf numFmtId="3" fontId="3" fillId="0" borderId="4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3" fontId="3" fillId="0" borderId="19" xfId="0" applyNumberFormat="1" applyFont="1" applyBorder="1" applyAlignment="1">
      <alignment horizontal="right"/>
    </xf>
    <xf numFmtId="3" fontId="11" fillId="9" borderId="4" xfId="0" applyNumberFormat="1" applyFont="1" applyFill="1" applyBorder="1"/>
    <xf numFmtId="3" fontId="11" fillId="14" borderId="4" xfId="0" applyNumberFormat="1" applyFont="1" applyFill="1" applyBorder="1" applyAlignment="1">
      <alignment horizontal="right"/>
    </xf>
    <xf numFmtId="3" fontId="11" fillId="14" borderId="19" xfId="0" applyNumberFormat="1" applyFont="1" applyFill="1" applyBorder="1" applyAlignment="1">
      <alignment horizontal="right"/>
    </xf>
    <xf numFmtId="3" fontId="3" fillId="14" borderId="4" xfId="0" applyNumberFormat="1" applyFont="1" applyFill="1" applyBorder="1"/>
    <xf numFmtId="3" fontId="11" fillId="14" borderId="4" xfId="0" applyNumberFormat="1" applyFont="1" applyFill="1" applyBorder="1"/>
    <xf numFmtId="3" fontId="11" fillId="23" borderId="7" xfId="0" applyNumberFormat="1" applyFont="1" applyFill="1" applyBorder="1" applyAlignment="1">
      <alignment horizontal="right"/>
    </xf>
    <xf numFmtId="3" fontId="17" fillId="13" borderId="7" xfId="0" applyNumberFormat="1" applyFont="1" applyFill="1" applyBorder="1" applyAlignment="1">
      <alignment horizontal="right"/>
    </xf>
    <xf numFmtId="3" fontId="17" fillId="23" borderId="7" xfId="0" applyNumberFormat="1" applyFont="1" applyFill="1" applyBorder="1" applyAlignment="1">
      <alignment horizontal="right"/>
    </xf>
    <xf numFmtId="179" fontId="17" fillId="0" borderId="0" xfId="0" applyNumberFormat="1" applyFont="1"/>
    <xf numFmtId="0" fontId="32" fillId="0" borderId="0" xfId="0" applyFont="1" applyAlignment="1">
      <alignment horizontal="center"/>
    </xf>
    <xf numFmtId="0" fontId="17" fillId="21" borderId="19" xfId="0" applyFont="1" applyFill="1" applyBorder="1" applyAlignment="1">
      <alignment horizontal="center"/>
    </xf>
    <xf numFmtId="0" fontId="11" fillId="0" borderId="7" xfId="0" applyFont="1" applyBorder="1" applyAlignment="1">
      <alignment horizontal="right"/>
    </xf>
    <xf numFmtId="1" fontId="11" fillId="0" borderId="4" xfId="0" applyNumberFormat="1" applyFont="1" applyBorder="1" applyAlignment="1">
      <alignment horizontal="right"/>
    </xf>
    <xf numFmtId="3" fontId="3" fillId="23" borderId="7" xfId="0" applyNumberFormat="1" applyFont="1" applyFill="1" applyBorder="1" applyAlignment="1">
      <alignment horizontal="center"/>
    </xf>
    <xf numFmtId="3" fontId="3" fillId="23" borderId="19" xfId="0" applyNumberFormat="1" applyFont="1" applyFill="1" applyBorder="1" applyAlignment="1">
      <alignment horizontal="center"/>
    </xf>
    <xf numFmtId="3" fontId="3" fillId="23" borderId="13" xfId="0" applyNumberFormat="1" applyFont="1" applyFill="1" applyBorder="1" applyAlignment="1">
      <alignment horizontal="center"/>
    </xf>
    <xf numFmtId="3" fontId="3" fillId="23" borderId="15" xfId="0" applyNumberFormat="1" applyFont="1" applyFill="1" applyBorder="1" applyAlignment="1">
      <alignment horizontal="center"/>
    </xf>
    <xf numFmtId="0" fontId="11" fillId="0" borderId="19" xfId="0" applyFont="1" applyBorder="1" applyAlignment="1">
      <alignment horizontal="right"/>
    </xf>
    <xf numFmtId="3" fontId="11" fillId="9" borderId="4" xfId="0" applyNumberFormat="1" applyFont="1" applyFill="1" applyBorder="1" applyAlignment="1">
      <alignment horizontal="right"/>
    </xf>
    <xf numFmtId="0" fontId="20" fillId="21" borderId="18" xfId="0" applyFont="1" applyFill="1" applyBorder="1"/>
    <xf numFmtId="3" fontId="17" fillId="21" borderId="6" xfId="0" applyNumberFormat="1" applyFont="1" applyFill="1" applyBorder="1" applyAlignment="1">
      <alignment horizontal="right"/>
    </xf>
    <xf numFmtId="0" fontId="22" fillId="0" borderId="0" xfId="0" applyFont="1" applyAlignment="1">
      <alignment horizontal="right"/>
    </xf>
    <xf numFmtId="9" fontId="22" fillId="0" borderId="0" xfId="0" applyNumberFormat="1" applyFont="1" applyAlignment="1">
      <alignment horizontal="right"/>
    </xf>
    <xf numFmtId="0" fontId="19" fillId="2" borderId="0" xfId="0" applyFont="1" applyFill="1" applyAlignment="1">
      <alignment horizontal="right"/>
    </xf>
    <xf numFmtId="0" fontId="17" fillId="5" borderId="0" xfId="0" applyFont="1" applyFill="1" applyAlignment="1">
      <alignment horizontal="center"/>
    </xf>
    <xf numFmtId="0" fontId="11" fillId="22" borderId="2" xfId="0" applyFont="1" applyFill="1" applyBorder="1" applyAlignment="1">
      <alignment horizontal="center"/>
    </xf>
    <xf numFmtId="0" fontId="11" fillId="22" borderId="16" xfId="0" applyFont="1" applyFill="1" applyBorder="1" applyAlignment="1">
      <alignment horizontal="center"/>
    </xf>
    <xf numFmtId="0" fontId="20" fillId="5" borderId="18" xfId="0" applyFont="1" applyFill="1" applyBorder="1"/>
    <xf numFmtId="3" fontId="17" fillId="5" borderId="0" xfId="0" applyNumberFormat="1" applyFont="1" applyFill="1" applyAlignment="1">
      <alignment horizontal="right"/>
    </xf>
    <xf numFmtId="0" fontId="33" fillId="2" borderId="0" xfId="0" applyFont="1" applyFill="1"/>
    <xf numFmtId="180" fontId="22" fillId="0" borderId="0" xfId="0" applyNumberFormat="1" applyFont="1" applyAlignment="1">
      <alignment horizontal="right"/>
    </xf>
    <xf numFmtId="0" fontId="34" fillId="27" borderId="7" xfId="0" applyFont="1" applyFill="1" applyBorder="1" applyAlignment="1">
      <alignment horizontal="right" vertical="top"/>
    </xf>
    <xf numFmtId="3" fontId="17" fillId="5" borderId="6" xfId="0" applyNumberFormat="1" applyFont="1" applyFill="1" applyBorder="1" applyAlignment="1">
      <alignment horizontal="right"/>
    </xf>
    <xf numFmtId="0" fontId="22" fillId="0" borderId="0" xfId="0" applyFont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1" fillId="21" borderId="2" xfId="0" applyFont="1" applyFill="1" applyBorder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180" fontId="17" fillId="10" borderId="4" xfId="0" applyNumberFormat="1" applyFont="1" applyFill="1" applyBorder="1" applyAlignment="1">
      <alignment horizontal="right"/>
    </xf>
    <xf numFmtId="0" fontId="11" fillId="21" borderId="16" xfId="0" applyFont="1" applyFill="1" applyBorder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180" fontId="11" fillId="10" borderId="13" xfId="0" applyNumberFormat="1" applyFont="1" applyFill="1" applyBorder="1" applyAlignment="1">
      <alignment horizontal="right"/>
    </xf>
    <xf numFmtId="180" fontId="11" fillId="10" borderId="18" xfId="0" applyNumberFormat="1" applyFont="1" applyFill="1" applyBorder="1" applyAlignment="1">
      <alignment horizontal="right"/>
    </xf>
    <xf numFmtId="180" fontId="11" fillId="10" borderId="27" xfId="0" applyNumberFormat="1" applyFont="1" applyFill="1" applyBorder="1" applyAlignment="1">
      <alignment horizontal="right"/>
    </xf>
    <xf numFmtId="180" fontId="11" fillId="10" borderId="15" xfId="0" applyNumberFormat="1" applyFont="1" applyFill="1" applyBorder="1" applyAlignment="1">
      <alignment horizontal="right"/>
    </xf>
    <xf numFmtId="180" fontId="17" fillId="10" borderId="18" xfId="0" applyNumberFormat="1" applyFont="1" applyFill="1" applyBorder="1" applyAlignment="1">
      <alignment horizontal="right"/>
    </xf>
    <xf numFmtId="0" fontId="35" fillId="2" borderId="28" xfId="0" applyFont="1" applyFill="1" applyBorder="1"/>
    <xf numFmtId="1" fontId="35" fillId="2" borderId="28" xfId="0" applyNumberFormat="1" applyFont="1" applyFill="1" applyBorder="1"/>
    <xf numFmtId="0" fontId="35" fillId="2" borderId="28" xfId="0" applyFont="1" applyFill="1" applyBorder="1" applyAlignment="1">
      <alignment horizontal="center"/>
    </xf>
    <xf numFmtId="184" fontId="9" fillId="0" borderId="0" xfId="0" applyNumberFormat="1" applyFont="1"/>
    <xf numFmtId="0" fontId="36" fillId="2" borderId="29" xfId="0" applyFont="1" applyFill="1" applyBorder="1" applyAlignment="1">
      <alignment horizontal="left" vertical="top"/>
    </xf>
    <xf numFmtId="1" fontId="36" fillId="2" borderId="29" xfId="0" applyNumberFormat="1" applyFont="1" applyFill="1" applyBorder="1" applyAlignment="1">
      <alignment horizontal="left" vertical="top"/>
    </xf>
    <xf numFmtId="11" fontId="36" fillId="2" borderId="29" xfId="0" applyNumberFormat="1" applyFont="1" applyFill="1" applyBorder="1" applyAlignment="1">
      <alignment horizontal="center" vertical="top"/>
    </xf>
    <xf numFmtId="182" fontId="36" fillId="2" borderId="29" xfId="0" applyNumberFormat="1" applyFont="1" applyFill="1" applyBorder="1" applyAlignment="1">
      <alignment horizontal="center" vertical="top"/>
    </xf>
    <xf numFmtId="0" fontId="36" fillId="2" borderId="29" xfId="0" applyFont="1" applyFill="1" applyBorder="1" applyAlignment="1">
      <alignment horizontal="center" vertical="top"/>
    </xf>
    <xf numFmtId="0" fontId="36" fillId="2" borderId="30" xfId="0" applyFont="1" applyFill="1" applyBorder="1" applyAlignment="1">
      <alignment vertical="top"/>
    </xf>
    <xf numFmtId="0" fontId="36" fillId="2" borderId="31" xfId="0" applyFont="1" applyFill="1" applyBorder="1" applyAlignment="1">
      <alignment vertical="top"/>
    </xf>
    <xf numFmtId="0" fontId="8" fillId="0" borderId="0" xfId="0" applyFont="1" applyAlignment="1">
      <alignment horizontal="right"/>
    </xf>
    <xf numFmtId="0" fontId="8" fillId="2" borderId="32" xfId="0" applyFont="1" applyFill="1" applyBorder="1"/>
    <xf numFmtId="0" fontId="36" fillId="2" borderId="0" xfId="0" applyFont="1" applyFill="1" applyAlignment="1">
      <alignment horizontal="left"/>
    </xf>
    <xf numFmtId="0" fontId="9" fillId="16" borderId="0" xfId="0" applyFont="1" applyFill="1"/>
    <xf numFmtId="0" fontId="37" fillId="11" borderId="1" xfId="0" applyFont="1" applyFill="1" applyBorder="1" applyAlignment="1">
      <alignment horizontal="center"/>
    </xf>
    <xf numFmtId="0" fontId="37" fillId="11" borderId="2" xfId="0" applyFont="1" applyFill="1" applyBorder="1" applyAlignment="1">
      <alignment horizontal="center"/>
    </xf>
    <xf numFmtId="3" fontId="37" fillId="11" borderId="2" xfId="0" applyNumberFormat="1" applyFont="1" applyFill="1" applyBorder="1" applyAlignment="1">
      <alignment horizontal="center"/>
    </xf>
    <xf numFmtId="0" fontId="37" fillId="11" borderId="3" xfId="0" applyFont="1" applyFill="1" applyBorder="1" applyAlignment="1">
      <alignment horizontal="center"/>
    </xf>
    <xf numFmtId="185" fontId="9" fillId="0" borderId="0" xfId="0" applyNumberFormat="1" applyFont="1"/>
    <xf numFmtId="186" fontId="9" fillId="0" borderId="0" xfId="0" applyNumberFormat="1" applyFont="1"/>
    <xf numFmtId="182" fontId="9" fillId="0" borderId="0" xfId="0" applyNumberFormat="1" applyFont="1"/>
    <xf numFmtId="0" fontId="7" fillId="0" borderId="7" xfId="0" applyFont="1" applyBorder="1" applyAlignment="1">
      <alignment horizontal="center"/>
    </xf>
    <xf numFmtId="3" fontId="6" fillId="9" borderId="7" xfId="0" applyNumberFormat="1" applyFont="1" applyFill="1" applyBorder="1" applyAlignment="1">
      <alignment horizontal="right"/>
    </xf>
    <xf numFmtId="176" fontId="3" fillId="6" borderId="7" xfId="0" applyNumberFormat="1" applyFont="1" applyFill="1" applyBorder="1" applyAlignment="1">
      <alignment horizontal="center"/>
    </xf>
    <xf numFmtId="176" fontId="3" fillId="7" borderId="19" xfId="0" applyNumberFormat="1" applyFont="1" applyFill="1" applyBorder="1" applyAlignment="1">
      <alignment horizontal="center" vertical="center"/>
    </xf>
    <xf numFmtId="176" fontId="3" fillId="7" borderId="7" xfId="0" applyNumberFormat="1" applyFont="1" applyFill="1" applyBorder="1" applyAlignment="1">
      <alignment horizontal="center" vertical="center"/>
    </xf>
    <xf numFmtId="3" fontId="5" fillId="3" borderId="7" xfId="0" applyNumberFormat="1" applyFont="1" applyFill="1" applyBorder="1" applyAlignment="1">
      <alignment horizontal="right"/>
    </xf>
    <xf numFmtId="0" fontId="9" fillId="3" borderId="7" xfId="0" applyFont="1" applyFill="1" applyBorder="1"/>
    <xf numFmtId="0" fontId="38" fillId="13" borderId="8" xfId="0" applyFont="1" applyFill="1" applyBorder="1" applyAlignment="1">
      <alignment horizontal="center"/>
    </xf>
    <xf numFmtId="0" fontId="38" fillId="28" borderId="8" xfId="0" applyFont="1" applyFill="1" applyBorder="1" applyAlignment="1">
      <alignment horizontal="center"/>
    </xf>
    <xf numFmtId="0" fontId="12" fillId="26" borderId="33" xfId="0" applyFont="1" applyFill="1" applyBorder="1" applyAlignment="1">
      <alignment horizontal="center"/>
    </xf>
    <xf numFmtId="0" fontId="27" fillId="26" borderId="34" xfId="0" applyFont="1" applyFill="1" applyBorder="1" applyAlignment="1">
      <alignment horizontal="center"/>
    </xf>
    <xf numFmtId="183" fontId="27" fillId="26" borderId="34" xfId="0" applyNumberFormat="1" applyFont="1" applyFill="1" applyBorder="1" applyAlignment="1">
      <alignment horizontal="center"/>
    </xf>
    <xf numFmtId="187" fontId="12" fillId="26" borderId="34" xfId="0" applyNumberFormat="1" applyFont="1" applyFill="1" applyBorder="1" applyAlignment="1">
      <alignment horizontal="center"/>
    </xf>
    <xf numFmtId="4" fontId="12" fillId="26" borderId="34" xfId="0" applyNumberFormat="1" applyFont="1" applyFill="1" applyBorder="1" applyAlignment="1">
      <alignment horizontal="center"/>
    </xf>
    <xf numFmtId="179" fontId="12" fillId="26" borderId="34" xfId="0" applyNumberFormat="1" applyFont="1" applyFill="1" applyBorder="1" applyAlignment="1">
      <alignment horizontal="center"/>
    </xf>
    <xf numFmtId="179" fontId="12" fillId="26" borderId="35" xfId="0" applyNumberFormat="1" applyFont="1" applyFill="1" applyBorder="1" applyAlignment="1">
      <alignment horizontal="center"/>
    </xf>
    <xf numFmtId="0" fontId="12" fillId="26" borderId="36" xfId="0" applyFont="1" applyFill="1" applyBorder="1" applyAlignment="1">
      <alignment horizontal="center"/>
    </xf>
    <xf numFmtId="0" fontId="27" fillId="26" borderId="7" xfId="0" applyFont="1" applyFill="1" applyBorder="1" applyAlignment="1">
      <alignment horizontal="center"/>
    </xf>
    <xf numFmtId="183" fontId="27" fillId="26" borderId="7" xfId="0" applyNumberFormat="1" applyFont="1" applyFill="1" applyBorder="1" applyAlignment="1">
      <alignment horizontal="center"/>
    </xf>
    <xf numFmtId="187" fontId="12" fillId="26" borderId="7" xfId="0" applyNumberFormat="1" applyFont="1" applyFill="1" applyBorder="1" applyAlignment="1">
      <alignment horizontal="center"/>
    </xf>
    <xf numFmtId="4" fontId="12" fillId="26" borderId="7" xfId="0" applyNumberFormat="1" applyFont="1" applyFill="1" applyBorder="1" applyAlignment="1">
      <alignment horizontal="center"/>
    </xf>
    <xf numFmtId="179" fontId="12" fillId="26" borderId="7" xfId="0" applyNumberFormat="1" applyFont="1" applyFill="1" applyBorder="1" applyAlignment="1">
      <alignment horizontal="center"/>
    </xf>
    <xf numFmtId="179" fontId="12" fillId="26" borderId="37" xfId="0" applyNumberFormat="1" applyFont="1" applyFill="1" applyBorder="1" applyAlignment="1">
      <alignment horizontal="center"/>
    </xf>
    <xf numFmtId="0" fontId="12" fillId="26" borderId="38" xfId="0" applyFont="1" applyFill="1" applyBorder="1" applyAlignment="1">
      <alignment horizontal="center"/>
    </xf>
    <xf numFmtId="0" fontId="27" fillId="26" borderId="13" xfId="0" applyFont="1" applyFill="1" applyBorder="1" applyAlignment="1">
      <alignment horizontal="center"/>
    </xf>
    <xf numFmtId="183" fontId="27" fillId="26" borderId="13" xfId="0" applyNumberFormat="1" applyFont="1" applyFill="1" applyBorder="1" applyAlignment="1">
      <alignment horizontal="center"/>
    </xf>
    <xf numFmtId="187" fontId="12" fillId="26" borderId="13" xfId="0" applyNumberFormat="1" applyFont="1" applyFill="1" applyBorder="1" applyAlignment="1">
      <alignment horizontal="center"/>
    </xf>
    <xf numFmtId="4" fontId="12" fillId="26" borderId="13" xfId="0" applyNumberFormat="1" applyFont="1" applyFill="1" applyBorder="1" applyAlignment="1">
      <alignment horizontal="center"/>
    </xf>
    <xf numFmtId="179" fontId="12" fillId="26" borderId="13" xfId="0" applyNumberFormat="1" applyFont="1" applyFill="1" applyBorder="1" applyAlignment="1">
      <alignment horizontal="center"/>
    </xf>
    <xf numFmtId="179" fontId="12" fillId="26" borderId="39" xfId="0" applyNumberFormat="1" applyFont="1" applyFill="1" applyBorder="1" applyAlignment="1">
      <alignment horizontal="center"/>
    </xf>
    <xf numFmtId="0" fontId="12" fillId="12" borderId="33" xfId="0" applyFont="1" applyFill="1" applyBorder="1" applyAlignment="1">
      <alignment horizontal="center"/>
    </xf>
    <xf numFmtId="0" fontId="27" fillId="12" borderId="34" xfId="0" applyFont="1" applyFill="1" applyBorder="1" applyAlignment="1">
      <alignment horizontal="center"/>
    </xf>
    <xf numFmtId="183" fontId="27" fillId="12" borderId="34" xfId="0" applyNumberFormat="1" applyFont="1" applyFill="1" applyBorder="1" applyAlignment="1">
      <alignment horizontal="center"/>
    </xf>
    <xf numFmtId="187" fontId="12" fillId="12" borderId="34" xfId="0" applyNumberFormat="1" applyFont="1" applyFill="1" applyBorder="1" applyAlignment="1">
      <alignment horizontal="center"/>
    </xf>
    <xf numFmtId="4" fontId="12" fillId="12" borderId="34" xfId="0" applyNumberFormat="1" applyFont="1" applyFill="1" applyBorder="1" applyAlignment="1">
      <alignment horizontal="center"/>
    </xf>
    <xf numFmtId="179" fontId="12" fillId="12" borderId="34" xfId="0" applyNumberFormat="1" applyFont="1" applyFill="1" applyBorder="1" applyAlignment="1">
      <alignment horizontal="center"/>
    </xf>
    <xf numFmtId="179" fontId="12" fillId="12" borderId="35" xfId="0" applyNumberFormat="1" applyFont="1" applyFill="1" applyBorder="1" applyAlignment="1">
      <alignment horizontal="center"/>
    </xf>
    <xf numFmtId="1" fontId="11" fillId="0" borderId="0" xfId="0" applyNumberFormat="1" applyFont="1" applyAlignment="1">
      <alignment horizontal="right"/>
    </xf>
    <xf numFmtId="0" fontId="12" fillId="12" borderId="36" xfId="0" applyFont="1" applyFill="1" applyBorder="1" applyAlignment="1">
      <alignment horizontal="center"/>
    </xf>
    <xf numFmtId="0" fontId="27" fillId="12" borderId="7" xfId="0" applyFont="1" applyFill="1" applyBorder="1" applyAlignment="1">
      <alignment horizontal="center"/>
    </xf>
    <xf numFmtId="183" fontId="27" fillId="12" borderId="7" xfId="0" applyNumberFormat="1" applyFont="1" applyFill="1" applyBorder="1" applyAlignment="1">
      <alignment horizontal="center"/>
    </xf>
    <xf numFmtId="187" fontId="12" fillId="12" borderId="7" xfId="0" applyNumberFormat="1" applyFont="1" applyFill="1" applyBorder="1" applyAlignment="1">
      <alignment horizontal="center"/>
    </xf>
    <xf numFmtId="4" fontId="12" fillId="12" borderId="7" xfId="0" applyNumberFormat="1" applyFont="1" applyFill="1" applyBorder="1" applyAlignment="1">
      <alignment horizontal="center"/>
    </xf>
    <xf numFmtId="179" fontId="12" fillId="12" borderId="7" xfId="0" applyNumberFormat="1" applyFont="1" applyFill="1" applyBorder="1" applyAlignment="1">
      <alignment horizontal="center"/>
    </xf>
    <xf numFmtId="179" fontId="12" fillId="12" borderId="37" xfId="0" applyNumberFormat="1" applyFont="1" applyFill="1" applyBorder="1" applyAlignment="1">
      <alignment horizontal="center"/>
    </xf>
    <xf numFmtId="183" fontId="39" fillId="12" borderId="7" xfId="0" applyNumberFormat="1" applyFont="1" applyFill="1" applyBorder="1" applyAlignment="1">
      <alignment horizontal="center"/>
    </xf>
    <xf numFmtId="0" fontId="39" fillId="12" borderId="7" xfId="0" applyFont="1" applyFill="1" applyBorder="1" applyAlignment="1">
      <alignment horizontal="center"/>
    </xf>
    <xf numFmtId="187" fontId="27" fillId="12" borderId="7" xfId="0" applyNumberFormat="1" applyFont="1" applyFill="1" applyBorder="1" applyAlignment="1">
      <alignment horizontal="center"/>
    </xf>
    <xf numFmtId="0" fontId="13" fillId="12" borderId="7" xfId="0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0" fontId="12" fillId="12" borderId="40" xfId="0" applyFont="1" applyFill="1" applyBorder="1" applyAlignment="1">
      <alignment horizontal="center"/>
    </xf>
    <xf numFmtId="0" fontId="27" fillId="12" borderId="8" xfId="0" applyFont="1" applyFill="1" applyBorder="1" applyAlignment="1">
      <alignment horizontal="center"/>
    </xf>
    <xf numFmtId="0" fontId="13" fillId="12" borderId="8" xfId="0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187" fontId="12" fillId="12" borderId="8" xfId="0" applyNumberFormat="1" applyFont="1" applyFill="1" applyBorder="1" applyAlignment="1">
      <alignment horizontal="center"/>
    </xf>
    <xf numFmtId="4" fontId="12" fillId="12" borderId="8" xfId="0" applyNumberFormat="1" applyFont="1" applyFill="1" applyBorder="1" applyAlignment="1">
      <alignment horizontal="center"/>
    </xf>
    <xf numFmtId="179" fontId="12" fillId="12" borderId="8" xfId="0" applyNumberFormat="1" applyFont="1" applyFill="1" applyBorder="1" applyAlignment="1">
      <alignment horizontal="center"/>
    </xf>
    <xf numFmtId="179" fontId="12" fillId="12" borderId="41" xfId="0" applyNumberFormat="1" applyFont="1" applyFill="1" applyBorder="1" applyAlignment="1">
      <alignment horizontal="center"/>
    </xf>
    <xf numFmtId="0" fontId="12" fillId="17" borderId="7" xfId="0" applyFont="1" applyFill="1" applyBorder="1" applyAlignment="1">
      <alignment horizontal="center"/>
    </xf>
    <xf numFmtId="0" fontId="40" fillId="17" borderId="7" xfId="0" applyFon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183" fontId="27" fillId="17" borderId="7" xfId="0" applyNumberFormat="1" applyFont="1" applyFill="1" applyBorder="1" applyAlignment="1">
      <alignment horizontal="center"/>
    </xf>
    <xf numFmtId="4" fontId="12" fillId="17" borderId="7" xfId="0" applyNumberFormat="1" applyFont="1" applyFill="1" applyBorder="1" applyAlignment="1">
      <alignment horizontal="center"/>
    </xf>
    <xf numFmtId="179" fontId="12" fillId="17" borderId="7" xfId="0" applyNumberFormat="1" applyFont="1" applyFill="1" applyBorder="1" applyAlignment="1">
      <alignment horizontal="center"/>
    </xf>
    <xf numFmtId="0" fontId="41" fillId="0" borderId="0" xfId="0" applyFont="1"/>
    <xf numFmtId="0" fontId="9" fillId="14" borderId="0" xfId="0" applyFont="1" applyFill="1" applyAlignment="1">
      <alignment horizontal="center"/>
    </xf>
    <xf numFmtId="0" fontId="9" fillId="17" borderId="7" xfId="0" applyFont="1" applyFill="1" applyBorder="1"/>
    <xf numFmtId="0" fontId="9" fillId="17" borderId="7" xfId="0" applyFont="1" applyFill="1" applyBorder="1" applyAlignment="1">
      <alignment horizontal="center"/>
    </xf>
    <xf numFmtId="3" fontId="9" fillId="17" borderId="7" xfId="0" applyNumberFormat="1" applyFont="1" applyFill="1" applyBorder="1" applyAlignment="1">
      <alignment horizontal="center"/>
    </xf>
    <xf numFmtId="1" fontId="9" fillId="17" borderId="7" xfId="0" applyNumberFormat="1" applyFont="1" applyFill="1" applyBorder="1" applyAlignment="1">
      <alignment horizontal="center"/>
    </xf>
    <xf numFmtId="182" fontId="8" fillId="0" borderId="7" xfId="0" applyNumberFormat="1" applyFont="1" applyBorder="1" applyAlignment="1">
      <alignment horizontal="center"/>
    </xf>
    <xf numFmtId="188" fontId="9" fillId="0" borderId="7" xfId="0" applyNumberFormat="1" applyFont="1" applyBorder="1" applyAlignment="1">
      <alignment horizontal="center"/>
    </xf>
    <xf numFmtId="3" fontId="9" fillId="0" borderId="7" xfId="0" applyNumberFormat="1" applyFont="1" applyBorder="1" applyAlignment="1">
      <alignment horizontal="center"/>
    </xf>
    <xf numFmtId="0" fontId="26" fillId="24" borderId="42" xfId="0" applyFont="1" applyFill="1" applyBorder="1" applyAlignment="1">
      <alignment horizontal="center"/>
    </xf>
    <xf numFmtId="3" fontId="42" fillId="24" borderId="0" xfId="0" applyNumberFormat="1" applyFont="1" applyFill="1" applyAlignment="1">
      <alignment horizontal="center"/>
    </xf>
    <xf numFmtId="0" fontId="42" fillId="24" borderId="0" xfId="0" applyFont="1" applyFill="1" applyAlignment="1">
      <alignment horizontal="center"/>
    </xf>
    <xf numFmtId="10" fontId="9" fillId="0" borderId="0" xfId="0" applyNumberFormat="1" applyFont="1"/>
    <xf numFmtId="3" fontId="8" fillId="0" borderId="24" xfId="0" applyNumberFormat="1" applyFont="1" applyBorder="1" applyAlignment="1">
      <alignment horizontal="center"/>
    </xf>
    <xf numFmtId="182" fontId="8" fillId="0" borderId="24" xfId="0" applyNumberFormat="1" applyFont="1" applyBorder="1" applyAlignment="1">
      <alignment horizontal="center"/>
    </xf>
    <xf numFmtId="182" fontId="8" fillId="0" borderId="15" xfId="0" applyNumberFormat="1" applyFont="1" applyBorder="1" applyAlignment="1">
      <alignment horizontal="center"/>
    </xf>
    <xf numFmtId="0" fontId="9" fillId="15" borderId="7" xfId="0" applyFont="1" applyFill="1" applyBorder="1" applyAlignment="1">
      <alignment horizontal="center"/>
    </xf>
    <xf numFmtId="3" fontId="9" fillId="17" borderId="7" xfId="0" applyNumberFormat="1" applyFont="1" applyFill="1" applyBorder="1"/>
    <xf numFmtId="182" fontId="43" fillId="9" borderId="7" xfId="0" applyNumberFormat="1" applyFont="1" applyFill="1" applyBorder="1" applyAlignment="1">
      <alignment horizontal="center"/>
    </xf>
    <xf numFmtId="3" fontId="44" fillId="9" borderId="7" xfId="0" applyNumberFormat="1" applyFont="1" applyFill="1" applyBorder="1" applyAlignment="1">
      <alignment horizontal="center" vertical="center"/>
    </xf>
    <xf numFmtId="188" fontId="45" fillId="0" borderId="7" xfId="0" applyNumberFormat="1" applyFont="1" applyBorder="1" applyAlignment="1">
      <alignment horizontal="center"/>
    </xf>
    <xf numFmtId="3" fontId="45" fillId="0" borderId="7" xfId="0" applyNumberFormat="1" applyFont="1" applyBorder="1" applyAlignment="1">
      <alignment horizontal="center"/>
    </xf>
    <xf numFmtId="0" fontId="45" fillId="0" borderId="7" xfId="0" applyFont="1" applyBorder="1" applyAlignment="1">
      <alignment horizontal="center"/>
    </xf>
    <xf numFmtId="1" fontId="9" fillId="0" borderId="0" xfId="0" applyNumberFormat="1" applyFont="1" applyAlignment="1">
      <alignment horizontal="left"/>
    </xf>
    <xf numFmtId="182" fontId="46" fillId="9" borderId="7" xfId="0" applyNumberFormat="1" applyFont="1" applyFill="1" applyBorder="1" applyAlignment="1">
      <alignment horizontal="center"/>
    </xf>
    <xf numFmtId="182" fontId="47" fillId="9" borderId="7" xfId="0" applyNumberFormat="1" applyFont="1" applyFill="1" applyBorder="1" applyAlignment="1">
      <alignment horizontal="center"/>
    </xf>
    <xf numFmtId="3" fontId="47" fillId="9" borderId="7" xfId="0" applyNumberFormat="1" applyFont="1" applyFill="1" applyBorder="1" applyAlignment="1">
      <alignment horizontal="center" vertical="center"/>
    </xf>
    <xf numFmtId="182" fontId="36" fillId="9" borderId="7" xfId="0" applyNumberFormat="1" applyFont="1" applyFill="1" applyBorder="1" applyAlignment="1">
      <alignment horizontal="center"/>
    </xf>
    <xf numFmtId="182" fontId="48" fillId="2" borderId="7" xfId="0" applyNumberFormat="1" applyFont="1" applyFill="1" applyBorder="1" applyAlignment="1">
      <alignment horizontal="center"/>
    </xf>
    <xf numFmtId="182" fontId="48" fillId="2" borderId="13" xfId="0" applyNumberFormat="1" applyFont="1" applyFill="1" applyBorder="1" applyAlignment="1">
      <alignment horizontal="center"/>
    </xf>
    <xf numFmtId="182" fontId="46" fillId="9" borderId="13" xfId="0" applyNumberFormat="1" applyFont="1" applyFill="1" applyBorder="1" applyAlignment="1">
      <alignment horizontal="center"/>
    </xf>
    <xf numFmtId="0" fontId="11" fillId="15" borderId="7" xfId="0" applyFont="1" applyFill="1" applyBorder="1" applyAlignment="1">
      <alignment horizontal="center" vertical="center"/>
    </xf>
    <xf numFmtId="0" fontId="9" fillId="25" borderId="0" xfId="0" applyFont="1" applyFill="1"/>
    <xf numFmtId="0" fontId="49" fillId="0" borderId="0" xfId="0" applyFont="1"/>
    <xf numFmtId="0" fontId="49" fillId="25" borderId="0" xfId="0" applyFont="1" applyFill="1"/>
    <xf numFmtId="0" fontId="8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right"/>
    </xf>
    <xf numFmtId="0" fontId="8" fillId="21" borderId="13" xfId="0" applyFont="1" applyFill="1" applyBorder="1"/>
    <xf numFmtId="3" fontId="50" fillId="21" borderId="15" xfId="0" applyNumberFormat="1" applyFont="1" applyFill="1" applyBorder="1" applyAlignment="1">
      <alignment horizontal="center"/>
    </xf>
    <xf numFmtId="0" fontId="51" fillId="0" borderId="0" xfId="0" applyFont="1"/>
    <xf numFmtId="0" fontId="8" fillId="24" borderId="7" xfId="0" applyFont="1" applyFill="1" applyBorder="1" applyAlignment="1">
      <alignment horizontal="center"/>
    </xf>
    <xf numFmtId="0" fontId="8" fillId="24" borderId="19" xfId="0" applyFont="1" applyFill="1" applyBorder="1" applyAlignment="1">
      <alignment horizontal="center"/>
    </xf>
    <xf numFmtId="182" fontId="8" fillId="0" borderId="19" xfId="0" applyNumberFormat="1" applyFont="1" applyBorder="1" applyAlignment="1">
      <alignment horizontal="center"/>
    </xf>
    <xf numFmtId="182" fontId="8" fillId="2" borderId="19" xfId="0" applyNumberFormat="1" applyFont="1" applyFill="1" applyBorder="1" applyAlignment="1">
      <alignment horizontal="center"/>
    </xf>
    <xf numFmtId="182" fontId="8" fillId="18" borderId="19" xfId="0" applyNumberFormat="1" applyFont="1" applyFill="1" applyBorder="1" applyAlignment="1">
      <alignment horizontal="center"/>
    </xf>
    <xf numFmtId="0" fontId="8" fillId="0" borderId="19" xfId="0" applyFont="1" applyBorder="1"/>
    <xf numFmtId="182" fontId="8" fillId="18" borderId="15" xfId="0" applyNumberFormat="1" applyFont="1" applyFill="1" applyBorder="1" applyAlignment="1">
      <alignment horizontal="center"/>
    </xf>
    <xf numFmtId="0" fontId="8" fillId="0" borderId="15" xfId="0" applyFont="1" applyBorder="1"/>
    <xf numFmtId="0" fontId="8" fillId="24" borderId="3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182" fontId="8" fillId="26" borderId="15" xfId="0" applyNumberFormat="1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7" fillId="17" borderId="7" xfId="0" applyFont="1" applyFill="1" applyBorder="1" applyAlignment="1">
      <alignment horizontal="center"/>
    </xf>
    <xf numFmtId="0" fontId="8" fillId="17" borderId="7" xfId="0" applyFont="1" applyFill="1" applyBorder="1"/>
    <xf numFmtId="2" fontId="9" fillId="0" borderId="7" xfId="0" applyNumberFormat="1" applyFont="1" applyBorder="1" applyAlignment="1">
      <alignment horizontal="center"/>
    </xf>
    <xf numFmtId="2" fontId="9" fillId="0" borderId="7" xfId="0" quotePrefix="1" applyNumberFormat="1" applyFont="1" applyBorder="1" applyAlignment="1">
      <alignment horizontal="center"/>
    </xf>
    <xf numFmtId="0" fontId="9" fillId="0" borderId="7" xfId="0" quotePrefix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0" fontId="8" fillId="0" borderId="7" xfId="0" quotePrefix="1" applyFont="1" applyBorder="1" applyAlignment="1">
      <alignment horizontal="center"/>
    </xf>
    <xf numFmtId="0" fontId="49" fillId="6" borderId="7" xfId="0" applyFont="1" applyFill="1" applyBorder="1" applyAlignment="1">
      <alignment horizontal="center" vertical="center"/>
    </xf>
    <xf numFmtId="0" fontId="52" fillId="0" borderId="0" xfId="0" applyFont="1"/>
    <xf numFmtId="0" fontId="49" fillId="0" borderId="0" xfId="0" applyFont="1" applyAlignment="1">
      <alignment horizontal="center"/>
    </xf>
    <xf numFmtId="0" fontId="49" fillId="0" borderId="7" xfId="0" applyFont="1" applyBorder="1" applyAlignment="1">
      <alignment horizontal="center" vertical="center"/>
    </xf>
    <xf numFmtId="0" fontId="49" fillId="13" borderId="7" xfId="0" applyFont="1" applyFill="1" applyBorder="1" applyAlignment="1">
      <alignment horizontal="center"/>
    </xf>
    <xf numFmtId="0" fontId="49" fillId="0" borderId="43" xfId="0" applyFont="1" applyBorder="1" applyAlignment="1">
      <alignment horizontal="left"/>
    </xf>
    <xf numFmtId="0" fontId="49" fillId="0" borderId="0" xfId="0" applyFont="1" applyAlignment="1">
      <alignment horizontal="center" vertical="center"/>
    </xf>
    <xf numFmtId="0" fontId="49" fillId="0" borderId="44" xfId="0" applyFont="1" applyBorder="1" applyAlignment="1">
      <alignment horizontal="left"/>
    </xf>
    <xf numFmtId="0" fontId="49" fillId="0" borderId="22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49" fillId="13" borderId="8" xfId="0" applyFont="1" applyFill="1" applyBorder="1" applyAlignment="1">
      <alignment horizontal="center"/>
    </xf>
    <xf numFmtId="0" fontId="49" fillId="15" borderId="22" xfId="0" applyFont="1" applyFill="1" applyBorder="1" applyAlignment="1">
      <alignment horizontal="left"/>
    </xf>
    <xf numFmtId="0" fontId="49" fillId="0" borderId="48" xfId="0" applyFont="1" applyBorder="1" applyAlignment="1">
      <alignment horizontal="left"/>
    </xf>
    <xf numFmtId="0" fontId="49" fillId="0" borderId="49" xfId="0" applyFont="1" applyBorder="1" applyAlignment="1">
      <alignment horizontal="left"/>
    </xf>
    <xf numFmtId="0" fontId="49" fillId="0" borderId="21" xfId="0" applyFont="1" applyBorder="1" applyAlignment="1">
      <alignment horizontal="left"/>
    </xf>
    <xf numFmtId="0" fontId="8" fillId="21" borderId="19" xfId="0" applyFont="1" applyFill="1" applyBorder="1" applyAlignment="1">
      <alignment horizontal="center"/>
    </xf>
    <xf numFmtId="0" fontId="8" fillId="21" borderId="6" xfId="0" applyFont="1" applyFill="1" applyBorder="1" applyAlignment="1">
      <alignment horizontal="center"/>
    </xf>
    <xf numFmtId="0" fontId="8" fillId="21" borderId="15" xfId="0" applyFont="1" applyFill="1" applyBorder="1" applyAlignment="1">
      <alignment horizontal="center"/>
    </xf>
    <xf numFmtId="0" fontId="8" fillId="21" borderId="16" xfId="0" applyFont="1" applyFill="1" applyBorder="1" applyAlignment="1">
      <alignment horizontal="center"/>
    </xf>
    <xf numFmtId="0" fontId="8" fillId="21" borderId="7" xfId="0" applyFont="1" applyFill="1" applyBorder="1" applyAlignment="1">
      <alignment horizontal="center"/>
    </xf>
    <xf numFmtId="3" fontId="8" fillId="0" borderId="16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3" fontId="8" fillId="0" borderId="9" xfId="0" applyNumberFormat="1" applyFont="1" applyBorder="1" applyAlignment="1">
      <alignment horizontal="center"/>
    </xf>
    <xf numFmtId="0" fontId="8" fillId="0" borderId="13" xfId="0" applyFont="1" applyBorder="1"/>
    <xf numFmtId="0" fontId="8" fillId="0" borderId="15" xfId="0" applyFont="1" applyBorder="1" applyAlignment="1">
      <alignment horizontal="right"/>
    </xf>
    <xf numFmtId="0" fontId="50" fillId="9" borderId="0" xfId="0" applyFont="1" applyFill="1" applyAlignment="1">
      <alignment horizontal="left"/>
    </xf>
    <xf numFmtId="0" fontId="7" fillId="9" borderId="0" xfId="0" applyFont="1" applyFill="1" applyAlignment="1">
      <alignment horizontal="center"/>
    </xf>
    <xf numFmtId="0" fontId="7" fillId="26" borderId="7" xfId="0" applyFont="1" applyFill="1" applyBorder="1" applyAlignment="1">
      <alignment horizontal="center"/>
    </xf>
    <xf numFmtId="0" fontId="7" fillId="26" borderId="19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9" fontId="7" fillId="0" borderId="15" xfId="0" applyNumberFormat="1" applyFont="1" applyBorder="1" applyAlignment="1">
      <alignment horizontal="center"/>
    </xf>
    <xf numFmtId="0" fontId="7" fillId="26" borderId="13" xfId="0" applyFont="1" applyFill="1" applyBorder="1" applyAlignment="1">
      <alignment horizontal="center"/>
    </xf>
    <xf numFmtId="3" fontId="7" fillId="26" borderId="15" xfId="0" applyNumberFormat="1" applyFont="1" applyFill="1" applyBorder="1" applyAlignment="1">
      <alignment horizontal="center"/>
    </xf>
    <xf numFmtId="9" fontId="7" fillId="26" borderId="15" xfId="0" applyNumberFormat="1" applyFont="1" applyFill="1" applyBorder="1" applyAlignment="1">
      <alignment horizontal="center"/>
    </xf>
    <xf numFmtId="0" fontId="54" fillId="9" borderId="0" xfId="0" applyFont="1" applyFill="1" applyAlignment="1">
      <alignment horizontal="left"/>
    </xf>
    <xf numFmtId="0" fontId="54" fillId="0" borderId="0" xfId="0" applyFont="1" applyAlignment="1">
      <alignment horizontal="left"/>
    </xf>
    <xf numFmtId="0" fontId="54" fillId="9" borderId="0" xfId="0" applyFont="1" applyFill="1" applyAlignment="1">
      <alignment horizontal="center"/>
    </xf>
    <xf numFmtId="0" fontId="54" fillId="0" borderId="16" xfId="0" applyFont="1" applyBorder="1" applyAlignment="1">
      <alignment horizontal="center"/>
    </xf>
    <xf numFmtId="0" fontId="8" fillId="0" borderId="16" xfId="0" applyFont="1" applyBorder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9" borderId="0" xfId="0" applyFont="1" applyFill="1"/>
    <xf numFmtId="0" fontId="8" fillId="26" borderId="13" xfId="0" applyFont="1" applyFill="1" applyBorder="1"/>
    <xf numFmtId="0" fontId="8" fillId="26" borderId="15" xfId="0" applyFont="1" applyFill="1" applyBorder="1" applyAlignment="1">
      <alignment horizontal="center"/>
    </xf>
    <xf numFmtId="0" fontId="8" fillId="26" borderId="19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50" fillId="9" borderId="0" xfId="0" applyFont="1" applyFill="1" applyAlignment="1">
      <alignment horizontal="center"/>
    </xf>
    <xf numFmtId="0" fontId="50" fillId="26" borderId="13" xfId="0" applyFont="1" applyFill="1" applyBorder="1" applyAlignment="1">
      <alignment horizontal="center"/>
    </xf>
    <xf numFmtId="0" fontId="50" fillId="26" borderId="15" xfId="0" applyFont="1" applyFill="1" applyBorder="1"/>
    <xf numFmtId="3" fontId="50" fillId="26" borderId="15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3" fontId="8" fillId="14" borderId="3" xfId="0" applyNumberFormat="1" applyFont="1" applyFill="1" applyBorder="1"/>
    <xf numFmtId="0" fontId="8" fillId="0" borderId="23" xfId="0" quotePrefix="1" applyFont="1" applyBorder="1" applyAlignment="1">
      <alignment horizontal="left"/>
    </xf>
    <xf numFmtId="3" fontId="8" fillId="14" borderId="24" xfId="0" applyNumberFormat="1" applyFont="1" applyFill="1" applyBorder="1"/>
    <xf numFmtId="0" fontId="8" fillId="0" borderId="23" xfId="0" applyFont="1" applyBorder="1" applyAlignment="1">
      <alignment horizontal="left"/>
    </xf>
    <xf numFmtId="190" fontId="8" fillId="0" borderId="0" xfId="0" applyNumberFormat="1" applyFont="1"/>
    <xf numFmtId="0" fontId="8" fillId="0" borderId="23" xfId="0" applyFont="1" applyBorder="1"/>
    <xf numFmtId="0" fontId="8" fillId="0" borderId="24" xfId="0" applyFont="1" applyBorder="1"/>
    <xf numFmtId="3" fontId="15" fillId="14" borderId="24" xfId="0" applyNumberFormat="1" applyFont="1" applyFill="1" applyBorder="1"/>
    <xf numFmtId="0" fontId="8" fillId="0" borderId="18" xfId="0" applyFont="1" applyBorder="1"/>
    <xf numFmtId="9" fontId="8" fillId="0" borderId="15" xfId="0" applyNumberFormat="1" applyFont="1" applyBorder="1" applyAlignment="1">
      <alignment horizontal="right"/>
    </xf>
    <xf numFmtId="0" fontId="9" fillId="0" borderId="1" xfId="0" applyFont="1" applyBorder="1"/>
    <xf numFmtId="0" fontId="9" fillId="0" borderId="3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24" xfId="0" applyFont="1" applyBorder="1" applyAlignment="1">
      <alignment horizontal="right"/>
    </xf>
    <xf numFmtId="0" fontId="9" fillId="0" borderId="18" xfId="0" applyFont="1" applyBorder="1"/>
    <xf numFmtId="191" fontId="9" fillId="0" borderId="15" xfId="0" applyNumberFormat="1" applyFont="1" applyBorder="1"/>
    <xf numFmtId="4" fontId="9" fillId="14" borderId="0" xfId="0" applyNumberFormat="1" applyFont="1" applyFill="1"/>
    <xf numFmtId="182" fontId="7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6" fillId="21" borderId="7" xfId="0" applyFont="1" applyFill="1" applyBorder="1" applyAlignment="1">
      <alignment horizontal="center"/>
    </xf>
    <xf numFmtId="0" fontId="56" fillId="21" borderId="19" xfId="0" applyFont="1" applyFill="1" applyBorder="1" applyAlignment="1">
      <alignment horizontal="center"/>
    </xf>
    <xf numFmtId="0" fontId="7" fillId="0" borderId="15" xfId="0" applyFont="1" applyBorder="1" applyAlignment="1">
      <alignment horizontal="center"/>
    </xf>
    <xf numFmtId="182" fontId="7" fillId="0" borderId="15" xfId="0" applyNumberFormat="1" applyFont="1" applyBorder="1" applyAlignment="1">
      <alignment horizontal="center"/>
    </xf>
    <xf numFmtId="3" fontId="7" fillId="14" borderId="15" xfId="0" applyNumberFormat="1" applyFont="1" applyFill="1" applyBorder="1" applyAlignment="1">
      <alignment horizontal="center"/>
    </xf>
    <xf numFmtId="182" fontId="7" fillId="14" borderId="15" xfId="0" applyNumberFormat="1" applyFont="1" applyFill="1" applyBorder="1" applyAlignment="1">
      <alignment horizontal="center"/>
    </xf>
    <xf numFmtId="0" fontId="7" fillId="14" borderId="15" xfId="0" applyFont="1" applyFill="1" applyBorder="1" applyAlignment="1">
      <alignment horizontal="center"/>
    </xf>
    <xf numFmtId="178" fontId="57" fillId="0" borderId="7" xfId="0" applyNumberFormat="1" applyFont="1" applyBorder="1" applyAlignment="1">
      <alignment horizontal="center" vertical="center"/>
    </xf>
    <xf numFmtId="182" fontId="57" fillId="0" borderId="7" xfId="0" applyNumberFormat="1" applyFont="1" applyBorder="1" applyAlignment="1">
      <alignment horizontal="center" vertical="center"/>
    </xf>
    <xf numFmtId="192" fontId="57" fillId="8" borderId="7" xfId="0" applyNumberFormat="1" applyFont="1" applyFill="1" applyBorder="1" applyAlignment="1">
      <alignment horizontal="center" vertical="center"/>
    </xf>
    <xf numFmtId="192" fontId="57" fillId="8" borderId="51" xfId="0" applyNumberFormat="1" applyFont="1" applyFill="1" applyBorder="1" applyAlignment="1">
      <alignment horizontal="center" vertical="center"/>
    </xf>
    <xf numFmtId="192" fontId="58" fillId="29" borderId="52" xfId="0" applyNumberFormat="1" applyFont="1" applyFill="1" applyBorder="1" applyAlignment="1">
      <alignment horizontal="center" vertical="center"/>
    </xf>
    <xf numFmtId="192" fontId="58" fillId="29" borderId="5" xfId="0" applyNumberFormat="1" applyFont="1" applyFill="1" applyBorder="1" applyAlignment="1">
      <alignment horizontal="center" vertical="center"/>
    </xf>
    <xf numFmtId="192" fontId="57" fillId="8" borderId="53" xfId="0" applyNumberFormat="1" applyFont="1" applyFill="1" applyBorder="1" applyAlignment="1">
      <alignment horizontal="center" vertical="center"/>
    </xf>
    <xf numFmtId="178" fontId="57" fillId="0" borderId="0" xfId="0" applyNumberFormat="1" applyFont="1" applyAlignment="1">
      <alignment vertical="center"/>
    </xf>
    <xf numFmtId="178" fontId="57" fillId="0" borderId="7" xfId="0" applyNumberFormat="1" applyFont="1" applyBorder="1" applyAlignment="1">
      <alignment vertical="center"/>
    </xf>
    <xf numFmtId="178" fontId="58" fillId="0" borderId="54" xfId="0" applyNumberFormat="1" applyFont="1" applyBorder="1" applyAlignment="1">
      <alignment vertical="center"/>
    </xf>
    <xf numFmtId="178" fontId="58" fillId="0" borderId="12" xfId="0" applyNumberFormat="1" applyFont="1" applyBorder="1" applyAlignment="1">
      <alignment vertical="center"/>
    </xf>
    <xf numFmtId="178" fontId="57" fillId="0" borderId="19" xfId="0" applyNumberFormat="1" applyFont="1" applyBorder="1" applyAlignment="1">
      <alignment vertical="center"/>
    </xf>
    <xf numFmtId="178" fontId="57" fillId="0" borderId="56" xfId="0" applyNumberFormat="1" applyFont="1" applyBorder="1" applyAlignment="1">
      <alignment horizontal="center" vertical="center"/>
    </xf>
    <xf numFmtId="178" fontId="57" fillId="0" borderId="56" xfId="0" applyNumberFormat="1" applyFont="1" applyBorder="1" applyAlignment="1">
      <alignment vertical="center"/>
    </xf>
    <xf numFmtId="178" fontId="58" fillId="0" borderId="57" xfId="0" applyNumberFormat="1" applyFont="1" applyBorder="1" applyAlignment="1">
      <alignment vertical="center"/>
    </xf>
    <xf numFmtId="178" fontId="58" fillId="0" borderId="17" xfId="0" applyNumberFormat="1" applyFont="1" applyBorder="1" applyAlignment="1">
      <alignment vertical="center"/>
    </xf>
    <xf numFmtId="178" fontId="57" fillId="0" borderId="26" xfId="0" applyNumberFormat="1" applyFont="1" applyBorder="1" applyAlignment="1">
      <alignment vertical="center"/>
    </xf>
    <xf numFmtId="178" fontId="57" fillId="0" borderId="8" xfId="0" applyNumberFormat="1" applyFont="1" applyBorder="1" applyAlignment="1">
      <alignment vertical="center"/>
    </xf>
    <xf numFmtId="178" fontId="57" fillId="0" borderId="4" xfId="0" applyNumberFormat="1" applyFont="1" applyBorder="1" applyAlignment="1">
      <alignment vertical="center"/>
    </xf>
    <xf numFmtId="178" fontId="58" fillId="0" borderId="27" xfId="0" applyNumberFormat="1" applyFont="1" applyBorder="1" applyAlignment="1">
      <alignment vertical="center"/>
    </xf>
    <xf numFmtId="0" fontId="57" fillId="0" borderId="0" xfId="0" applyFont="1" applyAlignment="1">
      <alignment vertical="center"/>
    </xf>
    <xf numFmtId="178" fontId="57" fillId="0" borderId="9" xfId="0" applyNumberFormat="1" applyFont="1" applyBorder="1" applyAlignment="1">
      <alignment vertical="center"/>
    </xf>
    <xf numFmtId="178" fontId="57" fillId="0" borderId="13" xfId="0" applyNumberFormat="1" applyFont="1" applyBorder="1" applyAlignment="1">
      <alignment vertical="center"/>
    </xf>
    <xf numFmtId="182" fontId="57" fillId="0" borderId="56" xfId="0" applyNumberFormat="1" applyFont="1" applyBorder="1" applyAlignment="1">
      <alignment horizontal="center" vertical="center"/>
    </xf>
    <xf numFmtId="178" fontId="57" fillId="0" borderId="25" xfId="0" applyNumberFormat="1" applyFont="1" applyBorder="1" applyAlignment="1">
      <alignment vertical="center"/>
    </xf>
    <xf numFmtId="182" fontId="57" fillId="0" borderId="13" xfId="0" applyNumberFormat="1" applyFont="1" applyBorder="1" applyAlignment="1">
      <alignment horizontal="center" vertical="center"/>
    </xf>
    <xf numFmtId="178" fontId="57" fillId="0" borderId="13" xfId="0" applyNumberFormat="1" applyFont="1" applyBorder="1" applyAlignment="1">
      <alignment horizontal="center" vertical="center"/>
    </xf>
    <xf numFmtId="178" fontId="57" fillId="0" borderId="18" xfId="0" applyNumberFormat="1" applyFont="1" applyBorder="1" applyAlignment="1">
      <alignment vertical="center"/>
    </xf>
    <xf numFmtId="178" fontId="58" fillId="0" borderId="58" xfId="0" applyNumberFormat="1" applyFont="1" applyBorder="1" applyAlignment="1">
      <alignment vertical="center"/>
    </xf>
    <xf numFmtId="178" fontId="57" fillId="0" borderId="15" xfId="0" applyNumberFormat="1" applyFont="1" applyBorder="1" applyAlignment="1">
      <alignment vertical="center"/>
    </xf>
    <xf numFmtId="182" fontId="59" fillId="0" borderId="0" xfId="0" applyNumberFormat="1" applyFont="1" applyAlignment="1">
      <alignment vertical="center"/>
    </xf>
    <xf numFmtId="0" fontId="59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2" fontId="9" fillId="0" borderId="0" xfId="0" applyNumberFormat="1" applyFont="1"/>
    <xf numFmtId="0" fontId="5" fillId="3" borderId="5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28" fillId="0" borderId="0" xfId="0" applyNumberFormat="1" applyFont="1" applyAlignment="1">
      <alignment horizontal="center"/>
    </xf>
    <xf numFmtId="0" fontId="65" fillId="3" borderId="59" xfId="0" applyFont="1" applyFill="1" applyBorder="1" applyAlignment="1">
      <alignment horizontal="center"/>
    </xf>
    <xf numFmtId="0" fontId="5" fillId="15" borderId="59" xfId="0" applyFont="1" applyFill="1" applyBorder="1" applyAlignment="1">
      <alignment horizontal="center"/>
    </xf>
    <xf numFmtId="41" fontId="3" fillId="0" borderId="59" xfId="1" applyFont="1" applyBorder="1" applyAlignment="1">
      <alignment horizontal="center"/>
    </xf>
    <xf numFmtId="41" fontId="9" fillId="0" borderId="59" xfId="1" applyFont="1" applyBorder="1" applyAlignment="1">
      <alignment horizontal="center"/>
    </xf>
    <xf numFmtId="3" fontId="5" fillId="3" borderId="59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5" fillId="18" borderId="59" xfId="0" applyFont="1" applyFill="1" applyBorder="1" applyAlignment="1">
      <alignment horizontal="center"/>
    </xf>
    <xf numFmtId="0" fontId="65" fillId="18" borderId="59" xfId="0" applyFont="1" applyFill="1" applyBorder="1" applyAlignment="1">
      <alignment horizontal="center"/>
    </xf>
    <xf numFmtId="3" fontId="5" fillId="15" borderId="59" xfId="0" applyNumberFormat="1" applyFont="1" applyFill="1" applyBorder="1" applyAlignment="1">
      <alignment horizontal="center"/>
    </xf>
    <xf numFmtId="3" fontId="5" fillId="18" borderId="59" xfId="0" applyNumberFormat="1" applyFont="1" applyFill="1" applyBorder="1" applyAlignment="1">
      <alignment horizontal="center"/>
    </xf>
    <xf numFmtId="0" fontId="5" fillId="5" borderId="59" xfId="0" applyFont="1" applyFill="1" applyBorder="1" applyAlignment="1">
      <alignment horizontal="center"/>
    </xf>
    <xf numFmtId="0" fontId="65" fillId="5" borderId="59" xfId="0" applyFont="1" applyFill="1" applyBorder="1" applyAlignment="1">
      <alignment horizontal="center"/>
    </xf>
    <xf numFmtId="41" fontId="3" fillId="14" borderId="59" xfId="1" applyFont="1" applyFill="1" applyBorder="1" applyAlignment="1">
      <alignment horizontal="center"/>
    </xf>
    <xf numFmtId="41" fontId="20" fillId="14" borderId="59" xfId="1" applyFont="1" applyFill="1" applyBorder="1" applyAlignment="1">
      <alignment horizontal="center"/>
    </xf>
    <xf numFmtId="3" fontId="5" fillId="5" borderId="59" xfId="0" applyNumberFormat="1" applyFont="1" applyFill="1" applyBorder="1" applyAlignment="1">
      <alignment horizontal="center"/>
    </xf>
    <xf numFmtId="180" fontId="11" fillId="14" borderId="59" xfId="0" applyNumberFormat="1" applyFont="1" applyFill="1" applyBorder="1" applyAlignment="1">
      <alignment horizontal="center"/>
    </xf>
    <xf numFmtId="180" fontId="11" fillId="0" borderId="59" xfId="0" applyNumberFormat="1" applyFont="1" applyBorder="1" applyAlignment="1">
      <alignment horizontal="center"/>
    </xf>
    <xf numFmtId="180" fontId="3" fillId="0" borderId="59" xfId="0" applyNumberFormat="1" applyFont="1" applyBorder="1" applyAlignment="1">
      <alignment horizontal="center"/>
    </xf>
    <xf numFmtId="180" fontId="5" fillId="5" borderId="59" xfId="0" applyNumberFormat="1" applyFont="1" applyFill="1" applyBorder="1" applyAlignment="1">
      <alignment horizontal="center"/>
    </xf>
    <xf numFmtId="176" fontId="28" fillId="0" borderId="0" xfId="0" applyNumberFormat="1" applyFont="1" applyAlignment="1">
      <alignment horizontal="left"/>
    </xf>
    <xf numFmtId="177" fontId="29" fillId="0" borderId="0" xfId="0" applyNumberFormat="1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41" fontId="9" fillId="0" borderId="59" xfId="1" applyFont="1" applyFill="1" applyBorder="1" applyAlignment="1">
      <alignment horizontal="center"/>
    </xf>
    <xf numFmtId="0" fontId="64" fillId="0" borderId="59" xfId="0" applyFont="1" applyBorder="1" applyAlignment="1">
      <alignment horizontal="center"/>
    </xf>
    <xf numFmtId="0" fontId="67" fillId="0" borderId="59" xfId="0" applyFont="1" applyBorder="1" applyAlignment="1">
      <alignment horizontal="center"/>
    </xf>
    <xf numFmtId="3" fontId="9" fillId="0" borderId="59" xfId="0" applyNumberFormat="1" applyFont="1" applyBorder="1" applyAlignment="1">
      <alignment horizontal="center"/>
    </xf>
    <xf numFmtId="0" fontId="9" fillId="31" borderId="59" xfId="0" applyFont="1" applyFill="1" applyBorder="1" applyAlignment="1">
      <alignment horizontal="center"/>
    </xf>
    <xf numFmtId="41" fontId="9" fillId="31" borderId="59" xfId="1" applyFont="1" applyFill="1" applyBorder="1" applyAlignment="1">
      <alignment horizontal="center"/>
    </xf>
    <xf numFmtId="0" fontId="64" fillId="31" borderId="59" xfId="0" applyFont="1" applyFill="1" applyBorder="1" applyAlignment="1">
      <alignment horizontal="center"/>
    </xf>
    <xf numFmtId="41" fontId="9" fillId="30" borderId="0" xfId="0" applyNumberFormat="1" applyFont="1" applyFill="1" applyAlignment="1">
      <alignment horizontal="center"/>
    </xf>
    <xf numFmtId="193" fontId="0" fillId="0" borderId="0" xfId="0" applyNumberFormat="1" applyAlignment="1">
      <alignment horizontal="center"/>
    </xf>
    <xf numFmtId="193" fontId="9" fillId="0" borderId="0" xfId="0" applyNumberFormat="1" applyFont="1" applyAlignment="1">
      <alignment horizontal="center"/>
    </xf>
    <xf numFmtId="193" fontId="9" fillId="30" borderId="0" xfId="0" applyNumberFormat="1" applyFont="1" applyFill="1" applyAlignment="1">
      <alignment horizontal="center"/>
    </xf>
    <xf numFmtId="0" fontId="9" fillId="30" borderId="0" xfId="0" applyFont="1" applyFill="1" applyAlignment="1">
      <alignment horizontal="center"/>
    </xf>
    <xf numFmtId="3" fontId="9" fillId="30" borderId="0" xfId="0" applyNumberFormat="1" applyFont="1" applyFill="1" applyAlignment="1">
      <alignment horizontal="center"/>
    </xf>
    <xf numFmtId="0" fontId="68" fillId="0" borderId="0" xfId="0" applyFont="1" applyAlignment="1">
      <alignment horizontal="center"/>
    </xf>
    <xf numFmtId="41" fontId="0" fillId="0" borderId="0" xfId="1" applyFont="1" applyAlignment="1">
      <alignment horizontal="center"/>
    </xf>
    <xf numFmtId="41" fontId="9" fillId="0" borderId="0" xfId="1" applyFont="1" applyAlignment="1">
      <alignment horizontal="center"/>
    </xf>
    <xf numFmtId="0" fontId="8" fillId="0" borderId="0" xfId="0" applyFont="1"/>
    <xf numFmtId="0" fontId="0" fillId="0" borderId="0" xfId="0"/>
    <xf numFmtId="0" fontId="11" fillId="4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6" fillId="4" borderId="9" xfId="0" applyFont="1" applyFill="1" applyBorder="1" applyAlignment="1">
      <alignment vertical="center"/>
    </xf>
    <xf numFmtId="0" fontId="4" fillId="0" borderId="9" xfId="0" applyFont="1" applyBorder="1"/>
    <xf numFmtId="0" fontId="11" fillId="4" borderId="23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18" xfId="0" applyFont="1" applyBorder="1"/>
    <xf numFmtId="0" fontId="11" fillId="6" borderId="23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4" fillId="0" borderId="19" xfId="0" applyFont="1" applyBorder="1"/>
    <xf numFmtId="0" fontId="11" fillId="4" borderId="1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/>
    </xf>
    <xf numFmtId="176" fontId="5" fillId="0" borderId="16" xfId="0" applyNumberFormat="1" applyFont="1" applyBorder="1" applyAlignment="1">
      <alignment horizontal="center"/>
    </xf>
    <xf numFmtId="0" fontId="4" fillId="0" borderId="16" xfId="0" applyFont="1" applyBorder="1"/>
    <xf numFmtId="176" fontId="3" fillId="3" borderId="1" xfId="0" applyNumberFormat="1" applyFont="1" applyFill="1" applyBorder="1" applyAlignment="1">
      <alignment horizontal="center"/>
    </xf>
    <xf numFmtId="176" fontId="1" fillId="3" borderId="9" xfId="0" applyNumberFormat="1" applyFont="1" applyFill="1" applyBorder="1"/>
    <xf numFmtId="0" fontId="4" fillId="0" borderId="13" xfId="0" applyFont="1" applyBorder="1"/>
    <xf numFmtId="176" fontId="3" fillId="4" borderId="10" xfId="0" applyNumberFormat="1" applyFont="1" applyFill="1" applyBorder="1" applyAlignment="1">
      <alignment horizontal="center"/>
    </xf>
    <xf numFmtId="0" fontId="4" fillId="0" borderId="10" xfId="0" applyFont="1" applyBorder="1"/>
    <xf numFmtId="0" fontId="4" fillId="0" borderId="14" xfId="0" applyFont="1" applyBorder="1"/>
    <xf numFmtId="176" fontId="3" fillId="6" borderId="10" xfId="0" applyNumberFormat="1" applyFont="1" applyFill="1" applyBorder="1" applyAlignment="1">
      <alignment horizontal="center"/>
    </xf>
    <xf numFmtId="176" fontId="5" fillId="3" borderId="16" xfId="0" applyNumberFormat="1" applyFont="1" applyFill="1" applyBorder="1" applyAlignment="1">
      <alignment horizontal="center"/>
    </xf>
    <xf numFmtId="0" fontId="4" fillId="0" borderId="15" xfId="0" applyFont="1" applyBorder="1"/>
    <xf numFmtId="176" fontId="3" fillId="4" borderId="1" xfId="0" applyNumberFormat="1" applyFont="1" applyFill="1" applyBorder="1" applyAlignment="1">
      <alignment horizontal="center"/>
    </xf>
    <xf numFmtId="176" fontId="1" fillId="4" borderId="9" xfId="0" applyNumberFormat="1" applyFont="1" applyFill="1" applyBorder="1"/>
    <xf numFmtId="176" fontId="5" fillId="4" borderId="16" xfId="0" applyNumberFormat="1" applyFont="1" applyFill="1" applyBorder="1" applyAlignment="1">
      <alignment horizontal="center"/>
    </xf>
    <xf numFmtId="176" fontId="5" fillId="8" borderId="16" xfId="0" applyNumberFormat="1" applyFont="1" applyFill="1" applyBorder="1" applyAlignment="1">
      <alignment horizontal="center"/>
    </xf>
    <xf numFmtId="176" fontId="3" fillId="8" borderId="23" xfId="0" applyNumberFormat="1" applyFont="1" applyFill="1" applyBorder="1" applyAlignment="1">
      <alignment horizontal="center"/>
    </xf>
    <xf numFmtId="0" fontId="4" fillId="0" borderId="24" xfId="0" applyFont="1" applyBorder="1"/>
    <xf numFmtId="176" fontId="3" fillId="4" borderId="8" xfId="0" applyNumberFormat="1" applyFont="1" applyFill="1" applyBorder="1" applyAlignment="1">
      <alignment horizontal="center"/>
    </xf>
    <xf numFmtId="176" fontId="1" fillId="8" borderId="9" xfId="0" applyNumberFormat="1" applyFont="1" applyFill="1" applyBorder="1"/>
    <xf numFmtId="176" fontId="1" fillId="0" borderId="0" xfId="0" applyNumberFormat="1" applyFont="1"/>
    <xf numFmtId="176" fontId="3" fillId="8" borderId="1" xfId="0" applyNumberFormat="1" applyFont="1" applyFill="1" applyBorder="1" applyAlignment="1">
      <alignment horizontal="center"/>
    </xf>
    <xf numFmtId="3" fontId="30" fillId="5" borderId="59" xfId="0" applyNumberFormat="1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/>
    </xf>
    <xf numFmtId="176" fontId="5" fillId="5" borderId="59" xfId="0" applyNumberFormat="1" applyFont="1" applyFill="1" applyBorder="1" applyAlignment="1">
      <alignment horizontal="center"/>
    </xf>
    <xf numFmtId="176" fontId="30" fillId="5" borderId="59" xfId="0" applyNumberFormat="1" applyFont="1" applyFill="1" applyBorder="1" applyAlignment="1">
      <alignment horizontal="center" vertical="center"/>
    </xf>
    <xf numFmtId="176" fontId="5" fillId="3" borderId="59" xfId="0" applyNumberFormat="1" applyFont="1" applyFill="1" applyBorder="1" applyAlignment="1">
      <alignment horizontal="center"/>
    </xf>
    <xf numFmtId="176" fontId="30" fillId="3" borderId="59" xfId="0" applyNumberFormat="1" applyFont="1" applyFill="1" applyBorder="1" applyAlignment="1">
      <alignment horizontal="center" vertical="center"/>
    </xf>
    <xf numFmtId="176" fontId="5" fillId="18" borderId="59" xfId="0" applyNumberFormat="1" applyFont="1" applyFill="1" applyBorder="1" applyAlignment="1">
      <alignment horizontal="center"/>
    </xf>
    <xf numFmtId="3" fontId="30" fillId="18" borderId="59" xfId="0" applyNumberFormat="1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center"/>
    </xf>
    <xf numFmtId="0" fontId="5" fillId="18" borderId="59" xfId="0" applyFont="1" applyFill="1" applyBorder="1" applyAlignment="1">
      <alignment horizontal="center"/>
    </xf>
    <xf numFmtId="3" fontId="5" fillId="5" borderId="59" xfId="0" applyNumberFormat="1" applyFont="1" applyFill="1" applyBorder="1" applyAlignment="1">
      <alignment horizontal="center"/>
    </xf>
    <xf numFmtId="0" fontId="5" fillId="5" borderId="59" xfId="0" applyFont="1" applyFill="1" applyBorder="1" applyAlignment="1">
      <alignment horizontal="center"/>
    </xf>
    <xf numFmtId="0" fontId="21" fillId="0" borderId="0" xfId="0" applyFont="1"/>
    <xf numFmtId="0" fontId="17" fillId="0" borderId="16" xfId="0" applyFont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20" fillId="20" borderId="9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2" borderId="23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/>
    </xf>
    <xf numFmtId="0" fontId="17" fillId="20" borderId="6" xfId="0" applyFont="1" applyFill="1" applyBorder="1" applyAlignment="1">
      <alignment horizontal="center"/>
    </xf>
    <xf numFmtId="0" fontId="4" fillId="0" borderId="6" xfId="0" applyFont="1" applyBorder="1"/>
    <xf numFmtId="0" fontId="3" fillId="21" borderId="1" xfId="0" applyFont="1" applyFill="1" applyBorder="1" applyAlignment="1">
      <alignment horizontal="center"/>
    </xf>
    <xf numFmtId="0" fontId="20" fillId="21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/>
    </xf>
    <xf numFmtId="0" fontId="20" fillId="5" borderId="9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21" borderId="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1" fillId="21" borderId="1" xfId="0" applyFont="1" applyFill="1" applyBorder="1" applyAlignment="1">
      <alignment horizontal="center"/>
    </xf>
    <xf numFmtId="0" fontId="11" fillId="22" borderId="1" xfId="0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1" fillId="22" borderId="1" xfId="0" applyFont="1" applyFill="1" applyBorder="1" applyAlignment="1">
      <alignment horizontal="center" vertical="center"/>
    </xf>
    <xf numFmtId="176" fontId="3" fillId="3" borderId="6" xfId="0" applyNumberFormat="1" applyFont="1" applyFill="1" applyBorder="1" applyAlignment="1">
      <alignment horizontal="center"/>
    </xf>
    <xf numFmtId="176" fontId="3" fillId="4" borderId="3" xfId="0" applyNumberFormat="1" applyFont="1" applyFill="1" applyBorder="1" applyAlignment="1">
      <alignment horizontal="center" vertical="center"/>
    </xf>
    <xf numFmtId="176" fontId="3" fillId="6" borderId="3" xfId="0" applyNumberFormat="1" applyFont="1" applyFill="1" applyBorder="1" applyAlignment="1">
      <alignment horizontal="center" vertical="center"/>
    </xf>
    <xf numFmtId="176" fontId="5" fillId="3" borderId="6" xfId="0" applyNumberFormat="1" applyFont="1" applyFill="1" applyBorder="1" applyAlignment="1">
      <alignment horizontal="center"/>
    </xf>
    <xf numFmtId="0" fontId="3" fillId="20" borderId="6" xfId="0" applyFont="1" applyFill="1" applyBorder="1" applyAlignment="1">
      <alignment horizontal="center"/>
    </xf>
    <xf numFmtId="0" fontId="11" fillId="21" borderId="3" xfId="0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9" fillId="3" borderId="6" xfId="0" applyFont="1" applyFill="1" applyBorder="1"/>
    <xf numFmtId="0" fontId="3" fillId="12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9" fillId="15" borderId="8" xfId="0" applyFont="1" applyFill="1" applyBorder="1"/>
    <xf numFmtId="0" fontId="11" fillId="21" borderId="8" xfId="0" applyFont="1" applyFill="1" applyBorder="1" applyAlignment="1">
      <alignment horizontal="center" vertical="center"/>
    </xf>
    <xf numFmtId="0" fontId="11" fillId="22" borderId="8" xfId="0" applyFont="1" applyFill="1" applyBorder="1" applyAlignment="1">
      <alignment horizontal="center" vertical="center"/>
    </xf>
    <xf numFmtId="0" fontId="17" fillId="15" borderId="8" xfId="0" applyFont="1" applyFill="1" applyBorder="1" applyAlignment="1">
      <alignment horizontal="center"/>
    </xf>
    <xf numFmtId="176" fontId="3" fillId="4" borderId="8" xfId="0" applyNumberFormat="1" applyFont="1" applyFill="1" applyBorder="1" applyAlignment="1">
      <alignment horizontal="center" vertical="center"/>
    </xf>
    <xf numFmtId="176" fontId="3" fillId="6" borderId="8" xfId="0" applyNumberFormat="1" applyFont="1" applyFill="1" applyBorder="1" applyAlignment="1">
      <alignment horizontal="center" vertical="center"/>
    </xf>
    <xf numFmtId="0" fontId="9" fillId="15" borderId="8" xfId="0" applyFont="1" applyFill="1" applyBorder="1" applyAlignment="1">
      <alignment horizontal="center" vertical="center"/>
    </xf>
    <xf numFmtId="0" fontId="49" fillId="0" borderId="4" xfId="0" applyFont="1" applyBorder="1" applyAlignment="1">
      <alignment vertical="center"/>
    </xf>
    <xf numFmtId="0" fontId="53" fillId="0" borderId="0" xfId="0" applyFont="1"/>
    <xf numFmtId="0" fontId="8" fillId="21" borderId="8" xfId="0" applyFont="1" applyFill="1" applyBorder="1" applyAlignment="1">
      <alignment horizontal="center"/>
    </xf>
    <xf numFmtId="0" fontId="8" fillId="21" borderId="8" xfId="0" applyFont="1" applyFill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8" fillId="21" borderId="4" xfId="0" applyFont="1" applyFill="1" applyBorder="1" applyAlignment="1">
      <alignment horizontal="center"/>
    </xf>
    <xf numFmtId="0" fontId="8" fillId="21" borderId="2" xfId="0" applyFont="1" applyFill="1" applyBorder="1" applyAlignment="1">
      <alignment horizontal="center"/>
    </xf>
    <xf numFmtId="0" fontId="49" fillId="5" borderId="48" xfId="0" applyFont="1" applyFill="1" applyBorder="1" applyAlignment="1">
      <alignment horizontal="center"/>
    </xf>
    <xf numFmtId="0" fontId="4" fillId="0" borderId="49" xfId="0" applyFont="1" applyBorder="1"/>
    <xf numFmtId="0" fontId="4" fillId="0" borderId="21" xfId="0" applyFont="1" applyBorder="1"/>
    <xf numFmtId="0" fontId="49" fillId="18" borderId="45" xfId="0" applyFont="1" applyFill="1" applyBorder="1" applyAlignment="1">
      <alignment horizontal="center"/>
    </xf>
    <xf numFmtId="0" fontId="4" fillId="0" borderId="46" xfId="0" applyFont="1" applyBorder="1"/>
    <xf numFmtId="0" fontId="4" fillId="0" borderId="47" xfId="0" applyFont="1" applyBorder="1"/>
    <xf numFmtId="0" fontId="49" fillId="6" borderId="4" xfId="0" applyFont="1" applyFill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189" fontId="49" fillId="0" borderId="4" xfId="0" applyNumberFormat="1" applyFont="1" applyBorder="1" applyAlignment="1">
      <alignment horizontal="left" vertical="center"/>
    </xf>
    <xf numFmtId="0" fontId="50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178" fontId="57" fillId="0" borderId="8" xfId="0" applyNumberFormat="1" applyFont="1" applyBorder="1" applyAlignment="1">
      <alignment horizontal="center" vertical="center"/>
    </xf>
    <xf numFmtId="0" fontId="4" fillId="0" borderId="55" xfId="0" applyFont="1" applyBorder="1"/>
    <xf numFmtId="182" fontId="57" fillId="0" borderId="8" xfId="0" applyNumberFormat="1" applyFont="1" applyBorder="1" applyAlignment="1">
      <alignment horizontal="center" vertical="center"/>
    </xf>
    <xf numFmtId="178" fontId="57" fillId="0" borderId="9" xfId="0" applyNumberFormat="1" applyFont="1" applyBorder="1" applyAlignment="1">
      <alignment horizontal="center" vertical="center"/>
    </xf>
    <xf numFmtId="41" fontId="3" fillId="0" borderId="0" xfId="0" applyNumberFormat="1" applyFont="1" applyAlignment="1">
      <alignment horizontal="center"/>
    </xf>
    <xf numFmtId="41" fontId="69" fillId="0" borderId="59" xfId="1" applyFont="1" applyFill="1" applyBorder="1" applyAlignment="1">
      <alignment horizontal="center"/>
    </xf>
    <xf numFmtId="41" fontId="70" fillId="0" borderId="59" xfId="1" applyFont="1" applyFill="1" applyBorder="1" applyAlignment="1">
      <alignment horizontal="center"/>
    </xf>
  </cellXfs>
  <cellStyles count="2">
    <cellStyle name="쉼표 [0]" xfId="1" builtinId="6"/>
    <cellStyle name="표준" xfId="0" builtinId="0"/>
  </cellStyles>
  <dxfs count="1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99A9D"/>
          <bgColor rgb="FFF99A9D"/>
        </patternFill>
      </fill>
    </dxf>
    <dxf>
      <fill>
        <patternFill patternType="solid">
          <fgColor rgb="FFF99A9D"/>
          <bgColor rgb="FFF99A9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390525</xdr:colOff>
      <xdr:row>5</xdr:row>
      <xdr:rowOff>28575</xdr:rowOff>
    </xdr:from>
    <xdr:ext cx="4419600" cy="4314825"/>
    <xdr:pic>
      <xdr:nvPicPr>
        <xdr:cNvPr id="2" name="image7.png" title="이미지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171450</xdr:rowOff>
    </xdr:from>
    <xdr:ext cx="14754225" cy="6781800"/>
    <xdr:pic>
      <xdr:nvPicPr>
        <xdr:cNvPr id="2" name="image5.png" title="이미지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7</xdr:row>
      <xdr:rowOff>76200</xdr:rowOff>
    </xdr:from>
    <xdr:ext cx="8953500" cy="3743325"/>
    <xdr:pic>
      <xdr:nvPicPr>
        <xdr:cNvPr id="2" name="image6.png" title="이미지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28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.75" customHeight="1"/>
  <cols>
    <col min="8" max="8" width="16.5703125" customWidth="1"/>
    <col min="10" max="10" width="16" customWidth="1"/>
    <col min="11" max="12" width="17.28515625" customWidth="1"/>
    <col min="17" max="17" width="19" customWidth="1"/>
    <col min="23" max="23" width="16" customWidth="1"/>
  </cols>
  <sheetData>
    <row r="1" spans="1:24" ht="15.75" customHeight="1">
      <c r="A1" s="31"/>
      <c r="B1" s="31"/>
      <c r="C1" s="31"/>
      <c r="D1" s="31" t="s">
        <v>25</v>
      </c>
      <c r="E1" s="31"/>
      <c r="F1" s="578" t="s">
        <v>26</v>
      </c>
      <c r="G1" s="579"/>
      <c r="H1" s="31"/>
      <c r="I1" s="31"/>
    </row>
    <row r="2" spans="1:24" ht="15.75" customHeight="1">
      <c r="A2" s="580" t="s">
        <v>23</v>
      </c>
      <c r="B2" s="581"/>
      <c r="C2" s="582"/>
      <c r="D2" s="41" t="s">
        <v>56</v>
      </c>
      <c r="E2" s="42" t="s">
        <v>57</v>
      </c>
      <c r="F2" s="41" t="s">
        <v>58</v>
      </c>
      <c r="G2" s="43" t="s">
        <v>59</v>
      </c>
      <c r="H2" s="41" t="s">
        <v>60</v>
      </c>
      <c r="I2" s="43" t="s">
        <v>61</v>
      </c>
      <c r="J2" s="44" t="s">
        <v>62</v>
      </c>
      <c r="K2" s="43" t="s">
        <v>63</v>
      </c>
      <c r="L2" s="43" t="s">
        <v>64</v>
      </c>
      <c r="M2" s="44" t="s">
        <v>65</v>
      </c>
      <c r="N2" s="33" t="s">
        <v>66</v>
      </c>
      <c r="O2" s="33" t="s">
        <v>67</v>
      </c>
      <c r="P2" s="32" t="s">
        <v>68</v>
      </c>
      <c r="Q2" s="32" t="s">
        <v>69</v>
      </c>
      <c r="R2" s="33" t="s">
        <v>70</v>
      </c>
      <c r="S2" s="33" t="s">
        <v>71</v>
      </c>
      <c r="T2" s="33" t="s">
        <v>72</v>
      </c>
      <c r="U2" s="32" t="s">
        <v>73</v>
      </c>
      <c r="V2" s="33" t="s">
        <v>74</v>
      </c>
      <c r="W2" s="33" t="s">
        <v>75</v>
      </c>
      <c r="X2" s="43" t="s">
        <v>76</v>
      </c>
    </row>
    <row r="3" spans="1:24" ht="15.75" customHeight="1">
      <c r="A3" s="583"/>
      <c r="B3" s="585" t="s">
        <v>14</v>
      </c>
      <c r="C3" s="45">
        <v>1</v>
      </c>
      <c r="D3" s="46">
        <v>15895</v>
      </c>
      <c r="E3" s="46"/>
      <c r="F3" s="46">
        <v>112</v>
      </c>
      <c r="G3" s="46">
        <v>896</v>
      </c>
      <c r="H3" s="46">
        <v>4184</v>
      </c>
      <c r="I3" s="46">
        <v>4505</v>
      </c>
      <c r="J3" s="46"/>
      <c r="K3" s="43"/>
      <c r="L3" s="46">
        <v>32</v>
      </c>
      <c r="M3" s="46">
        <f>1215+12+3</f>
        <v>1230</v>
      </c>
      <c r="N3" s="46"/>
      <c r="O3" s="46"/>
      <c r="P3" s="46">
        <v>-2</v>
      </c>
      <c r="Q3" s="46"/>
      <c r="R3" s="46">
        <v>4</v>
      </c>
      <c r="S3" s="46"/>
      <c r="T3" s="46"/>
      <c r="U3" s="46">
        <v>75</v>
      </c>
      <c r="V3" s="46">
        <f t="shared" ref="V3:V8" si="0">D3+SUM(E3,J3,M3,P3,Q3)-SUM(F3:I3,K3:L3,N3:O3,R3:S3)+U3-T3</f>
        <v>7465</v>
      </c>
      <c r="W3" s="46">
        <v>7454</v>
      </c>
      <c r="X3" s="46">
        <f t="shared" ref="X3:X8" si="1">V3-W3</f>
        <v>11</v>
      </c>
    </row>
    <row r="4" spans="1:24" ht="15.75" customHeight="1">
      <c r="A4" s="584"/>
      <c r="B4" s="586"/>
      <c r="C4" s="45">
        <v>2</v>
      </c>
      <c r="D4" s="46">
        <f>36081-448</f>
        <v>35633</v>
      </c>
      <c r="E4" s="46"/>
      <c r="F4" s="47">
        <v>336</v>
      </c>
      <c r="G4" s="47">
        <v>2240</v>
      </c>
      <c r="H4" s="47">
        <v>3712</v>
      </c>
      <c r="I4" s="47">
        <v>4404</v>
      </c>
      <c r="J4" s="47">
        <v>328</v>
      </c>
      <c r="K4" s="48">
        <v>328</v>
      </c>
      <c r="L4" s="46"/>
      <c r="M4" s="47">
        <f>216+939</f>
        <v>1155</v>
      </c>
      <c r="N4" s="47">
        <v>1</v>
      </c>
      <c r="O4" s="47">
        <v>6</v>
      </c>
      <c r="P4" s="46"/>
      <c r="Q4" s="46"/>
      <c r="R4" s="46"/>
      <c r="S4" s="46"/>
      <c r="T4" s="46"/>
      <c r="U4" s="47">
        <v>58</v>
      </c>
      <c r="V4" s="46">
        <f t="shared" si="0"/>
        <v>26147</v>
      </c>
      <c r="W4" s="46">
        <v>26136</v>
      </c>
      <c r="X4" s="46">
        <f t="shared" si="1"/>
        <v>11</v>
      </c>
    </row>
    <row r="5" spans="1:24" ht="15.75" customHeight="1">
      <c r="A5" s="584"/>
      <c r="B5" s="587"/>
      <c r="C5" s="49">
        <v>3</v>
      </c>
      <c r="D5" s="46">
        <v>14523</v>
      </c>
      <c r="E5" s="46"/>
      <c r="F5" s="46">
        <v>224</v>
      </c>
      <c r="G5" s="46">
        <v>896</v>
      </c>
      <c r="H5" s="46">
        <v>680</v>
      </c>
      <c r="I5" s="46">
        <v>1123</v>
      </c>
      <c r="J5" s="46">
        <v>324</v>
      </c>
      <c r="K5" s="43">
        <v>240</v>
      </c>
      <c r="L5" s="46"/>
      <c r="M5" s="46">
        <v>180</v>
      </c>
      <c r="N5" s="46">
        <v>2</v>
      </c>
      <c r="O5" s="46"/>
      <c r="P5" s="46">
        <v>-2</v>
      </c>
      <c r="Q5" s="46"/>
      <c r="R5" s="46"/>
      <c r="S5" s="46"/>
      <c r="T5" s="46">
        <f>1300+2500</f>
        <v>3800</v>
      </c>
      <c r="U5" s="46">
        <v>21</v>
      </c>
      <c r="V5" s="46">
        <f t="shared" si="0"/>
        <v>8081</v>
      </c>
      <c r="W5" s="46">
        <v>8091</v>
      </c>
      <c r="X5" s="46">
        <f t="shared" si="1"/>
        <v>-10</v>
      </c>
    </row>
    <row r="6" spans="1:24" ht="15.75" customHeight="1">
      <c r="A6" s="584"/>
      <c r="B6" s="588" t="s">
        <v>16</v>
      </c>
      <c r="C6" s="50">
        <v>1</v>
      </c>
      <c r="D6" s="46">
        <v>54780</v>
      </c>
      <c r="E6" s="47">
        <v>16896</v>
      </c>
      <c r="F6" s="46">
        <v>448</v>
      </c>
      <c r="G6" s="46">
        <v>1792</v>
      </c>
      <c r="H6" s="46">
        <v>6284</v>
      </c>
      <c r="I6" s="46">
        <v>7589</v>
      </c>
      <c r="J6" s="46"/>
      <c r="K6" s="43"/>
      <c r="L6" s="46"/>
      <c r="M6" s="47">
        <f>6+1755+3</f>
        <v>1764</v>
      </c>
      <c r="N6" s="46"/>
      <c r="O6" s="46"/>
      <c r="P6" s="46"/>
      <c r="Q6" s="46"/>
      <c r="R6" s="47">
        <v>4</v>
      </c>
      <c r="S6" s="46"/>
      <c r="T6" s="46"/>
      <c r="U6" s="46">
        <v>246</v>
      </c>
      <c r="V6" s="46">
        <f t="shared" si="0"/>
        <v>57569</v>
      </c>
      <c r="W6" s="46">
        <v>57556</v>
      </c>
      <c r="X6" s="46">
        <f t="shared" si="1"/>
        <v>13</v>
      </c>
    </row>
    <row r="7" spans="1:24" ht="15.75" customHeight="1">
      <c r="A7" s="584"/>
      <c r="B7" s="586"/>
      <c r="C7" s="50">
        <v>2</v>
      </c>
      <c r="D7" s="46">
        <v>57191</v>
      </c>
      <c r="E7" s="46">
        <v>15360</v>
      </c>
      <c r="F7" s="46">
        <v>448</v>
      </c>
      <c r="G7" s="46">
        <v>1792</v>
      </c>
      <c r="H7" s="46">
        <v>4164</v>
      </c>
      <c r="I7" s="46">
        <v>3979</v>
      </c>
      <c r="J7" s="46"/>
      <c r="K7" s="43"/>
      <c r="L7" s="46"/>
      <c r="M7" s="46">
        <v>1368</v>
      </c>
      <c r="N7" s="46"/>
      <c r="O7" s="46"/>
      <c r="P7" s="46">
        <f>3</f>
        <v>3</v>
      </c>
      <c r="Q7" s="46"/>
      <c r="R7" s="46"/>
      <c r="S7" s="46">
        <v>6</v>
      </c>
      <c r="T7" s="46"/>
      <c r="U7" s="46">
        <v>58</v>
      </c>
      <c r="V7" s="46">
        <f t="shared" si="0"/>
        <v>63591</v>
      </c>
      <c r="W7" s="46">
        <v>63591</v>
      </c>
      <c r="X7" s="46">
        <f t="shared" si="1"/>
        <v>0</v>
      </c>
    </row>
    <row r="8" spans="1:24" ht="15.75" customHeight="1">
      <c r="A8" s="584"/>
      <c r="B8" s="587"/>
      <c r="C8" s="51">
        <v>3</v>
      </c>
      <c r="D8" s="46">
        <v>15223</v>
      </c>
      <c r="E8" s="46">
        <v>4608</v>
      </c>
      <c r="F8" s="46">
        <v>448</v>
      </c>
      <c r="G8" s="46">
        <v>896</v>
      </c>
      <c r="H8" s="46">
        <v>939</v>
      </c>
      <c r="I8" s="46">
        <v>1282</v>
      </c>
      <c r="J8" s="46"/>
      <c r="K8" s="43"/>
      <c r="L8" s="46"/>
      <c r="M8" s="46">
        <v>456</v>
      </c>
      <c r="N8" s="46"/>
      <c r="O8" s="46"/>
      <c r="P8" s="46"/>
      <c r="Q8" s="46">
        <f>4+4</f>
        <v>8</v>
      </c>
      <c r="R8" s="46"/>
      <c r="S8" s="46"/>
      <c r="T8" s="46"/>
      <c r="U8" s="46">
        <v>9</v>
      </c>
      <c r="V8" s="46">
        <f t="shared" si="0"/>
        <v>16739</v>
      </c>
      <c r="W8" s="46">
        <v>16738</v>
      </c>
      <c r="X8" s="46">
        <f t="shared" si="1"/>
        <v>1</v>
      </c>
    </row>
    <row r="9" spans="1:24" ht="15.75" customHeight="1">
      <c r="A9" s="52"/>
      <c r="B9" s="589" t="s">
        <v>18</v>
      </c>
      <c r="C9" s="590"/>
      <c r="D9" s="46">
        <f t="shared" ref="D9:X9" si="2">SUM(D3:D8)</f>
        <v>193245</v>
      </c>
      <c r="E9" s="46">
        <f t="shared" si="2"/>
        <v>36864</v>
      </c>
      <c r="F9" s="46">
        <f t="shared" si="2"/>
        <v>2016</v>
      </c>
      <c r="G9" s="46">
        <f t="shared" si="2"/>
        <v>8512</v>
      </c>
      <c r="H9" s="46">
        <f t="shared" si="2"/>
        <v>19963</v>
      </c>
      <c r="I9" s="46">
        <f t="shared" si="2"/>
        <v>22882</v>
      </c>
      <c r="J9" s="46">
        <f t="shared" si="2"/>
        <v>652</v>
      </c>
      <c r="K9" s="46">
        <f t="shared" si="2"/>
        <v>568</v>
      </c>
      <c r="L9" s="46">
        <f t="shared" si="2"/>
        <v>32</v>
      </c>
      <c r="M9" s="46">
        <f t="shared" si="2"/>
        <v>6153</v>
      </c>
      <c r="N9" s="46">
        <f t="shared" si="2"/>
        <v>3</v>
      </c>
      <c r="O9" s="46">
        <f t="shared" si="2"/>
        <v>6</v>
      </c>
      <c r="P9" s="46">
        <f t="shared" si="2"/>
        <v>-1</v>
      </c>
      <c r="Q9" s="46">
        <f t="shared" si="2"/>
        <v>8</v>
      </c>
      <c r="R9" s="46">
        <f t="shared" si="2"/>
        <v>8</v>
      </c>
      <c r="S9" s="46">
        <f t="shared" si="2"/>
        <v>6</v>
      </c>
      <c r="T9" s="46">
        <f t="shared" si="2"/>
        <v>3800</v>
      </c>
      <c r="U9" s="46">
        <f t="shared" si="2"/>
        <v>467</v>
      </c>
      <c r="V9" s="46">
        <f t="shared" si="2"/>
        <v>179592</v>
      </c>
      <c r="W9" s="46">
        <f t="shared" si="2"/>
        <v>179566</v>
      </c>
      <c r="X9" s="46">
        <f t="shared" si="2"/>
        <v>26</v>
      </c>
    </row>
    <row r="10" spans="1:24" ht="15.75" customHeight="1">
      <c r="A10" s="53"/>
      <c r="B10" s="53"/>
      <c r="C10" s="53"/>
      <c r="D10" s="54"/>
      <c r="E10" s="31"/>
      <c r="F10" s="31"/>
      <c r="G10" s="31"/>
      <c r="H10" s="31"/>
      <c r="I10" s="31">
        <v>10702</v>
      </c>
    </row>
    <row r="11" spans="1:24" ht="15.75" customHeight="1">
      <c r="A11" s="53"/>
      <c r="B11" s="53"/>
      <c r="C11" s="53"/>
      <c r="D11" s="31" t="s">
        <v>42</v>
      </c>
      <c r="E11" s="31"/>
      <c r="F11" s="31"/>
      <c r="G11" s="31"/>
      <c r="H11" s="31"/>
      <c r="I11" s="31"/>
      <c r="U11" s="30">
        <v>73</v>
      </c>
    </row>
    <row r="12" spans="1:24" ht="15.75" customHeight="1">
      <c r="A12" s="591" t="s">
        <v>23</v>
      </c>
      <c r="B12" s="581"/>
      <c r="C12" s="582"/>
      <c r="D12" s="33" t="s">
        <v>56</v>
      </c>
      <c r="E12" s="33" t="s">
        <v>57</v>
      </c>
      <c r="F12" s="55" t="s">
        <v>77</v>
      </c>
      <c r="G12" s="55" t="s">
        <v>78</v>
      </c>
      <c r="H12" s="55" t="s">
        <v>79</v>
      </c>
      <c r="I12" s="33" t="s">
        <v>74</v>
      </c>
      <c r="J12" s="33" t="s">
        <v>75</v>
      </c>
      <c r="K12" s="33" t="s">
        <v>76</v>
      </c>
      <c r="U12" s="30">
        <v>9</v>
      </c>
    </row>
    <row r="13" spans="1:24" ht="15.75" customHeight="1">
      <c r="A13" s="583"/>
      <c r="B13" s="585" t="s">
        <v>14</v>
      </c>
      <c r="C13" s="45">
        <v>1</v>
      </c>
      <c r="D13" s="36">
        <v>767</v>
      </c>
      <c r="E13" s="36">
        <v>4184</v>
      </c>
      <c r="F13" s="36">
        <v>1472</v>
      </c>
      <c r="G13" s="36">
        <v>1011</v>
      </c>
      <c r="H13" s="36">
        <v>0</v>
      </c>
      <c r="I13" s="36">
        <f t="shared" ref="I13:I18" si="3">D13+E13-F13-G13+H13</f>
        <v>2468</v>
      </c>
      <c r="J13" s="36">
        <v>2468</v>
      </c>
      <c r="K13" s="36">
        <f t="shared" ref="K13:K18" si="4">I13-J13</f>
        <v>0</v>
      </c>
      <c r="U13" s="30">
        <v>164</v>
      </c>
    </row>
    <row r="14" spans="1:24" ht="15.75" customHeight="1">
      <c r="A14" s="584"/>
      <c r="B14" s="586"/>
      <c r="C14" s="45">
        <v>2</v>
      </c>
      <c r="D14" s="36">
        <v>389</v>
      </c>
      <c r="E14" s="36">
        <v>3712</v>
      </c>
      <c r="F14" s="36">
        <v>1221</v>
      </c>
      <c r="G14" s="36">
        <v>1155</v>
      </c>
      <c r="H14" s="36">
        <v>2</v>
      </c>
      <c r="I14" s="36">
        <f t="shared" si="3"/>
        <v>1727</v>
      </c>
      <c r="J14" s="36">
        <v>1727</v>
      </c>
      <c r="K14" s="36">
        <f t="shared" si="4"/>
        <v>0</v>
      </c>
      <c r="U14" s="30">
        <v>246</v>
      </c>
    </row>
    <row r="15" spans="1:24" ht="15.75" customHeight="1">
      <c r="A15" s="584"/>
      <c r="B15" s="587"/>
      <c r="C15" s="49">
        <v>3</v>
      </c>
      <c r="D15" s="36">
        <v>146</v>
      </c>
      <c r="E15" s="36">
        <v>680</v>
      </c>
      <c r="F15" s="36">
        <v>227</v>
      </c>
      <c r="G15" s="36">
        <v>180</v>
      </c>
      <c r="H15" s="36">
        <v>4</v>
      </c>
      <c r="I15" s="36">
        <f t="shared" si="3"/>
        <v>423</v>
      </c>
      <c r="J15" s="36">
        <v>423</v>
      </c>
      <c r="K15" s="36">
        <f t="shared" si="4"/>
        <v>0</v>
      </c>
      <c r="U15" s="28">
        <f>U6-U14</f>
        <v>0</v>
      </c>
    </row>
    <row r="16" spans="1:24" ht="15.75" customHeight="1">
      <c r="A16" s="584"/>
      <c r="B16" s="588" t="s">
        <v>16</v>
      </c>
      <c r="C16" s="50">
        <v>1</v>
      </c>
      <c r="D16" s="36">
        <v>1911</v>
      </c>
      <c r="E16" s="36">
        <v>6284</v>
      </c>
      <c r="F16" s="36">
        <v>2422</v>
      </c>
      <c r="G16" s="36">
        <v>1977</v>
      </c>
      <c r="H16" s="36">
        <v>7</v>
      </c>
      <c r="I16" s="36">
        <f t="shared" si="3"/>
        <v>3803</v>
      </c>
      <c r="J16" s="36">
        <v>3803</v>
      </c>
      <c r="K16" s="36">
        <f t="shared" si="4"/>
        <v>0</v>
      </c>
    </row>
    <row r="17" spans="1:11" ht="15.75" customHeight="1">
      <c r="A17" s="584"/>
      <c r="B17" s="586"/>
      <c r="C17" s="50">
        <v>2</v>
      </c>
      <c r="D17" s="36">
        <v>1331</v>
      </c>
      <c r="E17" s="36">
        <v>4164</v>
      </c>
      <c r="F17" s="36">
        <v>1784</v>
      </c>
      <c r="G17" s="36">
        <v>1368</v>
      </c>
      <c r="H17" s="36">
        <v>-210</v>
      </c>
      <c r="I17" s="36">
        <f t="shared" si="3"/>
        <v>2133</v>
      </c>
      <c r="J17" s="36">
        <v>2133</v>
      </c>
      <c r="K17" s="36">
        <f t="shared" si="4"/>
        <v>0</v>
      </c>
    </row>
    <row r="18" spans="1:11" ht="15.75" customHeight="1">
      <c r="A18" s="584"/>
      <c r="B18" s="587"/>
      <c r="C18" s="51">
        <v>3</v>
      </c>
      <c r="D18" s="36">
        <v>448</v>
      </c>
      <c r="E18" s="36">
        <v>939</v>
      </c>
      <c r="F18" s="36">
        <v>338</v>
      </c>
      <c r="G18" s="36">
        <v>456</v>
      </c>
      <c r="H18" s="36">
        <v>-8</v>
      </c>
      <c r="I18" s="36">
        <f t="shared" si="3"/>
        <v>585</v>
      </c>
      <c r="J18" s="36">
        <v>585</v>
      </c>
      <c r="K18" s="36">
        <f t="shared" si="4"/>
        <v>0</v>
      </c>
    </row>
    <row r="19" spans="1:11" ht="15.75" customHeight="1">
      <c r="A19" s="52"/>
      <c r="B19" s="589" t="s">
        <v>18</v>
      </c>
      <c r="C19" s="590"/>
      <c r="D19" s="36">
        <f t="shared" ref="D19:K19" si="5">SUM(D13:D18)</f>
        <v>4992</v>
      </c>
      <c r="E19" s="36">
        <f t="shared" si="5"/>
        <v>19963</v>
      </c>
      <c r="F19" s="36">
        <f t="shared" si="5"/>
        <v>7464</v>
      </c>
      <c r="G19" s="36">
        <f t="shared" si="5"/>
        <v>6147</v>
      </c>
      <c r="H19" s="36">
        <f t="shared" si="5"/>
        <v>-205</v>
      </c>
      <c r="I19" s="36">
        <f t="shared" si="5"/>
        <v>11139</v>
      </c>
      <c r="J19" s="36">
        <f t="shared" si="5"/>
        <v>11139</v>
      </c>
      <c r="K19" s="36">
        <f t="shared" si="5"/>
        <v>0</v>
      </c>
    </row>
    <row r="20" spans="1:11" ht="15.75" customHeight="1">
      <c r="A20" s="53"/>
      <c r="B20" s="53"/>
      <c r="C20" s="53"/>
      <c r="D20" s="31" t="s">
        <v>26</v>
      </c>
      <c r="E20" s="31"/>
      <c r="F20" s="31"/>
      <c r="G20" s="31"/>
      <c r="H20" s="31"/>
      <c r="I20" s="31"/>
    </row>
    <row r="21" spans="1:11" ht="15.75" customHeight="1">
      <c r="A21" s="591" t="s">
        <v>23</v>
      </c>
      <c r="B21" s="581"/>
      <c r="C21" s="582"/>
      <c r="D21" s="36" t="s">
        <v>56</v>
      </c>
      <c r="E21" s="36" t="s">
        <v>57</v>
      </c>
      <c r="F21" s="36" t="s">
        <v>80</v>
      </c>
      <c r="G21" s="36" t="s">
        <v>74</v>
      </c>
      <c r="H21" s="36" t="s">
        <v>75</v>
      </c>
      <c r="I21" s="36" t="s">
        <v>76</v>
      </c>
    </row>
    <row r="22" spans="1:11" ht="15.75" customHeight="1">
      <c r="A22" s="583"/>
      <c r="B22" s="585" t="s">
        <v>14</v>
      </c>
      <c r="C22" s="45">
        <v>1</v>
      </c>
      <c r="D22" s="36">
        <v>1484</v>
      </c>
      <c r="E22" s="36">
        <v>1008</v>
      </c>
      <c r="F22" s="36">
        <v>1504</v>
      </c>
      <c r="G22" s="36">
        <f t="shared" ref="G22:G27" si="6">D22+E22-F22</f>
        <v>988</v>
      </c>
      <c r="H22" s="36">
        <v>988</v>
      </c>
      <c r="I22" s="36">
        <f t="shared" ref="I22:I27" si="7">G22-H22</f>
        <v>0</v>
      </c>
    </row>
    <row r="23" spans="1:11" ht="15.75" customHeight="1">
      <c r="A23" s="584"/>
      <c r="B23" s="586"/>
      <c r="C23" s="45">
        <v>2</v>
      </c>
      <c r="D23" s="36">
        <v>1032</v>
      </c>
      <c r="E23" s="36">
        <v>2576</v>
      </c>
      <c r="F23" s="36">
        <v>2276</v>
      </c>
      <c r="G23" s="36">
        <f t="shared" si="6"/>
        <v>1332</v>
      </c>
      <c r="H23" s="36">
        <v>1332</v>
      </c>
      <c r="I23" s="36">
        <f t="shared" si="7"/>
        <v>0</v>
      </c>
    </row>
    <row r="24" spans="1:11" ht="15.75" customHeight="1">
      <c r="A24" s="584"/>
      <c r="B24" s="587"/>
      <c r="C24" s="49">
        <v>3</v>
      </c>
      <c r="D24" s="36">
        <v>1100</v>
      </c>
      <c r="E24" s="36">
        <v>1120</v>
      </c>
      <c r="F24" s="36">
        <v>1452</v>
      </c>
      <c r="G24" s="36">
        <f t="shared" si="6"/>
        <v>768</v>
      </c>
      <c r="H24" s="36">
        <v>768</v>
      </c>
      <c r="I24" s="36">
        <f t="shared" si="7"/>
        <v>0</v>
      </c>
    </row>
    <row r="25" spans="1:11" ht="15.75" customHeight="1">
      <c r="A25" s="584"/>
      <c r="B25" s="588" t="s">
        <v>16</v>
      </c>
      <c r="C25" s="50">
        <v>1</v>
      </c>
      <c r="D25" s="36">
        <v>1828</v>
      </c>
      <c r="E25" s="36">
        <v>2244</v>
      </c>
      <c r="F25" s="36">
        <v>2660</v>
      </c>
      <c r="G25" s="36">
        <f t="shared" si="6"/>
        <v>1412</v>
      </c>
      <c r="H25" s="36">
        <v>1412</v>
      </c>
      <c r="I25" s="36">
        <f t="shared" si="7"/>
        <v>0</v>
      </c>
    </row>
    <row r="26" spans="1:11" ht="15.75" customHeight="1">
      <c r="A26" s="584"/>
      <c r="B26" s="586"/>
      <c r="C26" s="50">
        <v>2</v>
      </c>
      <c r="D26" s="36">
        <v>1712</v>
      </c>
      <c r="E26" s="36">
        <v>2244</v>
      </c>
      <c r="F26" s="36">
        <v>2640</v>
      </c>
      <c r="G26" s="36">
        <f t="shared" si="6"/>
        <v>1316</v>
      </c>
      <c r="H26" s="36">
        <v>1316</v>
      </c>
      <c r="I26" s="36">
        <f t="shared" si="7"/>
        <v>0</v>
      </c>
    </row>
    <row r="27" spans="1:11" ht="15.75" customHeight="1">
      <c r="A27" s="584"/>
      <c r="B27" s="587"/>
      <c r="C27" s="51">
        <v>3</v>
      </c>
      <c r="D27" s="36">
        <v>1200</v>
      </c>
      <c r="E27" s="36">
        <v>1344</v>
      </c>
      <c r="F27" s="36">
        <v>1452</v>
      </c>
      <c r="G27" s="36">
        <f t="shared" si="6"/>
        <v>1092</v>
      </c>
      <c r="H27" s="36">
        <v>1092</v>
      </c>
      <c r="I27" s="36">
        <f t="shared" si="7"/>
        <v>0</v>
      </c>
    </row>
    <row r="28" spans="1:11" ht="15.75" customHeight="1">
      <c r="A28" s="56"/>
      <c r="B28" s="592" t="s">
        <v>18</v>
      </c>
      <c r="C28" s="590"/>
      <c r="D28" s="36">
        <f t="shared" ref="D28:I28" si="8">SUM(D22:D27)</f>
        <v>8356</v>
      </c>
      <c r="E28" s="36">
        <f t="shared" si="8"/>
        <v>10536</v>
      </c>
      <c r="F28" s="36">
        <f t="shared" si="8"/>
        <v>11984</v>
      </c>
      <c r="G28" s="36">
        <f t="shared" si="8"/>
        <v>6908</v>
      </c>
      <c r="H28" s="36">
        <f t="shared" si="8"/>
        <v>6908</v>
      </c>
      <c r="I28" s="36">
        <f t="shared" si="8"/>
        <v>0</v>
      </c>
    </row>
  </sheetData>
  <mergeCells count="16">
    <mergeCell ref="B9:C9"/>
    <mergeCell ref="A12:C12"/>
    <mergeCell ref="B25:B27"/>
    <mergeCell ref="B28:C28"/>
    <mergeCell ref="A13:A18"/>
    <mergeCell ref="B13:B15"/>
    <mergeCell ref="B16:B18"/>
    <mergeCell ref="B19:C19"/>
    <mergeCell ref="A21:C21"/>
    <mergeCell ref="A22:A27"/>
    <mergeCell ref="B22:B24"/>
    <mergeCell ref="F1:G1"/>
    <mergeCell ref="A2:C2"/>
    <mergeCell ref="A3:A8"/>
    <mergeCell ref="B3:B5"/>
    <mergeCell ref="B6:B8"/>
  </mergeCells>
  <phoneticPr fontId="6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8AC6"/>
    <outlinePr summaryBelow="0" summaryRight="0"/>
  </sheetPr>
  <dimension ref="A1:AC48"/>
  <sheetViews>
    <sheetView workbookViewId="0"/>
  </sheetViews>
  <sheetFormatPr defaultColWidth="14.42578125" defaultRowHeight="15.75" customHeight="1" outlineLevelRow="1"/>
  <cols>
    <col min="2" max="5" width="14.42578125" hidden="1"/>
  </cols>
  <sheetData>
    <row r="1" spans="1:29" ht="1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9" ht="17.25">
      <c r="A2" s="1"/>
      <c r="B2" s="1"/>
      <c r="C2" s="1"/>
      <c r="D2" s="1"/>
      <c r="E2" s="1"/>
      <c r="F2" s="3" t="s">
        <v>99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9" ht="15">
      <c r="A3" s="1"/>
      <c r="B3" s="1"/>
      <c r="C3" s="1"/>
      <c r="D3" s="1"/>
      <c r="E3" s="1"/>
      <c r="F3" s="2"/>
      <c r="G3" s="2"/>
      <c r="H3" s="2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2"/>
    </row>
    <row r="4" spans="1:29" ht="15">
      <c r="A4" s="1"/>
      <c r="B4" s="1"/>
      <c r="C4" s="1"/>
      <c r="D4" s="1"/>
      <c r="E4" s="1"/>
      <c r="F4" s="2"/>
      <c r="G4" s="2"/>
      <c r="H4" s="2"/>
      <c r="I4" s="106"/>
      <c r="J4" s="106"/>
      <c r="K4" s="106"/>
      <c r="L4" s="106"/>
      <c r="M4" s="106"/>
      <c r="N4" s="106"/>
      <c r="O4" s="106"/>
      <c r="P4" s="106"/>
      <c r="Q4" s="106"/>
      <c r="R4" s="107"/>
      <c r="S4" s="2"/>
      <c r="AA4" s="30">
        <v>3</v>
      </c>
    </row>
    <row r="5" spans="1:29" ht="15">
      <c r="A5" s="1"/>
      <c r="B5" s="1"/>
      <c r="C5" s="1"/>
      <c r="D5" s="1"/>
      <c r="E5" s="1"/>
      <c r="F5" s="593" t="s">
        <v>100</v>
      </c>
      <c r="G5" s="594"/>
      <c r="H5" s="594"/>
      <c r="I5" s="108" t="s">
        <v>101</v>
      </c>
      <c r="J5" s="109" t="s">
        <v>102</v>
      </c>
      <c r="K5" s="109" t="s">
        <v>103</v>
      </c>
      <c r="L5" s="109" t="s">
        <v>104</v>
      </c>
      <c r="M5" s="108" t="s">
        <v>105</v>
      </c>
      <c r="N5" s="108" t="s">
        <v>106</v>
      </c>
      <c r="O5" s="108" t="s">
        <v>107</v>
      </c>
      <c r="P5" s="109" t="s">
        <v>108</v>
      </c>
      <c r="Q5" s="108" t="s">
        <v>109</v>
      </c>
      <c r="R5" s="108" t="s">
        <v>110</v>
      </c>
      <c r="S5" s="108" t="s">
        <v>111</v>
      </c>
      <c r="T5" s="108" t="s">
        <v>112</v>
      </c>
      <c r="U5" s="108" t="s">
        <v>113</v>
      </c>
    </row>
    <row r="6" spans="1:29" ht="15">
      <c r="A6" s="1"/>
      <c r="B6" s="1"/>
      <c r="C6" s="1"/>
      <c r="D6" s="1"/>
      <c r="E6" s="1"/>
      <c r="F6" s="595" t="s">
        <v>0</v>
      </c>
      <c r="G6" s="581"/>
      <c r="H6" s="582"/>
      <c r="I6" s="110" t="s">
        <v>7</v>
      </c>
      <c r="J6" s="110" t="s">
        <v>8</v>
      </c>
      <c r="K6" s="4" t="s">
        <v>9</v>
      </c>
      <c r="L6" s="111" t="s">
        <v>10</v>
      </c>
      <c r="M6" s="112" t="s">
        <v>11</v>
      </c>
      <c r="N6" s="110" t="s">
        <v>12</v>
      </c>
      <c r="O6" s="110" t="s">
        <v>1</v>
      </c>
      <c r="P6" s="110" t="s">
        <v>2</v>
      </c>
      <c r="Q6" s="110" t="s">
        <v>3</v>
      </c>
      <c r="R6" s="110" t="s">
        <v>4</v>
      </c>
      <c r="S6" s="5" t="s">
        <v>5</v>
      </c>
      <c r="T6" s="5" t="s">
        <v>6</v>
      </c>
      <c r="U6" s="5" t="s">
        <v>7</v>
      </c>
      <c r="V6" s="5" t="s">
        <v>8</v>
      </c>
      <c r="W6" s="5" t="s">
        <v>9</v>
      </c>
      <c r="Y6" s="113" t="s">
        <v>41</v>
      </c>
      <c r="Z6" s="114" t="s">
        <v>114</v>
      </c>
    </row>
    <row r="7" spans="1:29" ht="15">
      <c r="A7" s="1"/>
      <c r="B7" s="1"/>
      <c r="C7" s="1"/>
      <c r="D7" s="1"/>
      <c r="E7" s="1"/>
      <c r="F7" s="596"/>
      <c r="G7" s="598" t="s">
        <v>14</v>
      </c>
      <c r="H7" s="115">
        <v>1</v>
      </c>
      <c r="I7" s="116">
        <v>12096</v>
      </c>
      <c r="J7" s="117">
        <v>19036</v>
      </c>
      <c r="K7" s="118"/>
      <c r="L7" s="119">
        <f>2880+2896</f>
        <v>5776</v>
      </c>
      <c r="M7" s="120"/>
      <c r="N7" s="121"/>
      <c r="O7" s="122"/>
      <c r="P7" s="122">
        <v>2880</v>
      </c>
      <c r="Q7" s="123"/>
      <c r="R7" s="123">
        <f>4176*4</f>
        <v>16704</v>
      </c>
      <c r="S7" s="123"/>
      <c r="T7" s="123"/>
      <c r="U7" s="123"/>
      <c r="V7" s="122"/>
      <c r="W7" s="122"/>
      <c r="X7" s="28"/>
      <c r="Y7" s="124" t="s">
        <v>45</v>
      </c>
      <c r="Z7" s="125">
        <f t="shared" ref="Z7:Z12" si="0">SUM(W7:Y7)</f>
        <v>0</v>
      </c>
      <c r="AA7" s="126">
        <v>9919</v>
      </c>
      <c r="AB7" s="127">
        <v>8462</v>
      </c>
      <c r="AC7" s="127">
        <v>8562</v>
      </c>
    </row>
    <row r="8" spans="1:29" ht="15">
      <c r="A8" s="1"/>
      <c r="B8" s="1"/>
      <c r="C8" s="1"/>
      <c r="D8" s="1"/>
      <c r="E8" s="1"/>
      <c r="F8" s="584"/>
      <c r="G8" s="599"/>
      <c r="H8" s="115">
        <v>2</v>
      </c>
      <c r="I8" s="116">
        <v>14976</v>
      </c>
      <c r="J8" s="117">
        <v>30252</v>
      </c>
      <c r="K8" s="128">
        <f>5760</f>
        <v>5760</v>
      </c>
      <c r="L8" s="129">
        <f>7640+9372</f>
        <v>17012</v>
      </c>
      <c r="M8" s="130"/>
      <c r="N8" s="121"/>
      <c r="O8" s="122"/>
      <c r="P8" s="122">
        <v>9792</v>
      </c>
      <c r="Q8" s="123"/>
      <c r="R8" s="123">
        <f>2160*4</f>
        <v>8640</v>
      </c>
      <c r="S8" s="123"/>
      <c r="T8" s="123"/>
      <c r="U8" s="123"/>
      <c r="V8" s="122"/>
      <c r="W8" s="122"/>
      <c r="X8" s="28"/>
      <c r="Y8" s="124" t="s">
        <v>47</v>
      </c>
      <c r="Z8" s="125">
        <f t="shared" si="0"/>
        <v>0</v>
      </c>
      <c r="AA8" s="126">
        <v>13593</v>
      </c>
      <c r="AB8" s="127">
        <v>11805</v>
      </c>
      <c r="AC8" s="127">
        <v>10605</v>
      </c>
    </row>
    <row r="9" spans="1:29" ht="15">
      <c r="A9" s="1"/>
      <c r="B9" s="1"/>
      <c r="C9" s="1"/>
      <c r="D9" s="1"/>
      <c r="E9" s="1"/>
      <c r="F9" s="584"/>
      <c r="G9" s="600"/>
      <c r="H9" s="131">
        <v>3</v>
      </c>
      <c r="I9" s="116">
        <v>4608</v>
      </c>
      <c r="J9" s="117">
        <v>25380</v>
      </c>
      <c r="K9" s="128">
        <v>6912</v>
      </c>
      <c r="L9" s="132"/>
      <c r="M9" s="130"/>
      <c r="N9" s="133"/>
      <c r="O9" s="122"/>
      <c r="P9" s="122"/>
      <c r="Q9" s="123"/>
      <c r="R9" s="123"/>
      <c r="S9" s="123"/>
      <c r="T9" s="123"/>
      <c r="U9" s="123"/>
      <c r="V9" s="122"/>
      <c r="W9" s="122"/>
      <c r="X9" s="28"/>
      <c r="Y9" s="124" t="s">
        <v>49</v>
      </c>
      <c r="Z9" s="125">
        <f t="shared" si="0"/>
        <v>0</v>
      </c>
      <c r="AA9" s="126">
        <v>3902</v>
      </c>
      <c r="AB9" s="127">
        <v>3755</v>
      </c>
      <c r="AC9" s="127">
        <v>3600</v>
      </c>
    </row>
    <row r="10" spans="1:29" ht="15">
      <c r="A10" s="1"/>
      <c r="B10" s="1"/>
      <c r="C10" s="1"/>
      <c r="D10" s="1"/>
      <c r="E10" s="1"/>
      <c r="F10" s="584"/>
      <c r="G10" s="601" t="s">
        <v>16</v>
      </c>
      <c r="H10" s="134">
        <v>1</v>
      </c>
      <c r="I10" s="135"/>
      <c r="J10" s="116">
        <v>28032</v>
      </c>
      <c r="K10" s="136">
        <v>1760</v>
      </c>
      <c r="L10" s="129">
        <f>10752+25320</f>
        <v>36072</v>
      </c>
      <c r="M10" s="137">
        <f>3072+7296</f>
        <v>10368</v>
      </c>
      <c r="N10" s="138">
        <f>338+1152</f>
        <v>1490</v>
      </c>
      <c r="O10" s="139">
        <f>1916+5760+1920+1152+384+20736</f>
        <v>31868</v>
      </c>
      <c r="P10" s="139"/>
      <c r="Q10" s="123"/>
      <c r="R10" s="123">
        <f>4032*4</f>
        <v>16128</v>
      </c>
      <c r="S10" s="123"/>
      <c r="T10" s="123"/>
      <c r="U10" s="123"/>
      <c r="V10" s="122"/>
      <c r="W10" s="122"/>
      <c r="Y10" s="124" t="s">
        <v>51</v>
      </c>
      <c r="Z10" s="125">
        <f t="shared" si="0"/>
        <v>0</v>
      </c>
      <c r="AA10" s="126">
        <v>12546</v>
      </c>
      <c r="AB10" s="127">
        <v>12378</v>
      </c>
      <c r="AC10" s="127">
        <v>11714</v>
      </c>
    </row>
    <row r="11" spans="1:29" ht="15">
      <c r="A11" s="1"/>
      <c r="B11" s="1"/>
      <c r="C11" s="1"/>
      <c r="D11" s="1"/>
      <c r="E11" s="1"/>
      <c r="F11" s="584"/>
      <c r="G11" s="599"/>
      <c r="H11" s="134">
        <v>2</v>
      </c>
      <c r="I11" s="135"/>
      <c r="J11" s="140"/>
      <c r="K11" s="128">
        <f>7296</f>
        <v>7296</v>
      </c>
      <c r="L11" s="141">
        <f>292+9216</f>
        <v>9508</v>
      </c>
      <c r="M11" s="137">
        <f>16896+3072</f>
        <v>19968</v>
      </c>
      <c r="N11" s="121">
        <f>212+384+768</f>
        <v>1364</v>
      </c>
      <c r="O11" s="122">
        <v>17664</v>
      </c>
      <c r="P11" s="139">
        <v>9216</v>
      </c>
      <c r="Q11" s="123"/>
      <c r="R11" s="123">
        <f>2880*4</f>
        <v>11520</v>
      </c>
      <c r="S11" s="123"/>
      <c r="T11" s="123"/>
      <c r="U11" s="123"/>
      <c r="V11" s="122"/>
      <c r="W11" s="122"/>
      <c r="Y11" s="124" t="s">
        <v>53</v>
      </c>
      <c r="Z11" s="125">
        <f t="shared" si="0"/>
        <v>0</v>
      </c>
      <c r="AA11" s="126">
        <v>10462</v>
      </c>
      <c r="AB11" s="127">
        <v>10136</v>
      </c>
      <c r="AC11" s="127">
        <v>10741</v>
      </c>
    </row>
    <row r="12" spans="1:29" ht="15">
      <c r="A12" s="1"/>
      <c r="B12" s="1"/>
      <c r="C12" s="1"/>
      <c r="D12" s="1"/>
      <c r="E12" s="1"/>
      <c r="F12" s="584"/>
      <c r="G12" s="600"/>
      <c r="H12" s="142">
        <v>3</v>
      </c>
      <c r="I12" s="135"/>
      <c r="J12" s="143">
        <v>8820</v>
      </c>
      <c r="K12" s="144"/>
      <c r="L12" s="145">
        <v>3508</v>
      </c>
      <c r="M12" s="137">
        <f>5376+3840</f>
        <v>9216</v>
      </c>
      <c r="N12" s="138">
        <f>212+6528</f>
        <v>6740</v>
      </c>
      <c r="O12" s="122">
        <v>5760</v>
      </c>
      <c r="P12" s="139"/>
      <c r="Q12" s="123"/>
      <c r="R12" s="123"/>
      <c r="S12" s="123"/>
      <c r="T12" s="123"/>
      <c r="U12" s="123"/>
      <c r="V12" s="122"/>
      <c r="W12" s="122"/>
      <c r="X12" s="28"/>
      <c r="Y12" s="124" t="s">
        <v>55</v>
      </c>
      <c r="Z12" s="125">
        <f t="shared" si="0"/>
        <v>0</v>
      </c>
      <c r="AA12" s="126">
        <v>4541</v>
      </c>
      <c r="AB12" s="127">
        <v>4407</v>
      </c>
      <c r="AC12" s="127">
        <v>3939</v>
      </c>
    </row>
    <row r="13" spans="1:29" ht="15">
      <c r="A13" s="1"/>
      <c r="B13" s="1"/>
      <c r="C13" s="1"/>
      <c r="D13" s="1"/>
      <c r="E13" s="1"/>
      <c r="F13" s="584"/>
      <c r="G13" s="602" t="s">
        <v>18</v>
      </c>
      <c r="H13" s="603"/>
      <c r="I13" s="8">
        <f t="shared" ref="I13:W13" si="1">SUM(I7:I12)</f>
        <v>31680</v>
      </c>
      <c r="J13" s="8">
        <f t="shared" si="1"/>
        <v>111520</v>
      </c>
      <c r="K13" s="6">
        <f t="shared" si="1"/>
        <v>21728</v>
      </c>
      <c r="L13" s="7">
        <f t="shared" si="1"/>
        <v>71876</v>
      </c>
      <c r="M13" s="146">
        <f t="shared" si="1"/>
        <v>39552</v>
      </c>
      <c r="N13" s="8">
        <f t="shared" si="1"/>
        <v>9594</v>
      </c>
      <c r="O13" s="8">
        <f t="shared" si="1"/>
        <v>55292</v>
      </c>
      <c r="P13" s="8">
        <f t="shared" si="1"/>
        <v>21888</v>
      </c>
      <c r="Q13" s="8">
        <f t="shared" si="1"/>
        <v>0</v>
      </c>
      <c r="R13" s="8">
        <f t="shared" si="1"/>
        <v>52992</v>
      </c>
      <c r="S13" s="8">
        <f t="shared" si="1"/>
        <v>0</v>
      </c>
      <c r="T13" s="8">
        <f t="shared" si="1"/>
        <v>0</v>
      </c>
      <c r="U13" s="8">
        <f t="shared" si="1"/>
        <v>0</v>
      </c>
      <c r="V13" s="8">
        <f t="shared" si="1"/>
        <v>0</v>
      </c>
      <c r="W13" s="8">
        <f t="shared" si="1"/>
        <v>0</v>
      </c>
    </row>
    <row r="14" spans="1:29" ht="15">
      <c r="A14" s="1"/>
      <c r="B14" s="1"/>
      <c r="C14" s="1"/>
      <c r="D14" s="1"/>
      <c r="E14" s="1"/>
      <c r="F14" s="584"/>
      <c r="G14" s="602" t="s">
        <v>19</v>
      </c>
      <c r="H14" s="603"/>
      <c r="I14" s="8" t="e">
        <f t="shared" ref="I14:W14" si="2">#REF!</f>
        <v>#REF!</v>
      </c>
      <c r="J14" s="8" t="e">
        <f t="shared" si="2"/>
        <v>#REF!</v>
      </c>
      <c r="K14" s="6" t="e">
        <f t="shared" si="2"/>
        <v>#REF!</v>
      </c>
      <c r="L14" s="7" t="e">
        <f t="shared" si="2"/>
        <v>#REF!</v>
      </c>
      <c r="M14" s="146" t="e">
        <f t="shared" si="2"/>
        <v>#REF!</v>
      </c>
      <c r="N14" s="8" t="e">
        <f t="shared" si="2"/>
        <v>#REF!</v>
      </c>
      <c r="O14" s="8" t="e">
        <f t="shared" si="2"/>
        <v>#REF!</v>
      </c>
      <c r="P14" s="8" t="e">
        <f t="shared" si="2"/>
        <v>#REF!</v>
      </c>
      <c r="Q14" s="8" t="e">
        <f t="shared" si="2"/>
        <v>#REF!</v>
      </c>
      <c r="R14" s="8" t="e">
        <f t="shared" si="2"/>
        <v>#REF!</v>
      </c>
      <c r="S14" s="8" t="e">
        <f t="shared" si="2"/>
        <v>#REF!</v>
      </c>
      <c r="T14" s="8" t="e">
        <f t="shared" si="2"/>
        <v>#REF!</v>
      </c>
      <c r="U14" s="8" t="e">
        <f t="shared" si="2"/>
        <v>#REF!</v>
      </c>
      <c r="V14" s="8" t="e">
        <f t="shared" si="2"/>
        <v>#REF!</v>
      </c>
      <c r="W14" s="8" t="e">
        <f t="shared" si="2"/>
        <v>#REF!</v>
      </c>
      <c r="AA14" s="30">
        <f t="shared" ref="AA14:AC14" si="3">AA7*3</f>
        <v>29757</v>
      </c>
      <c r="AB14" s="30">
        <f t="shared" si="3"/>
        <v>25386</v>
      </c>
      <c r="AC14" s="30">
        <f t="shared" si="3"/>
        <v>25686</v>
      </c>
    </row>
    <row r="15" spans="1:29" ht="15">
      <c r="A15" s="1"/>
      <c r="B15" s="1"/>
      <c r="C15" s="1"/>
      <c r="D15" s="1"/>
      <c r="E15" s="1"/>
      <c r="F15" s="597"/>
      <c r="G15" s="602" t="s">
        <v>20</v>
      </c>
      <c r="H15" s="603"/>
      <c r="I15" s="8" t="e">
        <f t="shared" ref="I15:W15" si="4">I14* 1456.78</f>
        <v>#REF!</v>
      </c>
      <c r="J15" s="8" t="e">
        <f t="shared" si="4"/>
        <v>#REF!</v>
      </c>
      <c r="K15" s="6" t="e">
        <f t="shared" si="4"/>
        <v>#REF!</v>
      </c>
      <c r="L15" s="9" t="e">
        <f t="shared" si="4"/>
        <v>#REF!</v>
      </c>
      <c r="M15" s="146" t="e">
        <f t="shared" si="4"/>
        <v>#REF!</v>
      </c>
      <c r="N15" s="8" t="e">
        <f t="shared" si="4"/>
        <v>#REF!</v>
      </c>
      <c r="O15" s="8" t="e">
        <f t="shared" si="4"/>
        <v>#REF!</v>
      </c>
      <c r="P15" s="8" t="e">
        <f t="shared" si="4"/>
        <v>#REF!</v>
      </c>
      <c r="Q15" s="8" t="e">
        <f t="shared" si="4"/>
        <v>#REF!</v>
      </c>
      <c r="R15" s="8" t="e">
        <f t="shared" si="4"/>
        <v>#REF!</v>
      </c>
      <c r="S15" s="8" t="e">
        <f t="shared" si="4"/>
        <v>#REF!</v>
      </c>
      <c r="T15" s="8" t="e">
        <f t="shared" si="4"/>
        <v>#REF!</v>
      </c>
      <c r="U15" s="8" t="e">
        <f t="shared" si="4"/>
        <v>#REF!</v>
      </c>
      <c r="V15" s="8" t="e">
        <f t="shared" si="4"/>
        <v>#REF!</v>
      </c>
      <c r="W15" s="8" t="e">
        <f t="shared" si="4"/>
        <v>#REF!</v>
      </c>
      <c r="AA15" s="30">
        <f t="shared" ref="AA15:AC15" si="5">AA8*3</f>
        <v>40779</v>
      </c>
      <c r="AB15" s="30">
        <f t="shared" si="5"/>
        <v>35415</v>
      </c>
      <c r="AC15" s="30">
        <f t="shared" si="5"/>
        <v>31815</v>
      </c>
    </row>
    <row r="16" spans="1:29" ht="15">
      <c r="A16" s="1"/>
      <c r="B16" s="1"/>
      <c r="C16" s="1"/>
      <c r="D16" s="1"/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AA16" s="30">
        <f t="shared" ref="AA16:AC16" si="6">AA9*3</f>
        <v>11706</v>
      </c>
      <c r="AB16" s="30">
        <f t="shared" si="6"/>
        <v>11265</v>
      </c>
      <c r="AC16" s="30">
        <f t="shared" si="6"/>
        <v>10800</v>
      </c>
    </row>
    <row r="17" spans="1:29" ht="15">
      <c r="A17" s="1"/>
      <c r="B17" s="1"/>
      <c r="C17" s="1"/>
      <c r="D17" s="1"/>
      <c r="E17" s="1"/>
      <c r="F17" s="147"/>
      <c r="G17" s="147"/>
      <c r="H17" s="147"/>
      <c r="I17" s="148" t="s">
        <v>21</v>
      </c>
      <c r="J17" s="148" t="s">
        <v>21</v>
      </c>
      <c r="K17" s="148" t="s">
        <v>21</v>
      </c>
      <c r="L17" s="149" t="s">
        <v>22</v>
      </c>
      <c r="M17" s="148" t="s">
        <v>22</v>
      </c>
      <c r="N17" s="148" t="s">
        <v>22</v>
      </c>
      <c r="O17" s="148" t="s">
        <v>22</v>
      </c>
      <c r="P17" s="149" t="s">
        <v>22</v>
      </c>
      <c r="Q17" s="148" t="s">
        <v>22</v>
      </c>
      <c r="R17" s="148" t="s">
        <v>22</v>
      </c>
      <c r="S17" s="2"/>
      <c r="AA17" s="30">
        <f t="shared" ref="AA17:AC17" si="7">AA10*3</f>
        <v>37638</v>
      </c>
      <c r="AB17" s="30">
        <f t="shared" si="7"/>
        <v>37134</v>
      </c>
      <c r="AC17" s="30">
        <f t="shared" si="7"/>
        <v>35142</v>
      </c>
    </row>
    <row r="18" spans="1:29" ht="15">
      <c r="A18" s="1"/>
      <c r="B18" s="1"/>
      <c r="C18" s="1"/>
      <c r="D18" s="1"/>
      <c r="E18" s="1"/>
      <c r="F18" s="604" t="s">
        <v>23</v>
      </c>
      <c r="G18" s="581"/>
      <c r="H18" s="582"/>
      <c r="I18" s="150" t="s">
        <v>7</v>
      </c>
      <c r="J18" s="150" t="s">
        <v>8</v>
      </c>
      <c r="K18" s="83" t="s">
        <v>9</v>
      </c>
      <c r="L18" s="84" t="s">
        <v>10</v>
      </c>
      <c r="M18" s="85" t="s">
        <v>108</v>
      </c>
      <c r="N18" s="150" t="s">
        <v>12</v>
      </c>
      <c r="O18" s="150" t="s">
        <v>1</v>
      </c>
      <c r="P18" s="150" t="s">
        <v>2</v>
      </c>
      <c r="Q18" s="150" t="s">
        <v>3</v>
      </c>
      <c r="R18" s="150" t="s">
        <v>4</v>
      </c>
      <c r="S18" s="151" t="s">
        <v>5</v>
      </c>
      <c r="T18" s="151" t="s">
        <v>6</v>
      </c>
      <c r="U18" s="151" t="s">
        <v>7</v>
      </c>
      <c r="V18" s="151" t="s">
        <v>8</v>
      </c>
      <c r="W18" s="151" t="s">
        <v>9</v>
      </c>
      <c r="AA18" s="30">
        <f t="shared" ref="AA18:AC18" si="8">AA11*3</f>
        <v>31386</v>
      </c>
      <c r="AB18" s="30">
        <f t="shared" si="8"/>
        <v>30408</v>
      </c>
      <c r="AC18" s="30">
        <f t="shared" si="8"/>
        <v>32223</v>
      </c>
    </row>
    <row r="19" spans="1:29" ht="15">
      <c r="A19" s="1"/>
      <c r="B19" s="1"/>
      <c r="C19" s="1"/>
      <c r="D19" s="1"/>
      <c r="E19" s="1"/>
      <c r="F19" s="605"/>
      <c r="G19" s="598" t="s">
        <v>14</v>
      </c>
      <c r="H19" s="115">
        <v>1</v>
      </c>
      <c r="I19" s="152">
        <v>8462</v>
      </c>
      <c r="J19" s="153">
        <v>8396</v>
      </c>
      <c r="K19" s="154">
        <v>8562</v>
      </c>
      <c r="L19" s="155">
        <v>8839</v>
      </c>
      <c r="M19" s="156">
        <v>8713</v>
      </c>
      <c r="N19" s="157">
        <v>8626</v>
      </c>
      <c r="O19" s="157">
        <v>8540</v>
      </c>
      <c r="P19" s="157">
        <v>8497</v>
      </c>
      <c r="Q19" s="157">
        <v>8582</v>
      </c>
      <c r="R19" s="157">
        <v>8754</v>
      </c>
      <c r="S19" s="157">
        <v>8841</v>
      </c>
      <c r="T19" s="157">
        <v>8886</v>
      </c>
      <c r="U19" s="157">
        <v>8797</v>
      </c>
      <c r="V19" s="157">
        <v>8665</v>
      </c>
      <c r="W19" s="157">
        <v>8752</v>
      </c>
      <c r="AA19" s="30">
        <f t="shared" ref="AA19:AC19" si="9">AA12*3</f>
        <v>13623</v>
      </c>
      <c r="AB19" s="30">
        <f t="shared" si="9"/>
        <v>13221</v>
      </c>
      <c r="AC19" s="30">
        <f t="shared" si="9"/>
        <v>11817</v>
      </c>
    </row>
    <row r="20" spans="1:29" ht="15">
      <c r="A20" s="1"/>
      <c r="B20" s="1"/>
      <c r="C20" s="1"/>
      <c r="D20" s="1"/>
      <c r="E20" s="1"/>
      <c r="F20" s="584"/>
      <c r="G20" s="599"/>
      <c r="H20" s="115">
        <v>2</v>
      </c>
      <c r="I20" s="152">
        <v>11805</v>
      </c>
      <c r="J20" s="153">
        <v>11381</v>
      </c>
      <c r="K20" s="154">
        <v>10605</v>
      </c>
      <c r="L20" s="155">
        <v>9769</v>
      </c>
      <c r="M20" s="158">
        <v>9681</v>
      </c>
      <c r="N20" s="159">
        <v>9536</v>
      </c>
      <c r="O20" s="159">
        <v>9488</v>
      </c>
      <c r="P20" s="159">
        <v>9536</v>
      </c>
      <c r="Q20" s="159">
        <v>9631</v>
      </c>
      <c r="R20" s="159">
        <v>9823</v>
      </c>
      <c r="S20" s="159">
        <v>9693</v>
      </c>
      <c r="T20" s="159">
        <v>9628</v>
      </c>
      <c r="U20" s="159">
        <v>9564</v>
      </c>
      <c r="V20" s="159">
        <v>9532</v>
      </c>
      <c r="W20" s="159">
        <v>9595</v>
      </c>
    </row>
    <row r="21" spans="1:29" ht="15">
      <c r="A21" s="1"/>
      <c r="B21" s="1"/>
      <c r="C21" s="1"/>
      <c r="D21" s="1"/>
      <c r="E21" s="1"/>
      <c r="F21" s="584"/>
      <c r="G21" s="600"/>
      <c r="H21" s="131">
        <v>3</v>
      </c>
      <c r="I21" s="152">
        <v>3755</v>
      </c>
      <c r="J21" s="153">
        <v>3498</v>
      </c>
      <c r="K21" s="154">
        <v>3600</v>
      </c>
      <c r="L21" s="155">
        <v>3523</v>
      </c>
      <c r="M21" s="158">
        <v>3381</v>
      </c>
      <c r="N21" s="159">
        <v>3347</v>
      </c>
      <c r="O21" s="159">
        <v>3313</v>
      </c>
      <c r="P21" s="159">
        <v>3330</v>
      </c>
      <c r="Q21" s="159">
        <v>3363</v>
      </c>
      <c r="R21" s="159">
        <v>3397</v>
      </c>
      <c r="S21" s="159">
        <v>3374</v>
      </c>
      <c r="T21" s="159">
        <v>3340</v>
      </c>
      <c r="U21" s="159">
        <v>3329</v>
      </c>
      <c r="V21" s="159">
        <v>3340</v>
      </c>
      <c r="W21" s="159">
        <v>3363</v>
      </c>
    </row>
    <row r="22" spans="1:29" ht="15">
      <c r="A22" s="1"/>
      <c r="B22" s="1"/>
      <c r="C22" s="1"/>
      <c r="D22" s="1"/>
      <c r="E22" s="1"/>
      <c r="F22" s="584"/>
      <c r="G22" s="601" t="s">
        <v>16</v>
      </c>
      <c r="H22" s="134">
        <v>1</v>
      </c>
      <c r="I22" s="152">
        <v>12378</v>
      </c>
      <c r="J22" s="153">
        <v>11967</v>
      </c>
      <c r="K22" s="154">
        <v>11714</v>
      </c>
      <c r="L22" s="155">
        <v>11979</v>
      </c>
      <c r="M22" s="158">
        <v>11790</v>
      </c>
      <c r="N22" s="159">
        <v>11731</v>
      </c>
      <c r="O22" s="159">
        <v>11848</v>
      </c>
      <c r="P22" s="159">
        <v>11967</v>
      </c>
      <c r="Q22" s="159">
        <v>12206</v>
      </c>
      <c r="R22" s="159">
        <v>12450</v>
      </c>
      <c r="S22" s="159">
        <v>12574</v>
      </c>
      <c r="T22" s="159">
        <v>12637</v>
      </c>
      <c r="U22" s="159">
        <v>12511</v>
      </c>
      <c r="V22" s="159">
        <v>12574</v>
      </c>
      <c r="W22" s="159">
        <v>12624</v>
      </c>
    </row>
    <row r="23" spans="1:29" ht="15">
      <c r="A23" s="1"/>
      <c r="B23" s="1"/>
      <c r="C23" s="1"/>
      <c r="D23" s="1"/>
      <c r="E23" s="1"/>
      <c r="F23" s="584"/>
      <c r="G23" s="599"/>
      <c r="H23" s="134">
        <v>2</v>
      </c>
      <c r="I23" s="152">
        <v>10136</v>
      </c>
      <c r="J23" s="153">
        <v>10658</v>
      </c>
      <c r="K23" s="154">
        <v>10741</v>
      </c>
      <c r="L23" s="155">
        <v>11355</v>
      </c>
      <c r="M23" s="158">
        <v>11138</v>
      </c>
      <c r="N23" s="159">
        <v>11250</v>
      </c>
      <c r="O23" s="159">
        <v>11362</v>
      </c>
      <c r="P23" s="159">
        <v>11249</v>
      </c>
      <c r="Q23" s="159">
        <v>11305</v>
      </c>
      <c r="R23" s="159">
        <v>11418</v>
      </c>
      <c r="S23" s="159">
        <v>11342</v>
      </c>
      <c r="T23" s="159">
        <v>11304</v>
      </c>
      <c r="U23" s="159">
        <v>11379</v>
      </c>
      <c r="V23" s="159">
        <v>11455</v>
      </c>
      <c r="W23" s="159">
        <v>11608</v>
      </c>
    </row>
    <row r="24" spans="1:29" ht="15">
      <c r="A24" s="1"/>
      <c r="B24" s="1"/>
      <c r="C24" s="1"/>
      <c r="D24" s="1"/>
      <c r="E24" s="1"/>
      <c r="F24" s="584"/>
      <c r="G24" s="600"/>
      <c r="H24" s="142">
        <v>3</v>
      </c>
      <c r="I24" s="152">
        <v>4407</v>
      </c>
      <c r="J24" s="153">
        <v>3907</v>
      </c>
      <c r="K24" s="154">
        <v>3939</v>
      </c>
      <c r="L24" s="155">
        <v>3866</v>
      </c>
      <c r="M24" s="158">
        <v>3928</v>
      </c>
      <c r="N24" s="159">
        <v>3947</v>
      </c>
      <c r="O24" s="159">
        <v>3908</v>
      </c>
      <c r="P24" s="159">
        <v>3869</v>
      </c>
      <c r="Q24" s="159">
        <v>3849</v>
      </c>
      <c r="R24" s="159">
        <v>3901</v>
      </c>
      <c r="S24" s="159">
        <v>3927</v>
      </c>
      <c r="T24" s="159">
        <v>3953</v>
      </c>
      <c r="U24" s="159">
        <v>3927</v>
      </c>
      <c r="V24" s="159">
        <v>3940</v>
      </c>
      <c r="W24" s="159">
        <v>3966</v>
      </c>
    </row>
    <row r="25" spans="1:29" ht="15">
      <c r="A25" s="1"/>
      <c r="B25" s="1"/>
      <c r="C25" s="1"/>
      <c r="D25" s="1"/>
      <c r="E25" s="1"/>
      <c r="F25" s="160"/>
      <c r="G25" s="606" t="s">
        <v>18</v>
      </c>
      <c r="H25" s="603"/>
      <c r="I25" s="161">
        <f t="shared" ref="I25:W25" si="10">SUM(I19:I24)</f>
        <v>50943</v>
      </c>
      <c r="J25" s="161">
        <f t="shared" si="10"/>
        <v>49807</v>
      </c>
      <c r="K25" s="162">
        <f t="shared" si="10"/>
        <v>49161</v>
      </c>
      <c r="L25" s="163">
        <f t="shared" si="10"/>
        <v>49331</v>
      </c>
      <c r="M25" s="164">
        <f t="shared" si="10"/>
        <v>48631</v>
      </c>
      <c r="N25" s="161">
        <f t="shared" si="10"/>
        <v>48437</v>
      </c>
      <c r="O25" s="161">
        <f t="shared" si="10"/>
        <v>48459</v>
      </c>
      <c r="P25" s="161">
        <f t="shared" si="10"/>
        <v>48448</v>
      </c>
      <c r="Q25" s="161">
        <f t="shared" si="10"/>
        <v>48936</v>
      </c>
      <c r="R25" s="161">
        <f t="shared" si="10"/>
        <v>49743</v>
      </c>
      <c r="S25" s="161">
        <f t="shared" si="10"/>
        <v>49751</v>
      </c>
      <c r="T25" s="161">
        <f t="shared" si="10"/>
        <v>49748</v>
      </c>
      <c r="U25" s="161">
        <f t="shared" si="10"/>
        <v>49507</v>
      </c>
      <c r="V25" s="161">
        <f t="shared" si="10"/>
        <v>49506</v>
      </c>
      <c r="W25" s="161">
        <f t="shared" si="10"/>
        <v>49908</v>
      </c>
    </row>
    <row r="26" spans="1:29" ht="15">
      <c r="A26" s="1"/>
      <c r="B26" s="1"/>
      <c r="C26" s="1"/>
      <c r="D26" s="1"/>
      <c r="E26" s="1"/>
      <c r="F26" s="2"/>
      <c r="G26" s="2"/>
      <c r="H26" s="2"/>
      <c r="I26" s="2"/>
      <c r="J26" s="106"/>
      <c r="K26" s="106"/>
      <c r="L26" s="106"/>
      <c r="M26" s="106"/>
      <c r="N26" s="2"/>
      <c r="O26" s="2"/>
      <c r="P26" s="2"/>
      <c r="Q26" s="2"/>
      <c r="R26" s="2"/>
      <c r="S26" s="2"/>
    </row>
    <row r="27" spans="1:29" ht="15" collapsed="1">
      <c r="A27" s="1"/>
      <c r="B27" s="1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29" ht="12.75" hidden="1" outlineLevel="1">
      <c r="A28" s="165"/>
      <c r="B28" s="165" t="s">
        <v>114</v>
      </c>
      <c r="C28" s="165" t="s">
        <v>115</v>
      </c>
      <c r="D28" s="165" t="s">
        <v>116</v>
      </c>
      <c r="E28" s="165"/>
      <c r="F28" s="608" t="s">
        <v>27</v>
      </c>
      <c r="G28" s="579"/>
      <c r="H28" s="609"/>
      <c r="I28" s="166" t="s">
        <v>7</v>
      </c>
      <c r="J28" s="167" t="s">
        <v>8</v>
      </c>
      <c r="K28" s="167" t="s">
        <v>9</v>
      </c>
      <c r="L28" s="168" t="s">
        <v>10</v>
      </c>
      <c r="M28" s="166" t="s">
        <v>108</v>
      </c>
      <c r="N28" s="166" t="s">
        <v>12</v>
      </c>
      <c r="O28" s="166" t="s">
        <v>1</v>
      </c>
      <c r="P28" s="166" t="s">
        <v>2</v>
      </c>
      <c r="Q28" s="166" t="s">
        <v>3</v>
      </c>
      <c r="R28" s="166" t="s">
        <v>4</v>
      </c>
      <c r="S28" s="166" t="s">
        <v>5</v>
      </c>
      <c r="T28" s="166" t="s">
        <v>6</v>
      </c>
      <c r="U28" s="166" t="s">
        <v>7</v>
      </c>
      <c r="V28" s="166" t="s">
        <v>8</v>
      </c>
      <c r="W28" s="166" t="s">
        <v>9</v>
      </c>
    </row>
    <row r="29" spans="1:29" ht="14.25" hidden="1" outlineLevel="1">
      <c r="A29" s="169">
        <v>66530</v>
      </c>
      <c r="B29" s="170" t="e">
        <f>SUMIF(#REF!,E29,#REF!)</f>
        <v>#REF!</v>
      </c>
      <c r="C29" s="170" t="s">
        <v>483</v>
      </c>
      <c r="D29" s="31">
        <v>5760</v>
      </c>
      <c r="E29" s="31" t="s">
        <v>44</v>
      </c>
      <c r="F29" s="611"/>
      <c r="G29" s="598" t="s">
        <v>14</v>
      </c>
      <c r="H29" s="171">
        <v>1</v>
      </c>
      <c r="I29" s="88">
        <v>65764</v>
      </c>
      <c r="J29" s="13">
        <v>75367</v>
      </c>
      <c r="K29" s="13">
        <v>66530</v>
      </c>
      <c r="L29" s="15">
        <f t="shared" ref="L29:W29" si="11">K29+L7-L19</f>
        <v>63467</v>
      </c>
      <c r="M29" s="88">
        <f t="shared" si="11"/>
        <v>54754</v>
      </c>
      <c r="N29" s="88">
        <f t="shared" si="11"/>
        <v>46128</v>
      </c>
      <c r="O29" s="88">
        <f t="shared" si="11"/>
        <v>37588</v>
      </c>
      <c r="P29" s="88">
        <f t="shared" si="11"/>
        <v>31971</v>
      </c>
      <c r="Q29" s="88">
        <f t="shared" si="11"/>
        <v>23389</v>
      </c>
      <c r="R29" s="88">
        <f t="shared" si="11"/>
        <v>31339</v>
      </c>
      <c r="S29" s="88">
        <f t="shared" si="11"/>
        <v>22498</v>
      </c>
      <c r="T29" s="88">
        <f t="shared" si="11"/>
        <v>13612</v>
      </c>
      <c r="U29" s="88">
        <f t="shared" si="11"/>
        <v>4815</v>
      </c>
      <c r="V29" s="88">
        <f t="shared" si="11"/>
        <v>-3850</v>
      </c>
      <c r="W29" s="88">
        <f t="shared" si="11"/>
        <v>-12602</v>
      </c>
      <c r="X29" s="28"/>
    </row>
    <row r="30" spans="1:29" ht="14.25" hidden="1" outlineLevel="1">
      <c r="A30" s="169">
        <v>69360</v>
      </c>
      <c r="B30" s="170" t="e">
        <f>SUMIF(#REF!,E30,#REF!)</f>
        <v>#REF!</v>
      </c>
      <c r="C30" s="170" t="s">
        <v>483</v>
      </c>
      <c r="D30" s="172">
        <v>14976</v>
      </c>
      <c r="E30" s="31" t="s">
        <v>46</v>
      </c>
      <c r="F30" s="584"/>
      <c r="G30" s="599"/>
      <c r="H30" s="171">
        <v>2</v>
      </c>
      <c r="I30" s="88">
        <v>55465</v>
      </c>
      <c r="J30" s="13">
        <v>75543</v>
      </c>
      <c r="K30" s="13">
        <v>69360</v>
      </c>
      <c r="L30" s="15">
        <f t="shared" ref="L30:W30" si="12">K30+L8-L20</f>
        <v>76603</v>
      </c>
      <c r="M30" s="88">
        <f t="shared" si="12"/>
        <v>66922</v>
      </c>
      <c r="N30" s="88">
        <f t="shared" si="12"/>
        <v>57386</v>
      </c>
      <c r="O30" s="88">
        <f t="shared" si="12"/>
        <v>47898</v>
      </c>
      <c r="P30" s="88">
        <f t="shared" si="12"/>
        <v>48154</v>
      </c>
      <c r="Q30" s="88">
        <f t="shared" si="12"/>
        <v>38523</v>
      </c>
      <c r="R30" s="88">
        <f t="shared" si="12"/>
        <v>37340</v>
      </c>
      <c r="S30" s="88">
        <f t="shared" si="12"/>
        <v>27647</v>
      </c>
      <c r="T30" s="88">
        <f t="shared" si="12"/>
        <v>18019</v>
      </c>
      <c r="U30" s="88">
        <f t="shared" si="12"/>
        <v>8455</v>
      </c>
      <c r="V30" s="88">
        <f t="shared" si="12"/>
        <v>-1077</v>
      </c>
      <c r="W30" s="88">
        <f t="shared" si="12"/>
        <v>-10672</v>
      </c>
      <c r="X30" s="28"/>
    </row>
    <row r="31" spans="1:29" ht="14.25" hidden="1" outlineLevel="1">
      <c r="A31" s="169">
        <v>35399</v>
      </c>
      <c r="B31" s="170" t="e">
        <f>SUMIF(#REF!,E31,#REF!)</f>
        <v>#REF!</v>
      </c>
      <c r="C31" s="170" t="s">
        <v>483</v>
      </c>
      <c r="D31" s="31">
        <v>4608</v>
      </c>
      <c r="E31" s="31" t="s">
        <v>48</v>
      </c>
      <c r="F31" s="584"/>
      <c r="G31" s="600"/>
      <c r="H31" s="173">
        <v>3</v>
      </c>
      <c r="I31" s="88">
        <v>10635</v>
      </c>
      <c r="J31" s="13">
        <v>32258</v>
      </c>
      <c r="K31" s="13">
        <v>35399</v>
      </c>
      <c r="L31" s="15">
        <f t="shared" ref="L31:W31" si="13">K31+L9-L21</f>
        <v>31876</v>
      </c>
      <c r="M31" s="88">
        <f t="shared" si="13"/>
        <v>28495</v>
      </c>
      <c r="N31" s="88">
        <f t="shared" si="13"/>
        <v>25148</v>
      </c>
      <c r="O31" s="88">
        <f t="shared" si="13"/>
        <v>21835</v>
      </c>
      <c r="P31" s="88">
        <f t="shared" si="13"/>
        <v>18505</v>
      </c>
      <c r="Q31" s="88">
        <f t="shared" si="13"/>
        <v>15142</v>
      </c>
      <c r="R31" s="88">
        <f t="shared" si="13"/>
        <v>11745</v>
      </c>
      <c r="S31" s="88">
        <f t="shared" si="13"/>
        <v>8371</v>
      </c>
      <c r="T31" s="88">
        <f t="shared" si="13"/>
        <v>5031</v>
      </c>
      <c r="U31" s="88">
        <f t="shared" si="13"/>
        <v>1702</v>
      </c>
      <c r="V31" s="88">
        <f t="shared" si="13"/>
        <v>-1638</v>
      </c>
      <c r="W31" s="88">
        <f t="shared" si="13"/>
        <v>-5001</v>
      </c>
      <c r="X31" s="28"/>
    </row>
    <row r="32" spans="1:29" ht="14.25" hidden="1" outlineLevel="1">
      <c r="A32" s="169">
        <v>30069</v>
      </c>
      <c r="B32" s="170" t="e">
        <f>SUMIF(#REF!,E32,#REF!)</f>
        <v>#REF!</v>
      </c>
      <c r="C32" s="170" t="s">
        <v>483</v>
      </c>
      <c r="D32" s="31"/>
      <c r="E32" s="31" t="s">
        <v>50</v>
      </c>
      <c r="F32" s="584"/>
      <c r="G32" s="601" t="s">
        <v>16</v>
      </c>
      <c r="H32" s="174">
        <v>1</v>
      </c>
      <c r="I32" s="88">
        <v>23691</v>
      </c>
      <c r="J32" s="13">
        <v>40883</v>
      </c>
      <c r="K32" s="13">
        <v>30069</v>
      </c>
      <c r="L32" s="15">
        <f t="shared" ref="L32:W32" si="14">K32+L10-L22</f>
        <v>54162</v>
      </c>
      <c r="M32" s="88">
        <f t="shared" si="14"/>
        <v>52740</v>
      </c>
      <c r="N32" s="88">
        <f t="shared" si="14"/>
        <v>42499</v>
      </c>
      <c r="O32" s="88">
        <f t="shared" si="14"/>
        <v>62519</v>
      </c>
      <c r="P32" s="88">
        <f t="shared" si="14"/>
        <v>50552</v>
      </c>
      <c r="Q32" s="88">
        <f t="shared" si="14"/>
        <v>38346</v>
      </c>
      <c r="R32" s="88">
        <f t="shared" si="14"/>
        <v>42024</v>
      </c>
      <c r="S32" s="88">
        <f t="shared" si="14"/>
        <v>29450</v>
      </c>
      <c r="T32" s="88">
        <f t="shared" si="14"/>
        <v>16813</v>
      </c>
      <c r="U32" s="88">
        <f t="shared" si="14"/>
        <v>4302</v>
      </c>
      <c r="V32" s="88">
        <f t="shared" si="14"/>
        <v>-8272</v>
      </c>
      <c r="W32" s="88">
        <f t="shared" si="14"/>
        <v>-20896</v>
      </c>
      <c r="X32" s="28"/>
    </row>
    <row r="33" spans="1:24" ht="14.25" hidden="1" outlineLevel="1">
      <c r="A33" s="169">
        <v>49623</v>
      </c>
      <c r="B33" s="170" t="e">
        <f>SUMIF(#REF!,E33,#REF!)</f>
        <v>#REF!</v>
      </c>
      <c r="C33" s="170" t="s">
        <v>483</v>
      </c>
      <c r="D33" s="31"/>
      <c r="E33" s="31" t="s">
        <v>52</v>
      </c>
      <c r="F33" s="584"/>
      <c r="G33" s="599"/>
      <c r="H33" s="174">
        <v>2</v>
      </c>
      <c r="I33" s="88">
        <v>64523</v>
      </c>
      <c r="J33" s="13">
        <v>53429</v>
      </c>
      <c r="K33" s="13">
        <v>49623</v>
      </c>
      <c r="L33" s="15">
        <f t="shared" ref="L33:W33" si="15">K33+L11-L23</f>
        <v>47776</v>
      </c>
      <c r="M33" s="88">
        <f t="shared" si="15"/>
        <v>56606</v>
      </c>
      <c r="N33" s="88">
        <f t="shared" si="15"/>
        <v>46720</v>
      </c>
      <c r="O33" s="88">
        <f t="shared" si="15"/>
        <v>53022</v>
      </c>
      <c r="P33" s="88">
        <f t="shared" si="15"/>
        <v>50989</v>
      </c>
      <c r="Q33" s="88">
        <f t="shared" si="15"/>
        <v>39684</v>
      </c>
      <c r="R33" s="88">
        <f t="shared" si="15"/>
        <v>39786</v>
      </c>
      <c r="S33" s="88">
        <f t="shared" si="15"/>
        <v>28444</v>
      </c>
      <c r="T33" s="88">
        <f t="shared" si="15"/>
        <v>17140</v>
      </c>
      <c r="U33" s="88">
        <f t="shared" si="15"/>
        <v>5761</v>
      </c>
      <c r="V33" s="88">
        <f t="shared" si="15"/>
        <v>-5694</v>
      </c>
      <c r="W33" s="88">
        <f t="shared" si="15"/>
        <v>-17302</v>
      </c>
      <c r="X33" s="28"/>
    </row>
    <row r="34" spans="1:24" ht="14.25" hidden="1" outlineLevel="1">
      <c r="A34" s="169">
        <v>14991</v>
      </c>
      <c r="B34" s="170" t="e">
        <f>SUMIF(#REF!,E34,#REF!)</f>
        <v>#REF!</v>
      </c>
      <c r="C34" s="170" t="s">
        <v>483</v>
      </c>
      <c r="D34" s="31"/>
      <c r="E34" s="31" t="s">
        <v>54</v>
      </c>
      <c r="F34" s="584"/>
      <c r="G34" s="600"/>
      <c r="H34" s="175">
        <v>3</v>
      </c>
      <c r="I34" s="88">
        <v>14504</v>
      </c>
      <c r="J34" s="13">
        <v>19092</v>
      </c>
      <c r="K34" s="13">
        <v>14991</v>
      </c>
      <c r="L34" s="15">
        <f t="shared" ref="L34:W34" si="16">K34+L12-L24</f>
        <v>14633</v>
      </c>
      <c r="M34" s="88">
        <f t="shared" si="16"/>
        <v>19921</v>
      </c>
      <c r="N34" s="88">
        <f t="shared" si="16"/>
        <v>22714</v>
      </c>
      <c r="O34" s="88">
        <f t="shared" si="16"/>
        <v>24566</v>
      </c>
      <c r="P34" s="88">
        <f t="shared" si="16"/>
        <v>20697</v>
      </c>
      <c r="Q34" s="88">
        <f t="shared" si="16"/>
        <v>16848</v>
      </c>
      <c r="R34" s="88">
        <f t="shared" si="16"/>
        <v>12947</v>
      </c>
      <c r="S34" s="88">
        <f t="shared" si="16"/>
        <v>9020</v>
      </c>
      <c r="T34" s="88">
        <f t="shared" si="16"/>
        <v>5067</v>
      </c>
      <c r="U34" s="88">
        <f t="shared" si="16"/>
        <v>1140</v>
      </c>
      <c r="V34" s="88">
        <f t="shared" si="16"/>
        <v>-2800</v>
      </c>
      <c r="W34" s="88">
        <f t="shared" si="16"/>
        <v>-6766</v>
      </c>
      <c r="X34" s="28"/>
    </row>
    <row r="35" spans="1:24" ht="15" hidden="1" outlineLevel="1">
      <c r="A35" s="176">
        <f>SUM(A29:A34)</f>
        <v>265972</v>
      </c>
      <c r="B35" s="1"/>
      <c r="C35" s="1"/>
      <c r="D35" s="1"/>
      <c r="E35" s="1"/>
      <c r="F35" s="24"/>
      <c r="G35" s="607" t="s">
        <v>18</v>
      </c>
      <c r="H35" s="603"/>
      <c r="I35" s="177">
        <f t="shared" ref="I35:W35" si="17">SUM(I29:I34)</f>
        <v>234582</v>
      </c>
      <c r="J35" s="18">
        <f t="shared" si="17"/>
        <v>296572</v>
      </c>
      <c r="K35" s="18">
        <f t="shared" si="17"/>
        <v>265972</v>
      </c>
      <c r="L35" s="178">
        <f t="shared" si="17"/>
        <v>288517</v>
      </c>
      <c r="M35" s="177">
        <f t="shared" si="17"/>
        <v>279438</v>
      </c>
      <c r="N35" s="177">
        <f t="shared" si="17"/>
        <v>240595</v>
      </c>
      <c r="O35" s="177">
        <f t="shared" si="17"/>
        <v>247428</v>
      </c>
      <c r="P35" s="177">
        <f t="shared" si="17"/>
        <v>220868</v>
      </c>
      <c r="Q35" s="177">
        <f t="shared" si="17"/>
        <v>171932</v>
      </c>
      <c r="R35" s="179">
        <f t="shared" si="17"/>
        <v>175181</v>
      </c>
      <c r="S35" s="177">
        <f t="shared" si="17"/>
        <v>125430</v>
      </c>
      <c r="T35" s="177">
        <f t="shared" si="17"/>
        <v>75682</v>
      </c>
      <c r="U35" s="177">
        <f t="shared" si="17"/>
        <v>26175</v>
      </c>
      <c r="V35" s="177">
        <f t="shared" si="17"/>
        <v>-23331</v>
      </c>
      <c r="W35" s="177">
        <f t="shared" si="17"/>
        <v>-73239</v>
      </c>
    </row>
    <row r="36" spans="1:24" ht="15">
      <c r="A36" s="17"/>
      <c r="B36" s="1"/>
      <c r="C36" s="1"/>
      <c r="D36" s="1"/>
      <c r="E36" s="1"/>
      <c r="F36" s="1"/>
      <c r="G36" s="612"/>
      <c r="H36" s="579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2"/>
    </row>
    <row r="37" spans="1:24" ht="15">
      <c r="A37" s="17"/>
      <c r="B37" s="1"/>
      <c r="C37" s="1"/>
      <c r="D37" s="1"/>
      <c r="E37" s="1"/>
      <c r="F37" s="181"/>
      <c r="G37" s="147"/>
      <c r="H37" s="147"/>
      <c r="I37" s="182"/>
      <c r="J37" s="180"/>
      <c r="K37" s="180"/>
      <c r="L37" s="180"/>
      <c r="M37" s="182"/>
      <c r="N37" s="180"/>
      <c r="O37" s="182"/>
      <c r="P37" s="180"/>
      <c r="Q37" s="182"/>
      <c r="R37" s="182"/>
      <c r="S37" s="2"/>
    </row>
    <row r="38" spans="1:24" ht="15">
      <c r="A38" s="17"/>
      <c r="B38" s="1"/>
      <c r="C38" s="1"/>
      <c r="D38" s="1"/>
      <c r="E38" s="1"/>
      <c r="F38" s="613" t="s">
        <v>28</v>
      </c>
      <c r="G38" s="581"/>
      <c r="H38" s="581"/>
      <c r="I38" s="183" t="s">
        <v>7</v>
      </c>
      <c r="J38" s="183" t="s">
        <v>8</v>
      </c>
      <c r="K38" s="11" t="s">
        <v>9</v>
      </c>
      <c r="L38" s="12" t="s">
        <v>10</v>
      </c>
      <c r="M38" s="184" t="s">
        <v>11</v>
      </c>
      <c r="N38" s="183" t="s">
        <v>12</v>
      </c>
      <c r="O38" s="183" t="s">
        <v>1</v>
      </c>
      <c r="P38" s="183" t="s">
        <v>2</v>
      </c>
      <c r="Q38" s="183" t="s">
        <v>3</v>
      </c>
      <c r="R38" s="183" t="s">
        <v>4</v>
      </c>
      <c r="S38" s="19" t="s">
        <v>5</v>
      </c>
      <c r="T38" s="19" t="s">
        <v>6</v>
      </c>
      <c r="U38" s="19" t="s">
        <v>7</v>
      </c>
      <c r="V38" s="19" t="s">
        <v>8</v>
      </c>
      <c r="W38" s="19" t="s">
        <v>9</v>
      </c>
    </row>
    <row r="39" spans="1:24" ht="15">
      <c r="A39" s="17"/>
      <c r="B39" s="1"/>
      <c r="C39" s="1"/>
      <c r="D39" s="1"/>
      <c r="E39" s="1"/>
      <c r="F39" s="611"/>
      <c r="G39" s="610" t="s">
        <v>14</v>
      </c>
      <c r="H39" s="185">
        <v>1</v>
      </c>
      <c r="I39" s="23">
        <f t="shared" ref="I39:W39" si="18">I29/I19</f>
        <v>7.7716851808083192</v>
      </c>
      <c r="J39" s="23">
        <f t="shared" si="18"/>
        <v>8.9765364459266319</v>
      </c>
      <c r="K39" s="20">
        <f t="shared" si="18"/>
        <v>7.77038075216071</v>
      </c>
      <c r="L39" s="21">
        <f t="shared" si="18"/>
        <v>7.1803371422106572</v>
      </c>
      <c r="M39" s="22">
        <f t="shared" si="18"/>
        <v>6.2841730747159419</v>
      </c>
      <c r="N39" s="23">
        <f t="shared" si="18"/>
        <v>5.347553906793415</v>
      </c>
      <c r="O39" s="23">
        <f t="shared" si="18"/>
        <v>4.4014051522248243</v>
      </c>
      <c r="P39" s="23">
        <f t="shared" si="18"/>
        <v>3.7626221019183239</v>
      </c>
      <c r="Q39" s="23">
        <f t="shared" si="18"/>
        <v>2.7253553950128175</v>
      </c>
      <c r="R39" s="23">
        <f t="shared" si="18"/>
        <v>3.5799634452821567</v>
      </c>
      <c r="S39" s="23">
        <f t="shared" si="18"/>
        <v>2.5447347585114808</v>
      </c>
      <c r="T39" s="23">
        <f t="shared" si="18"/>
        <v>1.5318478505514292</v>
      </c>
      <c r="U39" s="23">
        <f t="shared" si="18"/>
        <v>0.5473456860293282</v>
      </c>
      <c r="V39" s="23">
        <f t="shared" si="18"/>
        <v>-0.44431621465666477</v>
      </c>
      <c r="W39" s="23">
        <f t="shared" si="18"/>
        <v>-1.4398994515539305</v>
      </c>
    </row>
    <row r="40" spans="1:24" ht="15">
      <c r="A40" s="17"/>
      <c r="B40" s="1"/>
      <c r="C40" s="1"/>
      <c r="D40" s="1"/>
      <c r="E40" s="1"/>
      <c r="F40" s="584"/>
      <c r="G40" s="584"/>
      <c r="H40" s="185">
        <v>2</v>
      </c>
      <c r="I40" s="23">
        <f t="shared" ref="I40:W40" si="19">I30/I20</f>
        <v>4.6984328674290552</v>
      </c>
      <c r="J40" s="23">
        <f t="shared" si="19"/>
        <v>6.6376416835076002</v>
      </c>
      <c r="K40" s="20">
        <f t="shared" si="19"/>
        <v>6.5403111739745405</v>
      </c>
      <c r="L40" s="21">
        <f t="shared" si="19"/>
        <v>7.8414371993039209</v>
      </c>
      <c r="M40" s="22">
        <f t="shared" si="19"/>
        <v>6.9127156285507692</v>
      </c>
      <c r="N40" s="23">
        <f t="shared" si="19"/>
        <v>6.0178271812080535</v>
      </c>
      <c r="O40" s="23">
        <f t="shared" si="19"/>
        <v>5.0482715008431702</v>
      </c>
      <c r="P40" s="23">
        <f t="shared" si="19"/>
        <v>5.0497063758389258</v>
      </c>
      <c r="Q40" s="23">
        <f t="shared" si="19"/>
        <v>3.9998961686221577</v>
      </c>
      <c r="R40" s="23">
        <f t="shared" si="19"/>
        <v>3.8012827038582917</v>
      </c>
      <c r="S40" s="23">
        <f t="shared" si="19"/>
        <v>2.8522645207881978</v>
      </c>
      <c r="T40" s="23">
        <f t="shared" si="19"/>
        <v>1.8715205650186955</v>
      </c>
      <c r="U40" s="23">
        <f t="shared" si="19"/>
        <v>0.88404433291509832</v>
      </c>
      <c r="V40" s="23">
        <f t="shared" si="19"/>
        <v>-0.11298783046579941</v>
      </c>
      <c r="W40" s="23">
        <f t="shared" si="19"/>
        <v>-1.1122459614382492</v>
      </c>
    </row>
    <row r="41" spans="1:24" ht="15">
      <c r="A41" s="17"/>
      <c r="B41" s="1"/>
      <c r="C41" s="1"/>
      <c r="D41" s="1"/>
      <c r="E41" s="1"/>
      <c r="F41" s="584"/>
      <c r="G41" s="597"/>
      <c r="H41" s="185">
        <v>3</v>
      </c>
      <c r="I41" s="23">
        <f t="shared" ref="I41:W41" si="20">I31/I21</f>
        <v>2.8322237017310252</v>
      </c>
      <c r="J41" s="23">
        <f t="shared" si="20"/>
        <v>9.2218410520297311</v>
      </c>
      <c r="K41" s="20">
        <f t="shared" si="20"/>
        <v>9.8330555555555552</v>
      </c>
      <c r="L41" s="21">
        <f t="shared" si="20"/>
        <v>9.0479704797047962</v>
      </c>
      <c r="M41" s="22">
        <f t="shared" si="20"/>
        <v>8.4279798876072167</v>
      </c>
      <c r="N41" s="23">
        <f t="shared" si="20"/>
        <v>7.51359426351957</v>
      </c>
      <c r="O41" s="23">
        <f t="shared" si="20"/>
        <v>6.5907032900694231</v>
      </c>
      <c r="P41" s="23">
        <f t="shared" si="20"/>
        <v>5.5570570570570572</v>
      </c>
      <c r="Q41" s="23">
        <f t="shared" si="20"/>
        <v>4.5025275052036875</v>
      </c>
      <c r="R41" s="23">
        <f t="shared" si="20"/>
        <v>3.4574624668825433</v>
      </c>
      <c r="S41" s="23">
        <f t="shared" si="20"/>
        <v>2.4810314167160641</v>
      </c>
      <c r="T41" s="23">
        <f t="shared" si="20"/>
        <v>1.5062874251497007</v>
      </c>
      <c r="U41" s="23">
        <f t="shared" si="20"/>
        <v>0.51126464403724847</v>
      </c>
      <c r="V41" s="23">
        <f t="shared" si="20"/>
        <v>-0.49041916167664673</v>
      </c>
      <c r="W41" s="23">
        <f t="shared" si="20"/>
        <v>-1.4870651204281891</v>
      </c>
    </row>
    <row r="42" spans="1:24" ht="15">
      <c r="A42" s="1"/>
      <c r="B42" s="1"/>
      <c r="C42" s="1"/>
      <c r="D42" s="1"/>
      <c r="E42" s="1"/>
      <c r="F42" s="584"/>
      <c r="G42" s="601" t="s">
        <v>16</v>
      </c>
      <c r="H42" s="174">
        <v>1</v>
      </c>
      <c r="I42" s="23">
        <f t="shared" ref="I42:W42" si="21">I32/I22</f>
        <v>1.9139602520601067</v>
      </c>
      <c r="J42" s="23">
        <f t="shared" si="21"/>
        <v>3.4163115233558954</v>
      </c>
      <c r="K42" s="20">
        <f t="shared" si="21"/>
        <v>2.5669284616697969</v>
      </c>
      <c r="L42" s="21">
        <f t="shared" si="21"/>
        <v>4.5214124718256947</v>
      </c>
      <c r="M42" s="22">
        <f t="shared" si="21"/>
        <v>4.4732824427480917</v>
      </c>
      <c r="N42" s="23">
        <f t="shared" si="21"/>
        <v>3.6227943056857899</v>
      </c>
      <c r="O42" s="23">
        <f t="shared" si="21"/>
        <v>5.2767555705604323</v>
      </c>
      <c r="P42" s="23">
        <f t="shared" si="21"/>
        <v>4.2242834461435619</v>
      </c>
      <c r="Q42" s="23">
        <f t="shared" si="21"/>
        <v>3.1415697198099295</v>
      </c>
      <c r="R42" s="23">
        <f t="shared" si="21"/>
        <v>3.3754216867469879</v>
      </c>
      <c r="S42" s="23">
        <f t="shared" si="21"/>
        <v>2.3421345633847621</v>
      </c>
      <c r="T42" s="23">
        <f t="shared" si="21"/>
        <v>1.3304581783651184</v>
      </c>
      <c r="U42" s="23">
        <f t="shared" si="21"/>
        <v>0.34385740548317478</v>
      </c>
      <c r="V42" s="23">
        <f t="shared" si="21"/>
        <v>-0.65786543661523778</v>
      </c>
      <c r="W42" s="23">
        <f t="shared" si="21"/>
        <v>-1.6552598225602029</v>
      </c>
    </row>
    <row r="43" spans="1:24" ht="15">
      <c r="A43" s="1"/>
      <c r="B43" s="1"/>
      <c r="C43" s="1"/>
      <c r="D43" s="1"/>
      <c r="E43" s="1"/>
      <c r="F43" s="584"/>
      <c r="G43" s="599"/>
      <c r="H43" s="174">
        <v>2</v>
      </c>
      <c r="I43" s="23">
        <f t="shared" ref="I43:W43" si="22">I33/I23</f>
        <v>6.3657261247040253</v>
      </c>
      <c r="J43" s="23">
        <f t="shared" si="22"/>
        <v>5.0130418465002817</v>
      </c>
      <c r="K43" s="20">
        <f t="shared" si="22"/>
        <v>4.6199608974955773</v>
      </c>
      <c r="L43" s="21">
        <f t="shared" si="22"/>
        <v>4.2074856891237342</v>
      </c>
      <c r="M43" s="22">
        <f t="shared" si="22"/>
        <v>5.082240976836057</v>
      </c>
      <c r="N43" s="23">
        <f t="shared" si="22"/>
        <v>4.1528888888888886</v>
      </c>
      <c r="O43" s="23">
        <f t="shared" si="22"/>
        <v>4.6666079915507837</v>
      </c>
      <c r="P43" s="23">
        <f t="shared" si="22"/>
        <v>4.5327584674193258</v>
      </c>
      <c r="Q43" s="23">
        <f t="shared" si="22"/>
        <v>3.5103051747014598</v>
      </c>
      <c r="R43" s="23">
        <f t="shared" si="22"/>
        <v>3.4844981607987386</v>
      </c>
      <c r="S43" s="23">
        <f t="shared" si="22"/>
        <v>2.5078469405748547</v>
      </c>
      <c r="T43" s="23">
        <f t="shared" si="22"/>
        <v>1.5162774239207359</v>
      </c>
      <c r="U43" s="23">
        <f t="shared" si="22"/>
        <v>0.50628350470164341</v>
      </c>
      <c r="V43" s="23">
        <f t="shared" si="22"/>
        <v>-0.49707551287647317</v>
      </c>
      <c r="W43" s="23">
        <f t="shared" si="22"/>
        <v>-1.4905237767057202</v>
      </c>
    </row>
    <row r="44" spans="1:24" ht="15">
      <c r="A44" s="1"/>
      <c r="B44" s="1"/>
      <c r="C44" s="1"/>
      <c r="D44" s="1"/>
      <c r="E44" s="1"/>
      <c r="F44" s="584"/>
      <c r="G44" s="600"/>
      <c r="H44" s="175">
        <v>3</v>
      </c>
      <c r="I44" s="23">
        <f t="shared" ref="I44:W44" si="23">I34/I24</f>
        <v>3.2911277513047423</v>
      </c>
      <c r="J44" s="23">
        <f t="shared" si="23"/>
        <v>4.8866137701561296</v>
      </c>
      <c r="K44" s="20">
        <f t="shared" si="23"/>
        <v>3.8057882711348059</v>
      </c>
      <c r="L44" s="21">
        <f t="shared" si="23"/>
        <v>3.7850491464045524</v>
      </c>
      <c r="M44" s="22">
        <f t="shared" si="23"/>
        <v>5.071537678207739</v>
      </c>
      <c r="N44" s="23">
        <f t="shared" si="23"/>
        <v>5.7547504433747152</v>
      </c>
      <c r="O44" s="23">
        <f t="shared" si="23"/>
        <v>6.2860798362333679</v>
      </c>
      <c r="P44" s="23">
        <f t="shared" si="23"/>
        <v>5.3494443008529338</v>
      </c>
      <c r="Q44" s="23">
        <f t="shared" si="23"/>
        <v>4.3772408417770849</v>
      </c>
      <c r="R44" s="23">
        <f t="shared" si="23"/>
        <v>3.3188925916431686</v>
      </c>
      <c r="S44" s="23">
        <f t="shared" si="23"/>
        <v>2.2969187675070026</v>
      </c>
      <c r="T44" s="23">
        <f t="shared" si="23"/>
        <v>1.2818112825701999</v>
      </c>
      <c r="U44" s="23">
        <f t="shared" si="23"/>
        <v>0.2902979373567609</v>
      </c>
      <c r="V44" s="23">
        <f t="shared" si="23"/>
        <v>-0.71065989847715738</v>
      </c>
      <c r="W44" s="23">
        <f t="shared" si="23"/>
        <v>-1.7060010085728694</v>
      </c>
    </row>
    <row r="45" spans="1:24" ht="15">
      <c r="A45" s="1"/>
      <c r="B45" s="1"/>
      <c r="C45" s="1"/>
      <c r="D45" s="1"/>
      <c r="E45" s="1"/>
      <c r="F45" s="24"/>
      <c r="G45" s="607" t="s">
        <v>18</v>
      </c>
      <c r="H45" s="603"/>
      <c r="I45" s="186">
        <f t="shared" ref="I45:W45" si="24">AVERAGE(I39:I44)</f>
        <v>4.478859313006212</v>
      </c>
      <c r="J45" s="186">
        <f t="shared" si="24"/>
        <v>6.3586643869127117</v>
      </c>
      <c r="K45" s="25">
        <f t="shared" si="24"/>
        <v>5.8560708519984983</v>
      </c>
      <c r="L45" s="26">
        <f t="shared" si="24"/>
        <v>6.0972820214288923</v>
      </c>
      <c r="M45" s="187">
        <f t="shared" si="24"/>
        <v>6.0419882814443033</v>
      </c>
      <c r="N45" s="186">
        <f t="shared" si="24"/>
        <v>5.4015681649117395</v>
      </c>
      <c r="O45" s="186">
        <f t="shared" si="24"/>
        <v>5.3783038902470004</v>
      </c>
      <c r="P45" s="186">
        <f t="shared" si="24"/>
        <v>4.7459786248716878</v>
      </c>
      <c r="Q45" s="186">
        <f t="shared" si="24"/>
        <v>3.7094824675211893</v>
      </c>
      <c r="R45" s="186">
        <f t="shared" si="24"/>
        <v>3.5029201758686477</v>
      </c>
      <c r="S45" s="186">
        <f t="shared" si="24"/>
        <v>2.5041551612470605</v>
      </c>
      <c r="T45" s="186">
        <f t="shared" si="24"/>
        <v>1.506367120929313</v>
      </c>
      <c r="U45" s="186">
        <f t="shared" si="24"/>
        <v>0.51384891842054237</v>
      </c>
      <c r="V45" s="186">
        <f t="shared" si="24"/>
        <v>-0.48555400912799646</v>
      </c>
      <c r="W45" s="186">
        <f t="shared" si="24"/>
        <v>-1.4818325235431935</v>
      </c>
    </row>
    <row r="46" spans="1:24" ht="15">
      <c r="A46" s="1"/>
      <c r="B46" s="1"/>
      <c r="C46" s="1"/>
      <c r="D46" s="1"/>
      <c r="E46" s="1"/>
      <c r="F46" s="1"/>
      <c r="G46" s="2"/>
      <c r="H46" s="2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2"/>
    </row>
    <row r="47" spans="1:24" ht="15">
      <c r="A47" s="1"/>
      <c r="B47" s="1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24" ht="15">
      <c r="A48" s="1"/>
      <c r="B48" s="1"/>
      <c r="C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</sheetData>
  <mergeCells count="24">
    <mergeCell ref="G45:H45"/>
    <mergeCell ref="F28:H28"/>
    <mergeCell ref="G39:G41"/>
    <mergeCell ref="G42:G44"/>
    <mergeCell ref="F29:F34"/>
    <mergeCell ref="G29:G31"/>
    <mergeCell ref="G32:G34"/>
    <mergeCell ref="G35:H35"/>
    <mergeCell ref="G36:H36"/>
    <mergeCell ref="F38:H38"/>
    <mergeCell ref="F39:F44"/>
    <mergeCell ref="F18:H18"/>
    <mergeCell ref="F19:F24"/>
    <mergeCell ref="G19:G21"/>
    <mergeCell ref="G22:G24"/>
    <mergeCell ref="G25:H25"/>
    <mergeCell ref="F5:H5"/>
    <mergeCell ref="F6:H6"/>
    <mergeCell ref="F7:F15"/>
    <mergeCell ref="G7:G9"/>
    <mergeCell ref="G10:G12"/>
    <mergeCell ref="G13:H13"/>
    <mergeCell ref="G14:H14"/>
    <mergeCell ref="G15:H15"/>
  </mergeCells>
  <phoneticPr fontId="63" type="noConversion"/>
  <conditionalFormatting sqref="I29:W34">
    <cfRule type="cellIs" dxfId="14" priority="1" operator="lessThan">
      <formula>0</formula>
    </cfRule>
  </conditionalFormatting>
  <conditionalFormatting sqref="I39:W44">
    <cfRule type="colorScale" priority="2">
      <colorScale>
        <cfvo type="formula" val="3"/>
        <cfvo type="formula" val="20"/>
        <color rgb="FFFFFFFF"/>
        <color rgb="FFE67C73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A84F"/>
    <outlinePr summaryBelow="0" summaryRight="0"/>
  </sheetPr>
  <dimension ref="A1:X931"/>
  <sheetViews>
    <sheetView zoomScale="85" zoomScaleNormal="85" workbookViewId="0">
      <selection activeCell="I11" sqref="I11"/>
    </sheetView>
  </sheetViews>
  <sheetFormatPr defaultColWidth="14.42578125" defaultRowHeight="15.75" customHeight="1" outlineLevelRow="1"/>
  <cols>
    <col min="1" max="2" width="22.85546875" style="533" customWidth="1"/>
    <col min="3" max="3" width="21.140625" style="533" customWidth="1"/>
    <col min="4" max="16384" width="14.42578125" style="533"/>
  </cols>
  <sheetData>
    <row r="1" spans="1:24" ht="16.5">
      <c r="A1" s="558" t="s">
        <v>137</v>
      </c>
      <c r="B1" s="534"/>
      <c r="C1" s="532"/>
      <c r="D1" s="532"/>
      <c r="E1" s="532"/>
      <c r="F1" s="532"/>
      <c r="G1" s="532"/>
      <c r="H1" s="532"/>
    </row>
    <row r="2" spans="1:24" ht="12.75">
      <c r="A2" s="532"/>
      <c r="B2" s="532"/>
      <c r="C2" s="532"/>
      <c r="D2" s="532"/>
      <c r="E2" s="532"/>
      <c r="F2" s="532"/>
      <c r="G2" s="532"/>
      <c r="H2" s="532"/>
    </row>
    <row r="3" spans="1:24" ht="12.75">
      <c r="A3" s="559">
        <v>1670</v>
      </c>
      <c r="B3" s="559"/>
      <c r="C3" s="204"/>
      <c r="D3" s="204"/>
      <c r="E3" s="204"/>
      <c r="F3" s="532"/>
      <c r="G3" s="532"/>
      <c r="H3" s="532"/>
      <c r="I3" s="560" t="s">
        <v>498</v>
      </c>
    </row>
    <row r="4" spans="1:24" ht="15" customHeight="1">
      <c r="A4" s="618" t="s">
        <v>0</v>
      </c>
      <c r="B4" s="618"/>
      <c r="C4" s="615"/>
      <c r="D4" s="531" t="s">
        <v>497</v>
      </c>
      <c r="E4" s="531" t="s">
        <v>141</v>
      </c>
      <c r="F4" s="531" t="s">
        <v>6</v>
      </c>
      <c r="G4" s="531" t="s">
        <v>7</v>
      </c>
      <c r="H4" s="531" t="s">
        <v>8</v>
      </c>
      <c r="I4" s="535" t="s">
        <v>493</v>
      </c>
      <c r="J4" s="542"/>
      <c r="K4" s="542"/>
      <c r="L4" s="542"/>
      <c r="M4" s="542"/>
      <c r="N4" s="543" t="s">
        <v>492</v>
      </c>
      <c r="O4" s="542"/>
      <c r="P4" s="542"/>
      <c r="Q4" s="542"/>
      <c r="R4" s="542"/>
      <c r="S4" s="542"/>
      <c r="T4" s="542"/>
      <c r="U4" s="542"/>
      <c r="V4" s="542"/>
      <c r="W4" s="542"/>
      <c r="X4" s="542"/>
    </row>
    <row r="5" spans="1:24" ht="13.5">
      <c r="A5" s="619" t="s">
        <v>15</v>
      </c>
      <c r="B5" s="536">
        <f>_xlfn.XLOOKUP(C5,'메디컬 SKU'!C:C,'메디컬 SKU'!A:A)</f>
        <v>117547</v>
      </c>
      <c r="C5" s="536" t="s">
        <v>142</v>
      </c>
      <c r="D5" s="537">
        <v>42.677419354838719</v>
      </c>
      <c r="E5" s="537">
        <v>96</v>
      </c>
      <c r="F5" s="537">
        <v>324</v>
      </c>
      <c r="G5" s="537">
        <v>324</v>
      </c>
      <c r="H5" s="537">
        <v>360</v>
      </c>
      <c r="I5" s="538">
        <v>198</v>
      </c>
      <c r="J5" s="544"/>
      <c r="K5" s="542" t="s">
        <v>485</v>
      </c>
      <c r="L5" s="542" t="s">
        <v>509</v>
      </c>
      <c r="M5" s="566" t="s">
        <v>491</v>
      </c>
      <c r="N5" s="567">
        <f>D23</f>
        <v>471490242.55376357</v>
      </c>
      <c r="O5" s="544"/>
      <c r="P5" s="544"/>
      <c r="Q5" s="544"/>
      <c r="R5" s="544"/>
      <c r="S5" s="542"/>
      <c r="T5" s="542"/>
      <c r="U5" s="542"/>
      <c r="V5" s="542"/>
      <c r="W5" s="542"/>
      <c r="X5" s="542"/>
    </row>
    <row r="6" spans="1:24" ht="13.5">
      <c r="A6" s="615"/>
      <c r="B6" s="536">
        <f>_xlfn.XLOOKUP(C6,'메디컬 SKU'!C:C,'메디컬 SKU'!A:A)</f>
        <v>552897</v>
      </c>
      <c r="C6" s="536" t="s">
        <v>143</v>
      </c>
      <c r="D6" s="537">
        <v>6566</v>
      </c>
      <c r="E6" s="537">
        <v>0</v>
      </c>
      <c r="F6" s="537">
        <v>0</v>
      </c>
      <c r="G6" s="537">
        <v>0</v>
      </c>
      <c r="H6" s="537">
        <v>0</v>
      </c>
      <c r="I6" s="538">
        <v>0</v>
      </c>
      <c r="J6" s="542"/>
      <c r="K6" s="542" t="s">
        <v>486</v>
      </c>
      <c r="L6" s="542" t="s">
        <v>499</v>
      </c>
      <c r="M6" s="563" t="s">
        <v>504</v>
      </c>
      <c r="N6" s="562">
        <f>E23</f>
        <v>828863501.5</v>
      </c>
      <c r="O6" s="542"/>
      <c r="P6" s="542"/>
      <c r="Q6" s="542"/>
      <c r="R6" s="542"/>
      <c r="S6" s="542"/>
      <c r="T6" s="542"/>
      <c r="U6" s="542"/>
      <c r="V6" s="542"/>
      <c r="W6" s="542"/>
      <c r="X6" s="542"/>
    </row>
    <row r="7" spans="1:24" ht="13.5">
      <c r="A7" s="615"/>
      <c r="B7" s="536">
        <f>_xlfn.XLOOKUP(C7,'메디컬 SKU'!C:C,'메디컬 SKU'!A:A)</f>
        <v>117771</v>
      </c>
      <c r="C7" s="536" t="s">
        <v>144</v>
      </c>
      <c r="D7" s="537">
        <v>220</v>
      </c>
      <c r="E7" s="537">
        <v>0</v>
      </c>
      <c r="F7" s="537">
        <v>60</v>
      </c>
      <c r="G7" s="537">
        <v>60</v>
      </c>
      <c r="H7" s="537">
        <v>120</v>
      </c>
      <c r="I7" s="538">
        <v>60</v>
      </c>
      <c r="J7" s="542"/>
      <c r="K7" s="542" t="s">
        <v>487</v>
      </c>
      <c r="L7" s="542" t="s">
        <v>500</v>
      </c>
      <c r="M7" s="568" t="s">
        <v>503</v>
      </c>
      <c r="N7" s="567">
        <f>F23</f>
        <v>300870317.33333331</v>
      </c>
      <c r="O7" s="542"/>
      <c r="P7" s="542"/>
      <c r="Q7" s="542"/>
      <c r="R7" s="542"/>
      <c r="S7" s="542"/>
      <c r="T7" s="542"/>
      <c r="U7" s="542"/>
      <c r="V7" s="542"/>
      <c r="W7" s="542"/>
      <c r="X7" s="542"/>
    </row>
    <row r="8" spans="1:24" ht="13.5">
      <c r="A8" s="615"/>
      <c r="B8" s="536">
        <f>_xlfn.XLOOKUP(C8,'메디컬 SKU'!C:C,'메디컬 SKU'!A:A)</f>
        <v>646546</v>
      </c>
      <c r="C8" s="536" t="s">
        <v>145</v>
      </c>
      <c r="D8" s="537">
        <v>28.709677419354833</v>
      </c>
      <c r="E8" s="537">
        <v>0</v>
      </c>
      <c r="F8" s="537">
        <v>68</v>
      </c>
      <c r="G8" s="537">
        <v>0</v>
      </c>
      <c r="H8" s="537">
        <v>0</v>
      </c>
      <c r="I8" s="538">
        <v>0</v>
      </c>
      <c r="J8" s="542"/>
      <c r="K8" s="542" t="s">
        <v>488</v>
      </c>
      <c r="L8" s="542" t="s">
        <v>501</v>
      </c>
      <c r="M8" s="564" t="s">
        <v>502</v>
      </c>
      <c r="N8" s="562">
        <f>G23</f>
        <v>156893160</v>
      </c>
      <c r="O8" s="542"/>
      <c r="P8" s="542"/>
      <c r="Q8" s="542"/>
      <c r="R8" s="542"/>
      <c r="S8" s="542"/>
      <c r="T8" s="542"/>
      <c r="U8" s="542"/>
      <c r="V8" s="542"/>
      <c r="W8" s="542"/>
      <c r="X8" s="542"/>
    </row>
    <row r="9" spans="1:24" ht="13.5">
      <c r="A9" s="615"/>
      <c r="B9" s="536">
        <f>_xlfn.XLOOKUP(C9,'메디컬 SKU'!C:C,'메디컬 SKU'!A:A)</f>
        <v>646567</v>
      </c>
      <c r="C9" s="536" t="s">
        <v>146</v>
      </c>
      <c r="D9" s="537">
        <v>61.258064516129032</v>
      </c>
      <c r="E9" s="537">
        <v>68</v>
      </c>
      <c r="F9" s="537">
        <v>0</v>
      </c>
      <c r="G9" s="537">
        <v>0</v>
      </c>
      <c r="H9" s="537">
        <v>0</v>
      </c>
      <c r="I9" s="538">
        <v>0</v>
      </c>
      <c r="J9" s="542"/>
      <c r="K9" s="542" t="s">
        <v>489</v>
      </c>
      <c r="L9" s="561" t="s">
        <v>505</v>
      </c>
      <c r="M9" s="563" t="s">
        <v>507</v>
      </c>
      <c r="N9" s="562">
        <f>H23</f>
        <v>63795670</v>
      </c>
      <c r="O9" s="542"/>
      <c r="P9" s="542"/>
      <c r="Q9" s="542"/>
      <c r="R9" s="542"/>
      <c r="S9" s="542"/>
      <c r="T9" s="542"/>
      <c r="U9" s="542"/>
      <c r="V9" s="542"/>
      <c r="W9" s="542"/>
      <c r="X9" s="542"/>
    </row>
    <row r="10" spans="1:24" ht="13.5">
      <c r="A10" s="615"/>
      <c r="B10" s="536">
        <f>_xlfn.XLOOKUP(C10,'메디컬 SKU'!C:C,'메디컬 SKU'!A:A)</f>
        <v>691217</v>
      </c>
      <c r="C10" s="536" t="s">
        <v>147</v>
      </c>
      <c r="D10" s="537">
        <v>20</v>
      </c>
      <c r="E10" s="537">
        <v>48</v>
      </c>
      <c r="F10" s="537">
        <v>84</v>
      </c>
      <c r="G10" s="537">
        <v>0</v>
      </c>
      <c r="H10" s="537">
        <v>0</v>
      </c>
      <c r="I10" s="538">
        <v>84</v>
      </c>
      <c r="J10" s="542"/>
      <c r="K10" s="542" t="s">
        <v>490</v>
      </c>
      <c r="L10" s="561" t="s">
        <v>506</v>
      </c>
      <c r="M10" s="563" t="s">
        <v>508</v>
      </c>
      <c r="N10" s="565">
        <f>I23</f>
        <v>619003202</v>
      </c>
      <c r="O10" s="542"/>
      <c r="P10" s="542"/>
      <c r="Q10" s="542"/>
      <c r="R10" s="542"/>
      <c r="S10" s="542"/>
      <c r="T10" s="542"/>
      <c r="U10" s="542"/>
      <c r="V10" s="542"/>
      <c r="W10" s="542"/>
      <c r="X10" s="542"/>
    </row>
    <row r="11" spans="1:24" ht="12.75">
      <c r="A11" s="615"/>
      <c r="B11" s="536">
        <f>_xlfn.XLOOKUP(C11,'메디컬 SKU'!C:C,'메디컬 SKU'!A:A)</f>
        <v>611174</v>
      </c>
      <c r="C11" s="536" t="s">
        <v>148</v>
      </c>
      <c r="D11" s="537">
        <v>3472</v>
      </c>
      <c r="E11" s="537">
        <v>19008</v>
      </c>
      <c r="F11" s="537">
        <v>0</v>
      </c>
      <c r="G11" s="537">
        <v>0</v>
      </c>
      <c r="H11" s="537">
        <v>0</v>
      </c>
      <c r="I11" s="538">
        <v>12096</v>
      </c>
      <c r="J11" s="542"/>
      <c r="K11" s="542"/>
      <c r="L11" s="542"/>
      <c r="M11" s="542"/>
      <c r="N11" s="569">
        <f>SUM(N5:N10)</f>
        <v>2440916093.3870969</v>
      </c>
      <c r="O11" s="542"/>
      <c r="P11" s="542"/>
      <c r="Q11" s="542"/>
      <c r="R11" s="542"/>
      <c r="S11" s="542"/>
      <c r="T11" s="542"/>
      <c r="U11" s="542"/>
      <c r="V11" s="542"/>
      <c r="W11" s="542"/>
      <c r="X11" s="542"/>
    </row>
    <row r="12" spans="1:24" ht="12.75">
      <c r="A12" s="615"/>
      <c r="B12" s="536">
        <f>_xlfn.XLOOKUP(C12,'메디컬 SKU'!C:C,'메디컬 SKU'!A:A)</f>
        <v>701775</v>
      </c>
      <c r="C12" s="536" t="s">
        <v>149</v>
      </c>
      <c r="D12" s="537">
        <v>4116.3870967741932</v>
      </c>
      <c r="E12" s="537">
        <v>0</v>
      </c>
      <c r="F12" s="537">
        <v>4536</v>
      </c>
      <c r="G12" s="537">
        <v>2592</v>
      </c>
      <c r="H12" s="537">
        <v>0</v>
      </c>
      <c r="I12" s="538">
        <v>1944</v>
      </c>
      <c r="J12" s="542"/>
      <c r="K12" s="542"/>
      <c r="L12" s="542"/>
      <c r="M12" s="542"/>
      <c r="N12" s="542"/>
      <c r="O12" s="542"/>
      <c r="P12" s="542"/>
      <c r="Q12" s="542"/>
      <c r="R12" s="542"/>
      <c r="S12" s="542"/>
      <c r="T12" s="542"/>
      <c r="U12" s="542"/>
      <c r="V12" s="542"/>
      <c r="W12" s="542"/>
      <c r="X12" s="542"/>
    </row>
    <row r="13" spans="1:24" ht="12.75">
      <c r="A13" s="615"/>
      <c r="B13" s="536">
        <f>_xlfn.XLOOKUP(C13,'메디컬 SKU'!C:C,'메디컬 SKU'!A:A)</f>
        <v>646548</v>
      </c>
      <c r="C13" s="536" t="s">
        <v>150</v>
      </c>
      <c r="D13" s="537">
        <v>38.41935483870968</v>
      </c>
      <c r="E13" s="537">
        <v>168</v>
      </c>
      <c r="F13" s="537">
        <v>0</v>
      </c>
      <c r="G13" s="537">
        <v>0</v>
      </c>
      <c r="H13" s="537">
        <v>60</v>
      </c>
      <c r="I13" s="538">
        <v>0</v>
      </c>
      <c r="J13" s="542"/>
      <c r="K13" s="542"/>
      <c r="L13" s="542"/>
      <c r="M13" s="542"/>
      <c r="N13" s="542"/>
      <c r="O13" s="542"/>
      <c r="P13" s="542"/>
      <c r="Q13" s="542"/>
      <c r="R13" s="542"/>
      <c r="S13" s="542"/>
      <c r="T13" s="542"/>
      <c r="U13" s="542"/>
      <c r="V13" s="542"/>
      <c r="W13" s="542"/>
      <c r="X13" s="542"/>
    </row>
    <row r="14" spans="1:24" ht="12.75">
      <c r="A14" s="615"/>
      <c r="B14" s="536">
        <f>_xlfn.XLOOKUP(C14,'메디컬 SKU'!C:C,'메디컬 SKU'!A:A)</f>
        <v>589462</v>
      </c>
      <c r="C14" s="536" t="s">
        <v>151</v>
      </c>
      <c r="D14" s="537">
        <v>141</v>
      </c>
      <c r="E14" s="537">
        <v>96</v>
      </c>
      <c r="F14" s="537">
        <v>0</v>
      </c>
      <c r="G14" s="537">
        <v>65</v>
      </c>
      <c r="H14" s="537">
        <v>60</v>
      </c>
      <c r="I14" s="538">
        <v>0</v>
      </c>
      <c r="J14" s="542"/>
      <c r="K14" s="542"/>
      <c r="L14" s="542"/>
      <c r="M14" s="542"/>
      <c r="N14" s="542"/>
      <c r="O14" s="542"/>
      <c r="P14" s="542"/>
      <c r="Q14" s="542"/>
      <c r="R14" s="542"/>
      <c r="S14" s="542"/>
      <c r="T14" s="542"/>
      <c r="U14" s="542"/>
      <c r="V14" s="542"/>
      <c r="W14" s="542"/>
      <c r="X14" s="542"/>
    </row>
    <row r="15" spans="1:24" ht="12.75">
      <c r="A15" s="615"/>
      <c r="B15" s="536">
        <f>_xlfn.XLOOKUP(C15,'메디컬 SKU'!C:C,'메디컬 SKU'!A:A)</f>
        <v>589466</v>
      </c>
      <c r="C15" s="536" t="s">
        <v>152</v>
      </c>
      <c r="D15" s="537">
        <v>9.1290322580645125</v>
      </c>
      <c r="E15" s="537">
        <v>259</v>
      </c>
      <c r="F15" s="537">
        <v>0</v>
      </c>
      <c r="G15" s="537">
        <v>0</v>
      </c>
      <c r="H15" s="537">
        <v>180</v>
      </c>
      <c r="I15" s="538">
        <v>132</v>
      </c>
      <c r="J15" s="542"/>
      <c r="K15" s="542"/>
      <c r="L15" s="542"/>
      <c r="M15" s="542"/>
      <c r="N15" s="542"/>
      <c r="O15" s="542"/>
      <c r="P15" s="542"/>
      <c r="Q15" s="542"/>
      <c r="R15" s="542"/>
      <c r="S15" s="542"/>
      <c r="T15" s="542"/>
      <c r="U15" s="542"/>
      <c r="V15" s="542"/>
      <c r="W15" s="542"/>
      <c r="X15" s="542"/>
    </row>
    <row r="16" spans="1:24" ht="12.75">
      <c r="A16" s="615"/>
      <c r="B16" s="536">
        <f>_xlfn.XLOOKUP(C16,'메디컬 SKU'!C:C,'메디컬 SKU'!A:A)</f>
        <v>116180</v>
      </c>
      <c r="C16" s="536" t="s">
        <v>153</v>
      </c>
      <c r="D16" s="537">
        <v>82</v>
      </c>
      <c r="E16" s="537">
        <v>420</v>
      </c>
      <c r="F16" s="537">
        <v>60</v>
      </c>
      <c r="G16" s="537">
        <v>60</v>
      </c>
      <c r="H16" s="537">
        <v>90</v>
      </c>
      <c r="I16" s="538">
        <v>600</v>
      </c>
      <c r="J16" s="542"/>
      <c r="K16" s="542"/>
      <c r="L16" s="542"/>
      <c r="M16" s="542"/>
      <c r="N16" s="542"/>
      <c r="O16" s="542"/>
      <c r="P16" s="542"/>
      <c r="Q16" s="542"/>
      <c r="R16" s="542"/>
      <c r="S16" s="542"/>
      <c r="T16" s="542"/>
      <c r="U16" s="542"/>
      <c r="V16" s="542"/>
      <c r="W16" s="542"/>
      <c r="X16" s="542"/>
    </row>
    <row r="17" spans="1:24" ht="12.75">
      <c r="A17" s="615"/>
      <c r="B17" s="536">
        <f>_xlfn.XLOOKUP(C17,'메디컬 SKU'!C:C,'메디컬 SKU'!A:A)</f>
        <v>695413</v>
      </c>
      <c r="C17" s="536" t="s">
        <v>154</v>
      </c>
      <c r="D17" s="537">
        <v>25.516129032258064</v>
      </c>
      <c r="E17" s="537">
        <v>238</v>
      </c>
      <c r="F17" s="537">
        <v>0</v>
      </c>
      <c r="G17" s="537">
        <v>0</v>
      </c>
      <c r="H17" s="537">
        <v>120</v>
      </c>
      <c r="I17" s="538">
        <v>0</v>
      </c>
      <c r="J17" s="542"/>
      <c r="K17" s="542"/>
      <c r="L17" s="542"/>
      <c r="M17" s="542"/>
      <c r="N17" s="542"/>
      <c r="O17" s="542"/>
      <c r="P17" s="542"/>
      <c r="Q17" s="542"/>
      <c r="R17" s="542"/>
      <c r="S17" s="542"/>
      <c r="T17" s="542"/>
      <c r="U17" s="542"/>
      <c r="V17" s="542"/>
      <c r="W17" s="542"/>
      <c r="X17" s="542"/>
    </row>
    <row r="18" spans="1:24" ht="12.75">
      <c r="A18" s="615"/>
      <c r="B18" s="536">
        <f>_xlfn.XLOOKUP(C18,'메디컬 SKU'!C:C,'메디컬 SKU'!A:A)</f>
        <v>699883</v>
      </c>
      <c r="C18" s="536" t="s">
        <v>155</v>
      </c>
      <c r="D18" s="537">
        <v>72.838709677419359</v>
      </c>
      <c r="E18" s="537">
        <v>86</v>
      </c>
      <c r="F18" s="537">
        <v>0</v>
      </c>
      <c r="G18" s="537">
        <v>0</v>
      </c>
      <c r="H18" s="537">
        <v>90</v>
      </c>
      <c r="I18" s="538">
        <v>0</v>
      </c>
      <c r="J18" s="542"/>
      <c r="K18" s="542"/>
      <c r="L18" s="542"/>
      <c r="M18" s="542"/>
      <c r="N18" s="542"/>
      <c r="O18" s="542"/>
      <c r="P18" s="542"/>
      <c r="Q18" s="542"/>
      <c r="R18" s="542"/>
      <c r="S18" s="542"/>
      <c r="T18" s="542"/>
      <c r="U18" s="542"/>
      <c r="V18" s="542"/>
      <c r="W18" s="542"/>
      <c r="X18" s="542"/>
    </row>
    <row r="19" spans="1:24" ht="12.75">
      <c r="A19" s="615"/>
      <c r="B19" s="536">
        <f>_xlfn.XLOOKUP(C19,'메디컬 SKU'!C:C,'메디컬 SKU'!A:A)</f>
        <v>645380</v>
      </c>
      <c r="C19" s="536" t="s">
        <v>156</v>
      </c>
      <c r="D19" s="537">
        <v>261.1935483870966</v>
      </c>
      <c r="E19" s="537">
        <v>3454</v>
      </c>
      <c r="F19" s="537">
        <v>864</v>
      </c>
      <c r="G19" s="537">
        <v>0</v>
      </c>
      <c r="H19" s="537">
        <v>0</v>
      </c>
      <c r="I19" s="538">
        <v>1728</v>
      </c>
      <c r="J19" s="542"/>
      <c r="K19" s="542"/>
      <c r="L19" s="542"/>
      <c r="M19" s="542"/>
      <c r="N19" s="542"/>
      <c r="O19" s="542"/>
      <c r="P19" s="542"/>
      <c r="Q19" s="542"/>
      <c r="R19" s="542"/>
      <c r="S19" s="542"/>
      <c r="T19" s="542"/>
      <c r="U19" s="542"/>
      <c r="V19" s="542"/>
      <c r="W19" s="542"/>
      <c r="X19" s="542"/>
    </row>
    <row r="20" spans="1:24" ht="12.75">
      <c r="A20" s="615"/>
      <c r="B20" s="536">
        <f>_xlfn.XLOOKUP(C20,'메디컬 SKU'!C:C,'메디컬 SKU'!A:A)</f>
        <v>578785</v>
      </c>
      <c r="C20" s="536" t="s">
        <v>157</v>
      </c>
      <c r="D20" s="537">
        <v>176.70967741935488</v>
      </c>
      <c r="E20" s="537">
        <v>735</v>
      </c>
      <c r="F20" s="537">
        <v>0</v>
      </c>
      <c r="G20" s="537">
        <v>0</v>
      </c>
      <c r="H20" s="537">
        <v>0</v>
      </c>
      <c r="I20" s="538">
        <v>0</v>
      </c>
      <c r="J20" s="542"/>
      <c r="K20" s="542"/>
      <c r="L20" s="542"/>
      <c r="M20" s="542"/>
      <c r="N20" s="542"/>
      <c r="O20" s="542"/>
      <c r="P20" s="542"/>
      <c r="Q20" s="542"/>
      <c r="R20" s="542"/>
      <c r="S20" s="542"/>
      <c r="T20" s="542"/>
      <c r="U20" s="542"/>
      <c r="V20" s="542"/>
      <c r="W20" s="542"/>
      <c r="X20" s="542"/>
    </row>
    <row r="21" spans="1:24" ht="12.75">
      <c r="A21" s="615"/>
      <c r="B21" s="622" t="s">
        <v>18</v>
      </c>
      <c r="C21" s="622"/>
      <c r="D21" s="539">
        <f t="shared" ref="D21:I21" si="0">SUM(D5:D20)</f>
        <v>15333.838709677417</v>
      </c>
      <c r="E21" s="539">
        <f t="shared" si="0"/>
        <v>24676</v>
      </c>
      <c r="F21" s="539">
        <f t="shared" si="0"/>
        <v>5996</v>
      </c>
      <c r="G21" s="539">
        <f t="shared" si="0"/>
        <v>3101</v>
      </c>
      <c r="H21" s="539">
        <f t="shared" si="0"/>
        <v>1080</v>
      </c>
      <c r="I21" s="539">
        <f t="shared" si="0"/>
        <v>16842</v>
      </c>
      <c r="J21" s="542"/>
      <c r="K21" s="542"/>
      <c r="L21" s="542"/>
      <c r="M21" s="542"/>
      <c r="N21" s="542"/>
      <c r="O21" s="542"/>
      <c r="P21" s="542"/>
      <c r="Q21" s="542"/>
      <c r="R21" s="542"/>
      <c r="S21" s="542"/>
      <c r="T21" s="542"/>
      <c r="U21" s="542"/>
      <c r="V21" s="542"/>
      <c r="W21" s="542"/>
      <c r="X21" s="542"/>
    </row>
    <row r="22" spans="1:24" ht="12.75">
      <c r="A22" s="615"/>
      <c r="B22" s="622" t="s">
        <v>19</v>
      </c>
      <c r="C22" s="622"/>
      <c r="D22" s="539">
        <f>금액!H56</f>
        <v>282329.48655913986</v>
      </c>
      <c r="E22" s="539">
        <f>금액!I56</f>
        <v>496325.45</v>
      </c>
      <c r="F22" s="539">
        <f>금액!J56</f>
        <v>180161.86666666667</v>
      </c>
      <c r="G22" s="539">
        <f>금액!K56</f>
        <v>93948</v>
      </c>
      <c r="H22" s="539">
        <f>금액!L56</f>
        <v>38201</v>
      </c>
      <c r="I22" s="539">
        <f>금액!M56</f>
        <v>370660.6</v>
      </c>
      <c r="J22" s="542"/>
      <c r="K22" s="542"/>
      <c r="L22" s="542"/>
      <c r="M22" s="542"/>
      <c r="N22" s="542"/>
      <c r="O22" s="542"/>
      <c r="P22" s="542"/>
      <c r="Q22" s="542"/>
      <c r="R22" s="542"/>
      <c r="S22" s="542"/>
      <c r="T22" s="542"/>
      <c r="U22" s="542"/>
      <c r="V22" s="542"/>
      <c r="W22" s="542"/>
      <c r="X22" s="542"/>
    </row>
    <row r="23" spans="1:24" ht="12.75">
      <c r="A23" s="615"/>
      <c r="B23" s="622" t="s">
        <v>20</v>
      </c>
      <c r="C23" s="622"/>
      <c r="D23" s="539">
        <f t="shared" ref="D23:I23" si="1">D22*$A$3</f>
        <v>471490242.55376357</v>
      </c>
      <c r="E23" s="539">
        <f t="shared" si="1"/>
        <v>828863501.5</v>
      </c>
      <c r="F23" s="539">
        <f t="shared" si="1"/>
        <v>300870317.33333331</v>
      </c>
      <c r="G23" s="539">
        <f t="shared" si="1"/>
        <v>156893160</v>
      </c>
      <c r="H23" s="539">
        <f t="shared" si="1"/>
        <v>63795670</v>
      </c>
      <c r="I23" s="539">
        <f t="shared" si="1"/>
        <v>619003202</v>
      </c>
      <c r="J23" s="542"/>
      <c r="K23" s="542"/>
      <c r="L23" s="542"/>
      <c r="M23" s="542"/>
      <c r="N23" s="542"/>
      <c r="O23" s="542"/>
      <c r="P23" s="542"/>
      <c r="Q23" s="542"/>
      <c r="R23" s="542"/>
      <c r="S23" s="542"/>
      <c r="T23" s="542"/>
      <c r="U23" s="542"/>
      <c r="V23" s="542"/>
      <c r="W23" s="542"/>
      <c r="X23" s="542"/>
    </row>
    <row r="24" spans="1:24" ht="12.75" collapsed="1">
      <c r="A24" s="532"/>
      <c r="B24" s="532"/>
      <c r="C24" s="532"/>
      <c r="D24" s="532"/>
      <c r="E24" s="532"/>
      <c r="F24" s="532"/>
      <c r="G24" s="532"/>
      <c r="H24" s="532"/>
    </row>
    <row r="25" spans="1:24" ht="12.75" hidden="1" outlineLevel="1">
      <c r="A25" s="532"/>
      <c r="B25" s="532"/>
      <c r="C25" s="532"/>
      <c r="D25" s="540"/>
      <c r="E25" s="540" t="s">
        <v>22</v>
      </c>
      <c r="F25" s="540" t="s">
        <v>22</v>
      </c>
      <c r="G25" s="540" t="s">
        <v>22</v>
      </c>
      <c r="H25" s="540" t="s">
        <v>22</v>
      </c>
    </row>
    <row r="26" spans="1:24" ht="12.75" hidden="1" outlineLevel="1">
      <c r="A26" s="620" t="s">
        <v>23</v>
      </c>
      <c r="B26" s="620"/>
      <c r="C26" s="615"/>
      <c r="D26" s="545" t="s">
        <v>140</v>
      </c>
      <c r="E26" s="545" t="s">
        <v>141</v>
      </c>
      <c r="F26" s="545" t="s">
        <v>6</v>
      </c>
      <c r="G26" s="545" t="s">
        <v>7</v>
      </c>
      <c r="H26" s="545" t="s">
        <v>8</v>
      </c>
      <c r="I26" s="546" t="s">
        <v>493</v>
      </c>
      <c r="J26" s="542"/>
      <c r="K26" s="542"/>
      <c r="L26" s="542"/>
      <c r="M26" s="542"/>
      <c r="N26" s="542"/>
      <c r="O26" s="542"/>
      <c r="P26" s="542"/>
      <c r="Q26" s="542"/>
      <c r="R26" s="542"/>
      <c r="S26" s="542"/>
      <c r="T26" s="542"/>
      <c r="U26" s="542"/>
      <c r="V26" s="542"/>
      <c r="W26" s="542"/>
      <c r="X26" s="542"/>
    </row>
    <row r="27" spans="1:24" ht="12.75" hidden="1" outlineLevel="1">
      <c r="A27" s="621" t="s">
        <v>158</v>
      </c>
      <c r="B27" s="536">
        <f>_xlfn.XLOOKUP(C27,'메디컬 SKU'!C:C,'메디컬 SKU'!A:A)</f>
        <v>117547</v>
      </c>
      <c r="C27" s="547" t="s">
        <v>142</v>
      </c>
      <c r="D27" s="537"/>
      <c r="E27" s="537">
        <v>187</v>
      </c>
      <c r="F27" s="537">
        <v>187</v>
      </c>
      <c r="G27" s="537">
        <v>187</v>
      </c>
      <c r="H27" s="537">
        <v>187</v>
      </c>
      <c r="I27" s="537">
        <f>AVERAGE(G27:H27)</f>
        <v>187</v>
      </c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</row>
    <row r="28" spans="1:24" ht="12.75" hidden="1" outlineLevel="1">
      <c r="A28" s="615"/>
      <c r="B28" s="536">
        <f>_xlfn.XLOOKUP(C28,'메디컬 SKU'!C:C,'메디컬 SKU'!A:A)</f>
        <v>552897</v>
      </c>
      <c r="C28" s="547" t="s">
        <v>143</v>
      </c>
      <c r="D28" s="537"/>
      <c r="E28" s="537">
        <v>1453</v>
      </c>
      <c r="F28" s="537">
        <v>593</v>
      </c>
      <c r="G28" s="537">
        <v>593</v>
      </c>
      <c r="H28" s="537">
        <v>1453</v>
      </c>
      <c r="I28" s="537">
        <f t="shared" ref="I28:I42" si="2">AVERAGE(G28:H28)</f>
        <v>1023</v>
      </c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</row>
    <row r="29" spans="1:24" ht="12.75" hidden="1" outlineLevel="1">
      <c r="A29" s="615"/>
      <c r="B29" s="536">
        <f>_xlfn.XLOOKUP(C29,'메디컬 SKU'!C:C,'메디컬 SKU'!A:A)</f>
        <v>117771</v>
      </c>
      <c r="C29" s="547" t="s">
        <v>144</v>
      </c>
      <c r="D29" s="537"/>
      <c r="E29" s="537">
        <v>121</v>
      </c>
      <c r="F29" s="537">
        <v>56</v>
      </c>
      <c r="G29" s="537">
        <v>56</v>
      </c>
      <c r="H29" s="537">
        <v>121</v>
      </c>
      <c r="I29" s="537">
        <f t="shared" si="2"/>
        <v>88.5</v>
      </c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</row>
    <row r="30" spans="1:24" ht="12.75" hidden="1" outlineLevel="1">
      <c r="A30" s="615"/>
      <c r="B30" s="536">
        <f>_xlfn.XLOOKUP(C30,'메디컬 SKU'!C:C,'메디컬 SKU'!A:A)</f>
        <v>646546</v>
      </c>
      <c r="C30" s="547" t="s">
        <v>145</v>
      </c>
      <c r="D30" s="537"/>
      <c r="E30" s="537">
        <v>35</v>
      </c>
      <c r="F30" s="537">
        <v>35</v>
      </c>
      <c r="G30" s="537">
        <v>35</v>
      </c>
      <c r="H30" s="537">
        <v>35</v>
      </c>
      <c r="I30" s="537">
        <f t="shared" si="2"/>
        <v>35</v>
      </c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</row>
    <row r="31" spans="1:24" ht="12.75" hidden="1" outlineLevel="1">
      <c r="A31" s="615"/>
      <c r="B31" s="536">
        <f>_xlfn.XLOOKUP(C31,'메디컬 SKU'!C:C,'메디컬 SKU'!A:A)</f>
        <v>646567</v>
      </c>
      <c r="C31" s="547" t="s">
        <v>146</v>
      </c>
      <c r="D31" s="537"/>
      <c r="E31" s="537">
        <v>55</v>
      </c>
      <c r="F31" s="537">
        <v>22</v>
      </c>
      <c r="G31" s="537">
        <v>22</v>
      </c>
      <c r="H31" s="537">
        <v>55</v>
      </c>
      <c r="I31" s="537">
        <f t="shared" si="2"/>
        <v>38.5</v>
      </c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</row>
    <row r="32" spans="1:24" ht="12.75" hidden="1" outlineLevel="1">
      <c r="A32" s="615"/>
      <c r="B32" s="536">
        <f>_xlfn.XLOOKUP(C32,'메디컬 SKU'!C:C,'메디컬 SKU'!A:A)</f>
        <v>691217</v>
      </c>
      <c r="C32" s="547" t="s">
        <v>147</v>
      </c>
      <c r="D32" s="537"/>
      <c r="E32" s="537">
        <v>31</v>
      </c>
      <c r="F32" s="537">
        <v>31</v>
      </c>
      <c r="G32" s="537">
        <v>31</v>
      </c>
      <c r="H32" s="537">
        <v>31</v>
      </c>
      <c r="I32" s="537">
        <f t="shared" si="2"/>
        <v>31</v>
      </c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</row>
    <row r="33" spans="1:24" ht="12.75" hidden="1" outlineLevel="1">
      <c r="A33" s="615"/>
      <c r="B33" s="536">
        <f>_xlfn.XLOOKUP(C33,'메디컬 SKU'!C:C,'메디컬 SKU'!A:A)</f>
        <v>611174</v>
      </c>
      <c r="C33" s="547" t="s">
        <v>148</v>
      </c>
      <c r="D33" s="537"/>
      <c r="E33" s="537">
        <v>2951</v>
      </c>
      <c r="F33" s="537">
        <v>3000</v>
      </c>
      <c r="G33" s="537">
        <v>3000</v>
      </c>
      <c r="H33" s="537">
        <v>2951</v>
      </c>
      <c r="I33" s="537">
        <f t="shared" si="2"/>
        <v>2975.5</v>
      </c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</row>
    <row r="34" spans="1:24" ht="12.75" hidden="1" outlineLevel="1">
      <c r="A34" s="615"/>
      <c r="B34" s="536">
        <f>_xlfn.XLOOKUP(C34,'메디컬 SKU'!C:C,'메디컬 SKU'!A:A)</f>
        <v>701775</v>
      </c>
      <c r="C34" s="547" t="s">
        <v>149</v>
      </c>
      <c r="D34" s="537"/>
      <c r="E34" s="537">
        <v>2237</v>
      </c>
      <c r="F34" s="537">
        <v>1763</v>
      </c>
      <c r="G34" s="537">
        <v>1763</v>
      </c>
      <c r="H34" s="537">
        <v>2237</v>
      </c>
      <c r="I34" s="537">
        <f t="shared" si="2"/>
        <v>2000</v>
      </c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</row>
    <row r="35" spans="1:24" ht="12.75" hidden="1" outlineLevel="1">
      <c r="A35" s="615"/>
      <c r="B35" s="536">
        <f>_xlfn.XLOOKUP(C35,'메디컬 SKU'!C:C,'메디컬 SKU'!A:A)</f>
        <v>646548</v>
      </c>
      <c r="C35" s="547" t="s">
        <v>150</v>
      </c>
      <c r="D35" s="537"/>
      <c r="E35" s="537">
        <v>70</v>
      </c>
      <c r="F35" s="537">
        <v>38</v>
      </c>
      <c r="G35" s="537">
        <v>38</v>
      </c>
      <c r="H35" s="537">
        <v>70</v>
      </c>
      <c r="I35" s="537">
        <f t="shared" si="2"/>
        <v>54</v>
      </c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</row>
    <row r="36" spans="1:24" ht="12.75" hidden="1" outlineLevel="1">
      <c r="A36" s="615"/>
      <c r="B36" s="536">
        <f>_xlfn.XLOOKUP(C36,'메디컬 SKU'!C:C,'메디컬 SKU'!A:A)</f>
        <v>589462</v>
      </c>
      <c r="C36" s="547" t="s">
        <v>151</v>
      </c>
      <c r="D36" s="537"/>
      <c r="E36" s="537">
        <v>102</v>
      </c>
      <c r="F36" s="537">
        <v>30</v>
      </c>
      <c r="G36" s="537">
        <v>30</v>
      </c>
      <c r="H36" s="537">
        <v>102</v>
      </c>
      <c r="I36" s="537">
        <f t="shared" si="2"/>
        <v>66</v>
      </c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</row>
    <row r="37" spans="1:24" ht="12.75" hidden="1" outlineLevel="1">
      <c r="A37" s="615"/>
      <c r="B37" s="536">
        <f>_xlfn.XLOOKUP(C37,'메디컬 SKU'!C:C,'메디컬 SKU'!A:A)</f>
        <v>589466</v>
      </c>
      <c r="C37" s="547" t="s">
        <v>152</v>
      </c>
      <c r="D37" s="537"/>
      <c r="E37" s="537">
        <v>136</v>
      </c>
      <c r="F37" s="537">
        <v>72</v>
      </c>
      <c r="G37" s="537">
        <v>72</v>
      </c>
      <c r="H37" s="537">
        <v>136</v>
      </c>
      <c r="I37" s="537">
        <f t="shared" si="2"/>
        <v>104</v>
      </c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</row>
    <row r="38" spans="1:24" ht="12.75" hidden="1" outlineLevel="1">
      <c r="A38" s="615"/>
      <c r="B38" s="536">
        <f>_xlfn.XLOOKUP(C38,'메디컬 SKU'!C:C,'메디컬 SKU'!A:A)</f>
        <v>116180</v>
      </c>
      <c r="C38" s="547" t="s">
        <v>153</v>
      </c>
      <c r="D38" s="537"/>
      <c r="E38" s="537">
        <v>357</v>
      </c>
      <c r="F38" s="537">
        <v>30</v>
      </c>
      <c r="G38" s="537">
        <v>30</v>
      </c>
      <c r="H38" s="537">
        <v>357</v>
      </c>
      <c r="I38" s="537">
        <f t="shared" si="2"/>
        <v>193.5</v>
      </c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</row>
    <row r="39" spans="1:24" ht="12.75" hidden="1" outlineLevel="1">
      <c r="A39" s="615"/>
      <c r="B39" s="536">
        <f>_xlfn.XLOOKUP(C39,'메디컬 SKU'!C:C,'메디컬 SKU'!A:A)</f>
        <v>695413</v>
      </c>
      <c r="C39" s="547" t="s">
        <v>154</v>
      </c>
      <c r="D39" s="537"/>
      <c r="E39" s="537">
        <v>79</v>
      </c>
      <c r="F39" s="537">
        <v>49</v>
      </c>
      <c r="G39" s="537">
        <v>49</v>
      </c>
      <c r="H39" s="537">
        <v>79</v>
      </c>
      <c r="I39" s="537">
        <f t="shared" si="2"/>
        <v>64</v>
      </c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</row>
    <row r="40" spans="1:24" ht="12.75" hidden="1" outlineLevel="1">
      <c r="A40" s="615"/>
      <c r="B40" s="536">
        <f>_xlfn.XLOOKUP(C40,'메디컬 SKU'!C:C,'메디컬 SKU'!A:A)</f>
        <v>699883</v>
      </c>
      <c r="C40" s="547" t="s">
        <v>155</v>
      </c>
      <c r="D40" s="537"/>
      <c r="E40" s="537">
        <v>78</v>
      </c>
      <c r="F40" s="537">
        <v>26</v>
      </c>
      <c r="G40" s="537">
        <v>26</v>
      </c>
      <c r="H40" s="537">
        <v>78</v>
      </c>
      <c r="I40" s="537">
        <f t="shared" si="2"/>
        <v>52</v>
      </c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</row>
    <row r="41" spans="1:24" ht="12.75" hidden="1" outlineLevel="1">
      <c r="A41" s="615"/>
      <c r="B41" s="536">
        <f>_xlfn.XLOOKUP(C41,'메디컬 SKU'!C:C,'메디컬 SKU'!A:A)</f>
        <v>645380</v>
      </c>
      <c r="C41" s="547" t="s">
        <v>156</v>
      </c>
      <c r="D41" s="537"/>
      <c r="E41" s="537">
        <v>917</v>
      </c>
      <c r="F41" s="537">
        <v>917</v>
      </c>
      <c r="G41" s="537">
        <v>917</v>
      </c>
      <c r="H41" s="537">
        <v>917</v>
      </c>
      <c r="I41" s="537">
        <f t="shared" si="2"/>
        <v>917</v>
      </c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</row>
    <row r="42" spans="1:24" ht="12.75" hidden="1" outlineLevel="1">
      <c r="A42" s="615"/>
      <c r="B42" s="536">
        <f>_xlfn.XLOOKUP(C42,'메디컬 SKU'!C:C,'메디컬 SKU'!A:A)</f>
        <v>578785</v>
      </c>
      <c r="C42" s="547" t="s">
        <v>157</v>
      </c>
      <c r="D42" s="537"/>
      <c r="E42" s="537">
        <v>345</v>
      </c>
      <c r="F42" s="537">
        <v>185</v>
      </c>
      <c r="G42" s="537">
        <v>185</v>
      </c>
      <c r="H42" s="537">
        <v>345</v>
      </c>
      <c r="I42" s="537">
        <f t="shared" si="2"/>
        <v>265</v>
      </c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</row>
    <row r="43" spans="1:24" ht="12.75" hidden="1" outlineLevel="1">
      <c r="A43" s="615"/>
      <c r="B43" s="623" t="s">
        <v>18</v>
      </c>
      <c r="C43" s="623"/>
      <c r="D43" s="548">
        <f t="shared" ref="D43:H43" si="3">SUM(D27:D42)</f>
        <v>0</v>
      </c>
      <c r="E43" s="548">
        <f t="shared" si="3"/>
        <v>9154</v>
      </c>
      <c r="F43" s="548">
        <f t="shared" si="3"/>
        <v>7034</v>
      </c>
      <c r="G43" s="548">
        <f t="shared" si="3"/>
        <v>7034</v>
      </c>
      <c r="H43" s="548">
        <f t="shared" si="3"/>
        <v>9154</v>
      </c>
      <c r="I43" s="548">
        <f t="shared" ref="I43" si="4">SUM(I27:I42)</f>
        <v>8094</v>
      </c>
      <c r="J43" s="542"/>
      <c r="K43" s="542"/>
      <c r="L43" s="542"/>
      <c r="M43" s="542"/>
      <c r="N43" s="542"/>
      <c r="O43" s="542"/>
      <c r="P43" s="542"/>
      <c r="Q43" s="542"/>
      <c r="R43" s="542"/>
      <c r="S43" s="542"/>
      <c r="T43" s="542"/>
      <c r="U43" s="542"/>
      <c r="V43" s="542"/>
      <c r="W43" s="542"/>
      <c r="X43" s="542"/>
    </row>
    <row r="44" spans="1:24" ht="12.75" collapsed="1">
      <c r="A44" s="532"/>
      <c r="B44" s="532"/>
      <c r="C44" s="532"/>
      <c r="D44" s="532"/>
      <c r="E44" s="532"/>
      <c r="F44" s="532"/>
      <c r="G44" s="532"/>
      <c r="H44" s="532"/>
    </row>
    <row r="45" spans="1:24" ht="12.75" hidden="1" outlineLevel="1">
      <c r="A45" s="532"/>
      <c r="B45" s="532"/>
      <c r="C45" s="532"/>
      <c r="D45" s="541" t="s">
        <v>496</v>
      </c>
      <c r="E45" s="532"/>
      <c r="F45" s="532"/>
      <c r="G45" s="532"/>
      <c r="H45" s="532"/>
    </row>
    <row r="46" spans="1:24" ht="12.75" hidden="1" outlineLevel="1">
      <c r="A46" s="616" t="s">
        <v>159</v>
      </c>
      <c r="B46" s="616"/>
      <c r="C46" s="615"/>
      <c r="D46" s="549" t="s">
        <v>4</v>
      </c>
      <c r="E46" s="549" t="s">
        <v>141</v>
      </c>
      <c r="F46" s="549" t="s">
        <v>6</v>
      </c>
      <c r="G46" s="549" t="s">
        <v>7</v>
      </c>
      <c r="H46" s="549" t="s">
        <v>8</v>
      </c>
      <c r="I46" s="550" t="s">
        <v>493</v>
      </c>
      <c r="J46" s="542"/>
      <c r="K46" s="542"/>
      <c r="L46" s="542"/>
      <c r="M46" s="542"/>
      <c r="N46" s="542"/>
      <c r="O46" s="542"/>
      <c r="P46" s="542"/>
      <c r="Q46" s="542"/>
      <c r="R46" s="542"/>
      <c r="S46" s="542"/>
      <c r="T46" s="542"/>
      <c r="U46" s="542"/>
      <c r="V46" s="542"/>
      <c r="W46" s="542"/>
      <c r="X46" s="542"/>
    </row>
    <row r="47" spans="1:24" ht="12.75" hidden="1" outlineLevel="1">
      <c r="A47" s="614" t="s">
        <v>27</v>
      </c>
      <c r="B47" s="536">
        <f>_xlfn.XLOOKUP(C47,'메디컬 SKU'!C:C,'메디컬 SKU'!A:A)</f>
        <v>117547</v>
      </c>
      <c r="C47" s="547" t="s">
        <v>142</v>
      </c>
      <c r="D47" s="551">
        <v>43</v>
      </c>
      <c r="E47" s="552">
        <f t="shared" ref="E47:I47" si="5">D47+E5-E27</f>
        <v>-48</v>
      </c>
      <c r="F47" s="551">
        <f t="shared" si="5"/>
        <v>89</v>
      </c>
      <c r="G47" s="551">
        <f t="shared" si="5"/>
        <v>226</v>
      </c>
      <c r="H47" s="551">
        <f t="shared" si="5"/>
        <v>399</v>
      </c>
      <c r="I47" s="551">
        <f t="shared" si="5"/>
        <v>410</v>
      </c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</row>
    <row r="48" spans="1:24" ht="12.75" hidden="1" outlineLevel="1">
      <c r="A48" s="615"/>
      <c r="B48" s="536">
        <f>_xlfn.XLOOKUP(C48,'메디컬 SKU'!C:C,'메디컬 SKU'!A:A)</f>
        <v>552897</v>
      </c>
      <c r="C48" s="547" t="s">
        <v>143</v>
      </c>
      <c r="D48" s="537">
        <v>6566</v>
      </c>
      <c r="E48" s="537">
        <f t="shared" ref="E48:I48" si="6">D48+E6-E28</f>
        <v>5113</v>
      </c>
      <c r="F48" s="537">
        <f t="shared" si="6"/>
        <v>4520</v>
      </c>
      <c r="G48" s="537">
        <f t="shared" si="6"/>
        <v>3927</v>
      </c>
      <c r="H48" s="537">
        <f t="shared" si="6"/>
        <v>2474</v>
      </c>
      <c r="I48" s="537">
        <f t="shared" si="6"/>
        <v>1451</v>
      </c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</row>
    <row r="49" spans="1:24" ht="12.75" hidden="1" outlineLevel="1">
      <c r="A49" s="615"/>
      <c r="B49" s="536">
        <f>_xlfn.XLOOKUP(C49,'메디컬 SKU'!C:C,'메디컬 SKU'!A:A)</f>
        <v>117771</v>
      </c>
      <c r="C49" s="547" t="s">
        <v>144</v>
      </c>
      <c r="D49" s="537">
        <v>220</v>
      </c>
      <c r="E49" s="537">
        <f t="shared" ref="E49:I49" si="7">D49+E7-E29</f>
        <v>99</v>
      </c>
      <c r="F49" s="537">
        <f t="shared" si="7"/>
        <v>103</v>
      </c>
      <c r="G49" s="537">
        <f t="shared" si="7"/>
        <v>107</v>
      </c>
      <c r="H49" s="537">
        <f t="shared" si="7"/>
        <v>106</v>
      </c>
      <c r="I49" s="537">
        <f t="shared" si="7"/>
        <v>77.5</v>
      </c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</row>
    <row r="50" spans="1:24" ht="12.75" hidden="1" outlineLevel="1">
      <c r="A50" s="615"/>
      <c r="B50" s="536">
        <f>_xlfn.XLOOKUP(C50,'메디컬 SKU'!C:C,'메디컬 SKU'!A:A)</f>
        <v>646546</v>
      </c>
      <c r="C50" s="547" t="s">
        <v>145</v>
      </c>
      <c r="D50" s="551">
        <v>29</v>
      </c>
      <c r="E50" s="552">
        <f t="shared" ref="E50:I50" si="8">D50+E8-E30</f>
        <v>-6</v>
      </c>
      <c r="F50" s="551">
        <f t="shared" si="8"/>
        <v>27</v>
      </c>
      <c r="G50" s="552">
        <f t="shared" si="8"/>
        <v>-8</v>
      </c>
      <c r="H50" s="552">
        <f t="shared" si="8"/>
        <v>-43</v>
      </c>
      <c r="I50" s="552">
        <f t="shared" si="8"/>
        <v>-78</v>
      </c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</row>
    <row r="51" spans="1:24" ht="12.75" hidden="1" outlineLevel="1">
      <c r="A51" s="615"/>
      <c r="B51" s="536">
        <f>_xlfn.XLOOKUP(C51,'메디컬 SKU'!C:C,'메디컬 SKU'!A:A)</f>
        <v>646567</v>
      </c>
      <c r="C51" s="547" t="s">
        <v>146</v>
      </c>
      <c r="D51" s="537">
        <v>61</v>
      </c>
      <c r="E51" s="537">
        <f t="shared" ref="E51:I51" si="9">D51+E9-E31</f>
        <v>74</v>
      </c>
      <c r="F51" s="537">
        <f t="shared" si="9"/>
        <v>52</v>
      </c>
      <c r="G51" s="537">
        <f t="shared" si="9"/>
        <v>30</v>
      </c>
      <c r="H51" s="537">
        <f t="shared" si="9"/>
        <v>-25</v>
      </c>
      <c r="I51" s="537">
        <f t="shared" si="9"/>
        <v>-63.5</v>
      </c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</row>
    <row r="52" spans="1:24" ht="12.75" hidden="1" outlineLevel="1">
      <c r="A52" s="615"/>
      <c r="B52" s="536">
        <f>_xlfn.XLOOKUP(C52,'메디컬 SKU'!C:C,'메디컬 SKU'!A:A)</f>
        <v>691217</v>
      </c>
      <c r="C52" s="547" t="s">
        <v>147</v>
      </c>
      <c r="D52" s="537">
        <v>20</v>
      </c>
      <c r="E52" s="537">
        <f t="shared" ref="E52:I52" si="10">D52+E10-E32</f>
        <v>37</v>
      </c>
      <c r="F52" s="537">
        <f t="shared" si="10"/>
        <v>90</v>
      </c>
      <c r="G52" s="537">
        <f t="shared" si="10"/>
        <v>59</v>
      </c>
      <c r="H52" s="537">
        <f t="shared" si="10"/>
        <v>28</v>
      </c>
      <c r="I52" s="537">
        <f t="shared" si="10"/>
        <v>81</v>
      </c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</row>
    <row r="53" spans="1:24" ht="12.75" hidden="1" outlineLevel="1">
      <c r="A53" s="615"/>
      <c r="B53" s="536">
        <f>_xlfn.XLOOKUP(C53,'메디컬 SKU'!C:C,'메디컬 SKU'!A:A)</f>
        <v>611174</v>
      </c>
      <c r="C53" s="547" t="s">
        <v>148</v>
      </c>
      <c r="D53" s="537">
        <v>3472</v>
      </c>
      <c r="E53" s="537">
        <f t="shared" ref="E53:I53" si="11">D53+E11-E33</f>
        <v>19529</v>
      </c>
      <c r="F53" s="537">
        <f t="shared" si="11"/>
        <v>16529</v>
      </c>
      <c r="G53" s="537">
        <f t="shared" si="11"/>
        <v>13529</v>
      </c>
      <c r="H53" s="537">
        <f t="shared" si="11"/>
        <v>10578</v>
      </c>
      <c r="I53" s="537">
        <f t="shared" si="11"/>
        <v>19698.5</v>
      </c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</row>
    <row r="54" spans="1:24" ht="12.75" hidden="1" outlineLevel="1">
      <c r="A54" s="615"/>
      <c r="B54" s="536">
        <f>_xlfn.XLOOKUP(C54,'메디컬 SKU'!C:C,'메디컬 SKU'!A:A)</f>
        <v>701775</v>
      </c>
      <c r="C54" s="547" t="s">
        <v>149</v>
      </c>
      <c r="D54" s="537">
        <v>4116</v>
      </c>
      <c r="E54" s="537">
        <f t="shared" ref="E54:I54" si="12">D54+E12-E34</f>
        <v>1879</v>
      </c>
      <c r="F54" s="537">
        <f t="shared" si="12"/>
        <v>4652</v>
      </c>
      <c r="G54" s="537">
        <f t="shared" si="12"/>
        <v>5481</v>
      </c>
      <c r="H54" s="537">
        <f t="shared" si="12"/>
        <v>3244</v>
      </c>
      <c r="I54" s="537">
        <f t="shared" si="12"/>
        <v>3188</v>
      </c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</row>
    <row r="55" spans="1:24" ht="12.75" hidden="1" outlineLevel="1">
      <c r="A55" s="615"/>
      <c r="B55" s="536">
        <f>_xlfn.XLOOKUP(C55,'메디컬 SKU'!C:C,'메디컬 SKU'!A:A)</f>
        <v>646548</v>
      </c>
      <c r="C55" s="547" t="s">
        <v>150</v>
      </c>
      <c r="D55" s="537">
        <v>38</v>
      </c>
      <c r="E55" s="537">
        <f t="shared" ref="E55:I55" si="13">D55+E13-E35</f>
        <v>136</v>
      </c>
      <c r="F55" s="537">
        <f t="shared" si="13"/>
        <v>98</v>
      </c>
      <c r="G55" s="537">
        <f t="shared" si="13"/>
        <v>60</v>
      </c>
      <c r="H55" s="537">
        <f t="shared" si="13"/>
        <v>50</v>
      </c>
      <c r="I55" s="537">
        <f t="shared" si="13"/>
        <v>-4</v>
      </c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</row>
    <row r="56" spans="1:24" ht="12.75" hidden="1" outlineLevel="1">
      <c r="A56" s="615"/>
      <c r="B56" s="536">
        <f>_xlfn.XLOOKUP(C56,'메디컬 SKU'!C:C,'메디컬 SKU'!A:A)</f>
        <v>589462</v>
      </c>
      <c r="C56" s="547" t="s">
        <v>151</v>
      </c>
      <c r="D56" s="537">
        <v>141</v>
      </c>
      <c r="E56" s="537">
        <f t="shared" ref="E56:I56" si="14">D56+E14-E36</f>
        <v>135</v>
      </c>
      <c r="F56" s="537">
        <f t="shared" si="14"/>
        <v>105</v>
      </c>
      <c r="G56" s="537">
        <f t="shared" si="14"/>
        <v>140</v>
      </c>
      <c r="H56" s="537">
        <f t="shared" si="14"/>
        <v>98</v>
      </c>
      <c r="I56" s="537">
        <f t="shared" si="14"/>
        <v>32</v>
      </c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</row>
    <row r="57" spans="1:24" ht="12.75" hidden="1" outlineLevel="1">
      <c r="A57" s="615"/>
      <c r="B57" s="536">
        <f>_xlfn.XLOOKUP(C57,'메디컬 SKU'!C:C,'메디컬 SKU'!A:A)</f>
        <v>589466</v>
      </c>
      <c r="C57" s="547" t="s">
        <v>152</v>
      </c>
      <c r="D57" s="537">
        <v>9</v>
      </c>
      <c r="E57" s="537">
        <f t="shared" ref="E57:I57" si="15">D57+E15-E37</f>
        <v>132</v>
      </c>
      <c r="F57" s="537">
        <f t="shared" si="15"/>
        <v>60</v>
      </c>
      <c r="G57" s="537">
        <f t="shared" si="15"/>
        <v>-12</v>
      </c>
      <c r="H57" s="537">
        <f t="shared" si="15"/>
        <v>32</v>
      </c>
      <c r="I57" s="537">
        <f t="shared" si="15"/>
        <v>60</v>
      </c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</row>
    <row r="58" spans="1:24" ht="12.75" hidden="1" outlineLevel="1">
      <c r="A58" s="615"/>
      <c r="B58" s="536">
        <f>_xlfn.XLOOKUP(C58,'메디컬 SKU'!C:C,'메디컬 SKU'!A:A)</f>
        <v>116180</v>
      </c>
      <c r="C58" s="547" t="s">
        <v>153</v>
      </c>
      <c r="D58" s="537">
        <v>82</v>
      </c>
      <c r="E58" s="537">
        <f t="shared" ref="E58:I58" si="16">D58+E16-E38</f>
        <v>145</v>
      </c>
      <c r="F58" s="537">
        <f t="shared" si="16"/>
        <v>175</v>
      </c>
      <c r="G58" s="537">
        <f t="shared" si="16"/>
        <v>205</v>
      </c>
      <c r="H58" s="537">
        <f t="shared" si="16"/>
        <v>-62</v>
      </c>
      <c r="I58" s="537">
        <f t="shared" si="16"/>
        <v>344.5</v>
      </c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</row>
    <row r="59" spans="1:24" ht="12.75" hidden="1" outlineLevel="1">
      <c r="A59" s="615"/>
      <c r="B59" s="536">
        <f>_xlfn.XLOOKUP(C59,'메디컬 SKU'!C:C,'메디컬 SKU'!A:A)</f>
        <v>695413</v>
      </c>
      <c r="C59" s="547" t="s">
        <v>154</v>
      </c>
      <c r="D59" s="537">
        <v>26</v>
      </c>
      <c r="E59" s="537">
        <f t="shared" ref="E59:I59" si="17">D59+E17-E39</f>
        <v>185</v>
      </c>
      <c r="F59" s="537">
        <f t="shared" si="17"/>
        <v>136</v>
      </c>
      <c r="G59" s="537">
        <f t="shared" si="17"/>
        <v>87</v>
      </c>
      <c r="H59" s="537">
        <f t="shared" si="17"/>
        <v>128</v>
      </c>
      <c r="I59" s="537">
        <f t="shared" si="17"/>
        <v>64</v>
      </c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</row>
    <row r="60" spans="1:24" ht="12.75" hidden="1" outlineLevel="1">
      <c r="A60" s="615"/>
      <c r="B60" s="536">
        <f>_xlfn.XLOOKUP(C60,'메디컬 SKU'!C:C,'메디컬 SKU'!A:A)</f>
        <v>699883</v>
      </c>
      <c r="C60" s="547" t="s">
        <v>155</v>
      </c>
      <c r="D60" s="537">
        <v>73</v>
      </c>
      <c r="E60" s="537">
        <f t="shared" ref="E60:I60" si="18">D60+E18-E40</f>
        <v>81</v>
      </c>
      <c r="F60" s="537">
        <f t="shared" si="18"/>
        <v>55</v>
      </c>
      <c r="G60" s="537">
        <f t="shared" si="18"/>
        <v>29</v>
      </c>
      <c r="H60" s="537">
        <f t="shared" si="18"/>
        <v>41</v>
      </c>
      <c r="I60" s="537">
        <f t="shared" si="18"/>
        <v>-11</v>
      </c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</row>
    <row r="61" spans="1:24" ht="12.75" hidden="1" outlineLevel="1">
      <c r="A61" s="615"/>
      <c r="B61" s="536">
        <f>_xlfn.XLOOKUP(C61,'메디컬 SKU'!C:C,'메디컬 SKU'!A:A)</f>
        <v>645380</v>
      </c>
      <c r="C61" s="547" t="s">
        <v>156</v>
      </c>
      <c r="D61" s="537">
        <v>261</v>
      </c>
      <c r="E61" s="537">
        <f t="shared" ref="E61:I61" si="19">D61+E19-E41</f>
        <v>2798</v>
      </c>
      <c r="F61" s="537">
        <f t="shared" si="19"/>
        <v>2745</v>
      </c>
      <c r="G61" s="537">
        <f t="shared" si="19"/>
        <v>1828</v>
      </c>
      <c r="H61" s="537">
        <f t="shared" si="19"/>
        <v>911</v>
      </c>
      <c r="I61" s="537">
        <f t="shared" si="19"/>
        <v>1722</v>
      </c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</row>
    <row r="62" spans="1:24" ht="12.75" hidden="1" outlineLevel="1">
      <c r="A62" s="615"/>
      <c r="B62" s="536">
        <f>_xlfn.XLOOKUP(C62,'메디컬 SKU'!C:C,'메디컬 SKU'!A:A)</f>
        <v>578785</v>
      </c>
      <c r="C62" s="547" t="s">
        <v>157</v>
      </c>
      <c r="D62" s="537">
        <v>177</v>
      </c>
      <c r="E62" s="537">
        <f t="shared" ref="E62:I62" si="20">D62+E20-E42</f>
        <v>567</v>
      </c>
      <c r="F62" s="537">
        <f t="shared" si="20"/>
        <v>382</v>
      </c>
      <c r="G62" s="537">
        <f t="shared" si="20"/>
        <v>197</v>
      </c>
      <c r="H62" s="537">
        <f t="shared" si="20"/>
        <v>-148</v>
      </c>
      <c r="I62" s="537">
        <f t="shared" si="20"/>
        <v>-413</v>
      </c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</row>
    <row r="63" spans="1:24" ht="12.75" hidden="1" outlineLevel="1">
      <c r="A63" s="615"/>
      <c r="B63" s="624" t="s">
        <v>18</v>
      </c>
      <c r="C63" s="624"/>
      <c r="D63" s="553">
        <f t="shared" ref="D63:I63" si="21">SUM(D47:D62)</f>
        <v>15334</v>
      </c>
      <c r="E63" s="553">
        <f t="shared" si="21"/>
        <v>30856</v>
      </c>
      <c r="F63" s="553">
        <f t="shared" si="21"/>
        <v>29818</v>
      </c>
      <c r="G63" s="553">
        <f t="shared" si="21"/>
        <v>25885</v>
      </c>
      <c r="H63" s="553">
        <f t="shared" si="21"/>
        <v>17811</v>
      </c>
      <c r="I63" s="553">
        <f t="shared" si="21"/>
        <v>26559</v>
      </c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</row>
    <row r="64" spans="1:24" ht="12.75">
      <c r="A64" s="532"/>
      <c r="B64" s="532"/>
      <c r="C64" s="532"/>
      <c r="D64" s="532"/>
      <c r="E64" s="532"/>
      <c r="F64" s="532"/>
      <c r="G64" s="532"/>
      <c r="H64" s="532"/>
    </row>
    <row r="65" spans="1:24" ht="12.75">
      <c r="A65" s="532"/>
      <c r="B65" s="532"/>
      <c r="C65" s="532"/>
      <c r="D65" s="532"/>
      <c r="E65" s="532"/>
      <c r="F65" s="532"/>
      <c r="G65" s="532"/>
      <c r="H65" s="532"/>
    </row>
    <row r="66" spans="1:24" ht="12.75">
      <c r="A66" s="616" t="s">
        <v>160</v>
      </c>
      <c r="B66" s="616"/>
      <c r="C66" s="615"/>
      <c r="D66" s="549" t="s">
        <v>497</v>
      </c>
      <c r="E66" s="549" t="s">
        <v>141</v>
      </c>
      <c r="F66" s="549" t="s">
        <v>6</v>
      </c>
      <c r="G66" s="549" t="s">
        <v>7</v>
      </c>
      <c r="H66" s="549" t="s">
        <v>8</v>
      </c>
      <c r="I66" s="550" t="s">
        <v>493</v>
      </c>
      <c r="J66" s="542"/>
      <c r="K66" s="542"/>
      <c r="L66" s="542"/>
      <c r="M66" s="542"/>
      <c r="N66" s="542"/>
      <c r="O66" s="542"/>
      <c r="P66" s="542"/>
      <c r="Q66" s="542"/>
      <c r="R66" s="542"/>
      <c r="S66" s="542"/>
      <c r="T66" s="542"/>
      <c r="U66" s="542"/>
      <c r="V66" s="542"/>
      <c r="W66" s="542"/>
      <c r="X66" s="542"/>
    </row>
    <row r="67" spans="1:24" ht="12.75">
      <c r="A67" s="617" t="s">
        <v>161</v>
      </c>
      <c r="B67" s="536">
        <f>_xlfn.XLOOKUP(C67,'메디컬 SKU'!C:C,'메디컬 SKU'!A:A)</f>
        <v>117547</v>
      </c>
      <c r="C67" s="536" t="s">
        <v>142</v>
      </c>
      <c r="D67" s="554"/>
      <c r="E67" s="554">
        <f t="shared" ref="E67:H67" si="22">E47/E27</f>
        <v>-0.25668449197860965</v>
      </c>
      <c r="F67" s="554">
        <f t="shared" si="22"/>
        <v>0.47593582887700536</v>
      </c>
      <c r="G67" s="554">
        <f t="shared" si="22"/>
        <v>1.2085561497326203</v>
      </c>
      <c r="H67" s="554">
        <f t="shared" si="22"/>
        <v>2.1336898395721926</v>
      </c>
      <c r="I67" s="554">
        <f t="shared" ref="I67" si="23">I47/I27</f>
        <v>2.1925133689839571</v>
      </c>
      <c r="J67" s="542"/>
      <c r="K67" s="542"/>
      <c r="L67" s="542"/>
      <c r="M67" s="542"/>
      <c r="N67" s="542"/>
      <c r="O67" s="542"/>
      <c r="P67" s="542"/>
      <c r="Q67" s="542"/>
      <c r="R67" s="542"/>
      <c r="S67" s="542"/>
      <c r="T67" s="542"/>
      <c r="U67" s="542"/>
      <c r="V67" s="542"/>
      <c r="W67" s="542"/>
      <c r="X67" s="542"/>
    </row>
    <row r="68" spans="1:24" ht="12.75">
      <c r="A68" s="615"/>
      <c r="B68" s="536">
        <f>_xlfn.XLOOKUP(C68,'메디컬 SKU'!C:C,'메디컬 SKU'!A:A)</f>
        <v>552897</v>
      </c>
      <c r="C68" s="536" t="s">
        <v>143</v>
      </c>
      <c r="D68" s="555"/>
      <c r="E68" s="555">
        <f t="shared" ref="E68:H68" si="24">E48/E28</f>
        <v>3.5189263592567102</v>
      </c>
      <c r="F68" s="555">
        <f t="shared" si="24"/>
        <v>7.6222596964586851</v>
      </c>
      <c r="G68" s="555">
        <f t="shared" si="24"/>
        <v>6.6222596964586851</v>
      </c>
      <c r="H68" s="555">
        <f t="shared" si="24"/>
        <v>1.7026841018582244</v>
      </c>
      <c r="I68" s="555">
        <f t="shared" ref="I68" si="25">I48/I28</f>
        <v>1.4183773216031281</v>
      </c>
      <c r="J68" s="542"/>
      <c r="K68" s="542"/>
      <c r="L68" s="542"/>
      <c r="M68" s="542"/>
      <c r="N68" s="542"/>
      <c r="O68" s="542"/>
      <c r="P68" s="542"/>
      <c r="Q68" s="542"/>
      <c r="R68" s="542"/>
      <c r="S68" s="542"/>
      <c r="T68" s="542"/>
      <c r="U68" s="542"/>
      <c r="V68" s="542"/>
      <c r="W68" s="542"/>
      <c r="X68" s="542"/>
    </row>
    <row r="69" spans="1:24" ht="12.75">
      <c r="A69" s="615"/>
      <c r="B69" s="536">
        <f>_xlfn.XLOOKUP(C69,'메디컬 SKU'!C:C,'메디컬 SKU'!A:A)</f>
        <v>117771</v>
      </c>
      <c r="C69" s="536" t="s">
        <v>144</v>
      </c>
      <c r="D69" s="555"/>
      <c r="E69" s="555">
        <f t="shared" ref="E69:H69" si="26">E49/E29</f>
        <v>0.81818181818181823</v>
      </c>
      <c r="F69" s="555">
        <f t="shared" si="26"/>
        <v>1.8392857142857142</v>
      </c>
      <c r="G69" s="555">
        <f t="shared" si="26"/>
        <v>1.9107142857142858</v>
      </c>
      <c r="H69" s="555">
        <f t="shared" si="26"/>
        <v>0.87603305785123964</v>
      </c>
      <c r="I69" s="555">
        <f t="shared" ref="I69" si="27">I49/I29</f>
        <v>0.87570621468926557</v>
      </c>
      <c r="J69" s="542"/>
      <c r="K69" s="542"/>
      <c r="L69" s="542"/>
      <c r="M69" s="542"/>
      <c r="N69" s="542"/>
      <c r="O69" s="542"/>
      <c r="P69" s="542"/>
      <c r="Q69" s="542"/>
      <c r="R69" s="542"/>
      <c r="S69" s="542"/>
      <c r="T69" s="542"/>
      <c r="U69" s="542"/>
      <c r="V69" s="542"/>
      <c r="W69" s="542"/>
      <c r="X69" s="542"/>
    </row>
    <row r="70" spans="1:24" ht="12.75">
      <c r="A70" s="615"/>
      <c r="B70" s="536">
        <f>_xlfn.XLOOKUP(C70,'메디컬 SKU'!C:C,'메디컬 SKU'!A:A)</f>
        <v>646546</v>
      </c>
      <c r="C70" s="536" t="s">
        <v>145</v>
      </c>
      <c r="D70" s="554"/>
      <c r="E70" s="554">
        <f t="shared" ref="E70:H70" si="28">E50/E30</f>
        <v>-0.17142857142857143</v>
      </c>
      <c r="F70" s="554">
        <f t="shared" si="28"/>
        <v>0.77142857142857146</v>
      </c>
      <c r="G70" s="554">
        <f t="shared" si="28"/>
        <v>-0.22857142857142856</v>
      </c>
      <c r="H70" s="554">
        <f t="shared" si="28"/>
        <v>-1.2285714285714286</v>
      </c>
      <c r="I70" s="554">
        <f t="shared" ref="I70" si="29">I50/I30</f>
        <v>-2.2285714285714286</v>
      </c>
      <c r="J70" s="542"/>
      <c r="K70" s="542"/>
      <c r="L70" s="542"/>
      <c r="M70" s="542"/>
      <c r="N70" s="542"/>
      <c r="O70" s="542"/>
      <c r="P70" s="542"/>
      <c r="Q70" s="542"/>
      <c r="R70" s="542"/>
      <c r="S70" s="542"/>
      <c r="T70" s="542"/>
      <c r="U70" s="542"/>
      <c r="V70" s="542"/>
      <c r="W70" s="542"/>
      <c r="X70" s="542"/>
    </row>
    <row r="71" spans="1:24" ht="12.75">
      <c r="A71" s="615"/>
      <c r="B71" s="536">
        <f>_xlfn.XLOOKUP(C71,'메디컬 SKU'!C:C,'메디컬 SKU'!A:A)</f>
        <v>646567</v>
      </c>
      <c r="C71" s="536" t="s">
        <v>146</v>
      </c>
      <c r="D71" s="556"/>
      <c r="E71" s="556">
        <f t="shared" ref="E71:H71" si="30">E51/E31</f>
        <v>1.3454545454545455</v>
      </c>
      <c r="F71" s="556">
        <f t="shared" si="30"/>
        <v>2.3636363636363638</v>
      </c>
      <c r="G71" s="556">
        <f t="shared" si="30"/>
        <v>1.3636363636363635</v>
      </c>
      <c r="H71" s="556">
        <f t="shared" si="30"/>
        <v>-0.45454545454545453</v>
      </c>
      <c r="I71" s="556">
        <f t="shared" ref="I71" si="31">I51/I31</f>
        <v>-1.6493506493506493</v>
      </c>
      <c r="J71" s="542"/>
      <c r="K71" s="542"/>
      <c r="L71" s="542"/>
      <c r="M71" s="542"/>
      <c r="N71" s="542"/>
      <c r="O71" s="542"/>
      <c r="P71" s="542"/>
      <c r="Q71" s="542"/>
      <c r="R71" s="542"/>
      <c r="S71" s="542"/>
      <c r="T71" s="542"/>
      <c r="U71" s="542"/>
      <c r="V71" s="542"/>
      <c r="W71" s="542"/>
      <c r="X71" s="542"/>
    </row>
    <row r="72" spans="1:24" ht="12.75">
      <c r="A72" s="615"/>
      <c r="B72" s="536">
        <f>_xlfn.XLOOKUP(C72,'메디컬 SKU'!C:C,'메디컬 SKU'!A:A)</f>
        <v>691217</v>
      </c>
      <c r="C72" s="536" t="s">
        <v>147</v>
      </c>
      <c r="D72" s="556"/>
      <c r="E72" s="556">
        <f t="shared" ref="E72:H72" si="32">E52/E32</f>
        <v>1.1935483870967742</v>
      </c>
      <c r="F72" s="556">
        <f t="shared" si="32"/>
        <v>2.903225806451613</v>
      </c>
      <c r="G72" s="556">
        <f t="shared" si="32"/>
        <v>1.903225806451613</v>
      </c>
      <c r="H72" s="556">
        <f t="shared" si="32"/>
        <v>0.90322580645161288</v>
      </c>
      <c r="I72" s="556">
        <f t="shared" ref="I72" si="33">I52/I32</f>
        <v>2.6129032258064515</v>
      </c>
      <c r="J72" s="542"/>
      <c r="K72" s="542"/>
      <c r="L72" s="542"/>
      <c r="M72" s="542"/>
      <c r="N72" s="542"/>
      <c r="O72" s="542"/>
      <c r="P72" s="542"/>
      <c r="Q72" s="542"/>
      <c r="R72" s="542"/>
      <c r="S72" s="542"/>
      <c r="T72" s="542"/>
      <c r="U72" s="542"/>
      <c r="V72" s="542"/>
      <c r="W72" s="542"/>
      <c r="X72" s="542"/>
    </row>
    <row r="73" spans="1:24" ht="12.75">
      <c r="A73" s="615"/>
      <c r="B73" s="536">
        <f>_xlfn.XLOOKUP(C73,'메디컬 SKU'!C:C,'메디컬 SKU'!A:A)</f>
        <v>611174</v>
      </c>
      <c r="C73" s="536" t="s">
        <v>148</v>
      </c>
      <c r="D73" s="556"/>
      <c r="E73" s="556">
        <f t="shared" ref="E73:H73" si="34">E53/E33</f>
        <v>6.6177566926465605</v>
      </c>
      <c r="F73" s="556">
        <f t="shared" si="34"/>
        <v>5.5096666666666669</v>
      </c>
      <c r="G73" s="556">
        <f t="shared" si="34"/>
        <v>4.5096666666666669</v>
      </c>
      <c r="H73" s="556">
        <f t="shared" si="34"/>
        <v>3.5845476109793291</v>
      </c>
      <c r="I73" s="556">
        <f t="shared" ref="I73" si="35">I53/I33</f>
        <v>6.6202318937993612</v>
      </c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</row>
    <row r="74" spans="1:24" ht="12.75">
      <c r="A74" s="615"/>
      <c r="B74" s="536">
        <f>_xlfn.XLOOKUP(C74,'메디컬 SKU'!C:C,'메디컬 SKU'!A:A)</f>
        <v>701775</v>
      </c>
      <c r="C74" s="536" t="s">
        <v>149</v>
      </c>
      <c r="D74" s="556"/>
      <c r="E74" s="556">
        <f t="shared" ref="E74:H74" si="36">E54/E34</f>
        <v>0.83996423781850693</v>
      </c>
      <c r="F74" s="556">
        <f t="shared" si="36"/>
        <v>2.6386840612592173</v>
      </c>
      <c r="G74" s="556">
        <f t="shared" si="36"/>
        <v>3.1089052750992625</v>
      </c>
      <c r="H74" s="556">
        <f t="shared" si="36"/>
        <v>1.4501564595440322</v>
      </c>
      <c r="I74" s="556">
        <f t="shared" ref="I74" si="37">I54/I34</f>
        <v>1.5940000000000001</v>
      </c>
      <c r="J74" s="542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</row>
    <row r="75" spans="1:24" ht="12.75">
      <c r="A75" s="615"/>
      <c r="B75" s="536">
        <f>_xlfn.XLOOKUP(C75,'메디컬 SKU'!C:C,'메디컬 SKU'!A:A)</f>
        <v>646548</v>
      </c>
      <c r="C75" s="536" t="s">
        <v>150</v>
      </c>
      <c r="D75" s="556"/>
      <c r="E75" s="556">
        <f t="shared" ref="E75:H75" si="38">E55/E35</f>
        <v>1.9428571428571428</v>
      </c>
      <c r="F75" s="556">
        <f t="shared" si="38"/>
        <v>2.5789473684210527</v>
      </c>
      <c r="G75" s="556">
        <f t="shared" si="38"/>
        <v>1.5789473684210527</v>
      </c>
      <c r="H75" s="556">
        <f t="shared" si="38"/>
        <v>0.7142857142857143</v>
      </c>
      <c r="I75" s="556">
        <f t="shared" ref="I75" si="39">I55/I35</f>
        <v>-7.407407407407407E-2</v>
      </c>
      <c r="J75" s="542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</row>
    <row r="76" spans="1:24" ht="12.75">
      <c r="A76" s="615"/>
      <c r="B76" s="536">
        <f>_xlfn.XLOOKUP(C76,'메디컬 SKU'!C:C,'메디컬 SKU'!A:A)</f>
        <v>589462</v>
      </c>
      <c r="C76" s="536" t="s">
        <v>151</v>
      </c>
      <c r="D76" s="556"/>
      <c r="E76" s="556">
        <f t="shared" ref="E76:H76" si="40">E56/E36</f>
        <v>1.3235294117647058</v>
      </c>
      <c r="F76" s="556">
        <f t="shared" si="40"/>
        <v>3.5</v>
      </c>
      <c r="G76" s="556">
        <f t="shared" si="40"/>
        <v>4.666666666666667</v>
      </c>
      <c r="H76" s="556">
        <f t="shared" si="40"/>
        <v>0.96078431372549022</v>
      </c>
      <c r="I76" s="556">
        <f t="shared" ref="I76" si="41">I56/I36</f>
        <v>0.48484848484848486</v>
      </c>
      <c r="J76" s="542"/>
      <c r="K76" s="542"/>
      <c r="L76" s="542"/>
      <c r="M76" s="542"/>
      <c r="N76" s="542"/>
      <c r="O76" s="542"/>
      <c r="P76" s="542"/>
      <c r="Q76" s="542"/>
      <c r="R76" s="542"/>
      <c r="S76" s="542"/>
      <c r="T76" s="542"/>
      <c r="U76" s="542"/>
      <c r="V76" s="542"/>
      <c r="W76" s="542"/>
      <c r="X76" s="542"/>
    </row>
    <row r="77" spans="1:24" ht="12.75">
      <c r="A77" s="615"/>
      <c r="B77" s="536">
        <f>_xlfn.XLOOKUP(C77,'메디컬 SKU'!C:C,'메디컬 SKU'!A:A)</f>
        <v>589466</v>
      </c>
      <c r="C77" s="536" t="s">
        <v>152</v>
      </c>
      <c r="D77" s="556"/>
      <c r="E77" s="556">
        <f t="shared" ref="E77:H77" si="42">E57/E37</f>
        <v>0.97058823529411764</v>
      </c>
      <c r="F77" s="556">
        <f t="shared" si="42"/>
        <v>0.83333333333333337</v>
      </c>
      <c r="G77" s="556">
        <f t="shared" si="42"/>
        <v>-0.16666666666666666</v>
      </c>
      <c r="H77" s="556">
        <f t="shared" si="42"/>
        <v>0.23529411764705882</v>
      </c>
      <c r="I77" s="556">
        <f t="shared" ref="I77" si="43">I57/I37</f>
        <v>0.57692307692307687</v>
      </c>
      <c r="J77" s="542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</row>
    <row r="78" spans="1:24" ht="12.75">
      <c r="A78" s="615"/>
      <c r="B78" s="536">
        <f>_xlfn.XLOOKUP(C78,'메디컬 SKU'!C:C,'메디컬 SKU'!A:A)</f>
        <v>116180</v>
      </c>
      <c r="C78" s="536" t="s">
        <v>153</v>
      </c>
      <c r="D78" s="556"/>
      <c r="E78" s="556">
        <f t="shared" ref="E78:H78" si="44">E58/E38</f>
        <v>0.4061624649859944</v>
      </c>
      <c r="F78" s="556">
        <f t="shared" si="44"/>
        <v>5.833333333333333</v>
      </c>
      <c r="G78" s="556">
        <f t="shared" si="44"/>
        <v>6.833333333333333</v>
      </c>
      <c r="H78" s="556">
        <f t="shared" si="44"/>
        <v>-0.17366946778711484</v>
      </c>
      <c r="I78" s="556">
        <f t="shared" ref="I78" si="45">I58/I38</f>
        <v>1.7803617571059431</v>
      </c>
      <c r="J78" s="542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2"/>
      <c r="V78" s="542"/>
      <c r="W78" s="542"/>
      <c r="X78" s="542"/>
    </row>
    <row r="79" spans="1:24" ht="12.75">
      <c r="A79" s="615"/>
      <c r="B79" s="536">
        <f>_xlfn.XLOOKUP(C79,'메디컬 SKU'!C:C,'메디컬 SKU'!A:A)</f>
        <v>695413</v>
      </c>
      <c r="C79" s="536" t="s">
        <v>154</v>
      </c>
      <c r="D79" s="556"/>
      <c r="E79" s="556">
        <f t="shared" ref="E79:H79" si="46">E59/E39</f>
        <v>2.3417721518987342</v>
      </c>
      <c r="F79" s="556">
        <f t="shared" si="46"/>
        <v>2.7755102040816326</v>
      </c>
      <c r="G79" s="556">
        <f t="shared" si="46"/>
        <v>1.7755102040816326</v>
      </c>
      <c r="H79" s="556">
        <f t="shared" si="46"/>
        <v>1.620253164556962</v>
      </c>
      <c r="I79" s="556">
        <f t="shared" ref="I79" si="47">I59/I39</f>
        <v>1</v>
      </c>
      <c r="J79" s="542"/>
      <c r="K79" s="542"/>
      <c r="L79" s="542"/>
      <c r="M79" s="542"/>
      <c r="N79" s="542"/>
      <c r="O79" s="542"/>
      <c r="P79" s="542"/>
      <c r="Q79" s="542"/>
      <c r="R79" s="542"/>
      <c r="S79" s="542"/>
      <c r="T79" s="542"/>
      <c r="U79" s="542"/>
      <c r="V79" s="542"/>
      <c r="W79" s="542"/>
      <c r="X79" s="542"/>
    </row>
    <row r="80" spans="1:24" ht="12.75">
      <c r="A80" s="615"/>
      <c r="B80" s="536">
        <f>_xlfn.XLOOKUP(C80,'메디컬 SKU'!C:C,'메디컬 SKU'!A:A)</f>
        <v>699883</v>
      </c>
      <c r="C80" s="536" t="s">
        <v>155</v>
      </c>
      <c r="D80" s="556"/>
      <c r="E80" s="556">
        <f t="shared" ref="E80:H80" si="48">E60/E40</f>
        <v>1.0384615384615385</v>
      </c>
      <c r="F80" s="556">
        <f t="shared" si="48"/>
        <v>2.1153846153846154</v>
      </c>
      <c r="G80" s="556">
        <f t="shared" si="48"/>
        <v>1.1153846153846154</v>
      </c>
      <c r="H80" s="556">
        <f t="shared" si="48"/>
        <v>0.52564102564102566</v>
      </c>
      <c r="I80" s="556">
        <f t="shared" ref="I80" si="49">I60/I40</f>
        <v>-0.21153846153846154</v>
      </c>
      <c r="J80" s="542"/>
      <c r="K80" s="542"/>
      <c r="L80" s="542"/>
      <c r="M80" s="542"/>
      <c r="N80" s="542"/>
      <c r="O80" s="542"/>
      <c r="P80" s="542"/>
      <c r="Q80" s="542"/>
      <c r="R80" s="542"/>
      <c r="S80" s="542"/>
      <c r="T80" s="542"/>
      <c r="U80" s="542"/>
      <c r="V80" s="542"/>
      <c r="W80" s="542"/>
      <c r="X80" s="542"/>
    </row>
    <row r="81" spans="1:24" ht="12.75">
      <c r="A81" s="615"/>
      <c r="B81" s="536">
        <f>_xlfn.XLOOKUP(C81,'메디컬 SKU'!C:C,'메디컬 SKU'!A:A)</f>
        <v>645380</v>
      </c>
      <c r="C81" s="536" t="s">
        <v>156</v>
      </c>
      <c r="D81" s="556"/>
      <c r="E81" s="556">
        <f t="shared" ref="E81:H81" si="50">E61/E41</f>
        <v>3.0512540894220281</v>
      </c>
      <c r="F81" s="556">
        <f t="shared" si="50"/>
        <v>2.9934569247546348</v>
      </c>
      <c r="G81" s="556">
        <f t="shared" si="50"/>
        <v>1.9934569247546348</v>
      </c>
      <c r="H81" s="556">
        <f t="shared" si="50"/>
        <v>0.99345692475463465</v>
      </c>
      <c r="I81" s="556">
        <f t="shared" ref="I81" si="51">I61/I41</f>
        <v>1.8778625954198473</v>
      </c>
      <c r="J81" s="542"/>
      <c r="K81" s="542"/>
      <c r="L81" s="542"/>
      <c r="M81" s="542"/>
      <c r="N81" s="542"/>
      <c r="O81" s="542"/>
      <c r="P81" s="542"/>
      <c r="Q81" s="542"/>
      <c r="R81" s="542"/>
      <c r="S81" s="542"/>
      <c r="T81" s="542"/>
      <c r="U81" s="542"/>
      <c r="V81" s="542"/>
      <c r="W81" s="542"/>
      <c r="X81" s="542"/>
    </row>
    <row r="82" spans="1:24" ht="12.75">
      <c r="A82" s="615"/>
      <c r="B82" s="536">
        <f>_xlfn.XLOOKUP(C82,'메디컬 SKU'!C:C,'메디컬 SKU'!A:A)</f>
        <v>578785</v>
      </c>
      <c r="C82" s="536" t="s">
        <v>157</v>
      </c>
      <c r="D82" s="556"/>
      <c r="E82" s="556">
        <f t="shared" ref="E82:H82" si="52">E62/E42</f>
        <v>1.6434782608695653</v>
      </c>
      <c r="F82" s="556">
        <f t="shared" si="52"/>
        <v>2.0648648648648646</v>
      </c>
      <c r="G82" s="556">
        <f t="shared" si="52"/>
        <v>1.0648648648648649</v>
      </c>
      <c r="H82" s="556">
        <f t="shared" si="52"/>
        <v>-0.4289855072463768</v>
      </c>
      <c r="I82" s="556">
        <f t="shared" ref="I82" si="53">I62/I42</f>
        <v>-1.5584905660377359</v>
      </c>
      <c r="J82" s="542"/>
      <c r="K82" s="542"/>
      <c r="L82" s="542"/>
      <c r="M82" s="542"/>
      <c r="N82" s="542"/>
      <c r="O82" s="542"/>
      <c r="P82" s="542"/>
      <c r="Q82" s="542"/>
      <c r="R82" s="542"/>
      <c r="S82" s="542"/>
      <c r="T82" s="542"/>
      <c r="U82" s="542"/>
      <c r="V82" s="542"/>
      <c r="W82" s="542"/>
      <c r="X82" s="542"/>
    </row>
    <row r="83" spans="1:24" ht="12.75">
      <c r="A83" s="615"/>
      <c r="B83" s="625" t="s">
        <v>18</v>
      </c>
      <c r="C83" s="625"/>
      <c r="D83" s="557" t="e">
        <f t="shared" ref="D83:H83" si="54">AVERAGE(D67:D82)</f>
        <v>#DIV/0!</v>
      </c>
      <c r="E83" s="557">
        <f t="shared" si="54"/>
        <v>1.6639888920375974</v>
      </c>
      <c r="F83" s="557">
        <f t="shared" si="54"/>
        <v>2.9261845845773311</v>
      </c>
      <c r="G83" s="557">
        <f t="shared" si="54"/>
        <v>2.4537431328767623</v>
      </c>
      <c r="H83" s="557">
        <f t="shared" si="54"/>
        <v>0.83839251741982124</v>
      </c>
      <c r="I83" s="557">
        <f t="shared" ref="I83" si="55">AVERAGE(I67:I82)</f>
        <v>0.95698142247544782</v>
      </c>
      <c r="J83" s="542"/>
      <c r="K83" s="542"/>
      <c r="L83" s="542"/>
      <c r="M83" s="542"/>
      <c r="N83" s="542"/>
      <c r="O83" s="542"/>
      <c r="P83" s="542"/>
      <c r="Q83" s="542"/>
      <c r="R83" s="542"/>
      <c r="S83" s="542"/>
      <c r="T83" s="542"/>
      <c r="U83" s="542"/>
      <c r="V83" s="542"/>
      <c r="W83" s="542"/>
      <c r="X83" s="542"/>
    </row>
    <row r="84" spans="1:24" ht="12.75">
      <c r="A84" s="532"/>
      <c r="B84" s="532"/>
      <c r="C84" s="532"/>
      <c r="D84" s="532"/>
      <c r="E84" s="532"/>
      <c r="F84" s="532"/>
      <c r="G84" s="532"/>
      <c r="H84" s="532"/>
    </row>
    <row r="85" spans="1:24" ht="12.75">
      <c r="A85" s="532"/>
      <c r="B85" s="532"/>
      <c r="C85" s="532"/>
      <c r="D85" s="532"/>
      <c r="E85" s="532"/>
      <c r="F85" s="532"/>
      <c r="G85" s="532"/>
      <c r="H85" s="532"/>
    </row>
    <row r="86" spans="1:24" ht="12.75">
      <c r="A86" s="532"/>
      <c r="B86" s="532"/>
      <c r="C86" s="532"/>
      <c r="D86" s="532"/>
      <c r="E86" s="532"/>
      <c r="F86" s="532"/>
      <c r="G86" s="532"/>
      <c r="H86" s="532"/>
    </row>
    <row r="87" spans="1:24" ht="12.75">
      <c r="A87" s="532"/>
      <c r="B87" s="532"/>
      <c r="C87" s="532"/>
      <c r="D87" s="532"/>
      <c r="E87" s="532"/>
      <c r="F87" s="532"/>
      <c r="G87" s="532"/>
      <c r="H87" s="532"/>
    </row>
    <row r="88" spans="1:24" ht="12.75">
      <c r="A88" s="532"/>
      <c r="B88" s="532"/>
      <c r="C88" s="532"/>
      <c r="D88" s="532"/>
      <c r="E88" s="532"/>
      <c r="F88" s="532"/>
      <c r="G88" s="532"/>
      <c r="H88" s="532"/>
    </row>
    <row r="89" spans="1:24" ht="12.75">
      <c r="A89" s="532"/>
      <c r="B89" s="532"/>
      <c r="C89" s="532"/>
      <c r="D89" s="532"/>
      <c r="E89" s="532"/>
      <c r="F89" s="532"/>
      <c r="G89" s="532"/>
      <c r="H89" s="532"/>
    </row>
    <row r="90" spans="1:24" ht="12.75">
      <c r="A90" s="532"/>
      <c r="B90" s="532"/>
      <c r="C90" s="532"/>
      <c r="D90" s="532"/>
      <c r="E90" s="532"/>
      <c r="F90" s="532"/>
      <c r="G90" s="532"/>
      <c r="H90" s="532"/>
    </row>
    <row r="91" spans="1:24" ht="12.75">
      <c r="A91" s="532"/>
      <c r="B91" s="532"/>
      <c r="C91" s="532"/>
      <c r="D91" s="532"/>
      <c r="E91" s="532"/>
      <c r="F91" s="532"/>
      <c r="G91" s="532"/>
      <c r="H91" s="532"/>
    </row>
    <row r="92" spans="1:24" ht="12.75">
      <c r="A92" s="532"/>
      <c r="B92" s="532"/>
      <c r="C92" s="532"/>
      <c r="D92" s="532"/>
      <c r="E92" s="532"/>
      <c r="F92" s="532"/>
      <c r="G92" s="532"/>
      <c r="H92" s="532"/>
    </row>
    <row r="93" spans="1:24" ht="12.75">
      <c r="A93" s="532"/>
      <c r="B93" s="532"/>
      <c r="C93" s="532"/>
      <c r="D93" s="532"/>
      <c r="E93" s="532"/>
      <c r="F93" s="532"/>
      <c r="G93" s="532"/>
      <c r="H93" s="532"/>
    </row>
    <row r="94" spans="1:24" ht="12.75">
      <c r="A94" s="532"/>
      <c r="B94" s="532"/>
      <c r="C94" s="532"/>
      <c r="D94" s="532"/>
      <c r="E94" s="532"/>
      <c r="F94" s="532"/>
      <c r="G94" s="532"/>
      <c r="H94" s="532"/>
    </row>
    <row r="95" spans="1:24" ht="12.75">
      <c r="A95" s="532"/>
      <c r="B95" s="532"/>
      <c r="C95" s="532"/>
      <c r="D95" s="532"/>
      <c r="E95" s="532"/>
      <c r="F95" s="532"/>
      <c r="G95" s="532"/>
      <c r="H95" s="532"/>
    </row>
    <row r="96" spans="1:24" ht="12.75">
      <c r="A96" s="532"/>
      <c r="B96" s="532"/>
      <c r="C96" s="532"/>
      <c r="D96" s="532"/>
      <c r="E96" s="532"/>
      <c r="F96" s="532"/>
      <c r="G96" s="532"/>
      <c r="H96" s="532"/>
    </row>
    <row r="97" spans="1:8" ht="12.75">
      <c r="A97" s="532"/>
      <c r="B97" s="532"/>
      <c r="C97" s="532"/>
      <c r="D97" s="532"/>
      <c r="E97" s="532"/>
      <c r="F97" s="532"/>
      <c r="G97" s="532"/>
      <c r="H97" s="532"/>
    </row>
    <row r="98" spans="1:8" ht="12.75">
      <c r="A98" s="532"/>
      <c r="B98" s="532"/>
      <c r="C98" s="532"/>
      <c r="D98" s="532"/>
      <c r="E98" s="532"/>
      <c r="F98" s="532"/>
      <c r="G98" s="532"/>
      <c r="H98" s="532"/>
    </row>
    <row r="99" spans="1:8" ht="12.75">
      <c r="A99" s="532"/>
      <c r="B99" s="532"/>
      <c r="C99" s="532"/>
      <c r="D99" s="532"/>
      <c r="E99" s="532"/>
      <c r="F99" s="532"/>
      <c r="G99" s="532"/>
      <c r="H99" s="532"/>
    </row>
    <row r="100" spans="1:8" ht="12.75">
      <c r="A100" s="532"/>
      <c r="B100" s="532"/>
      <c r="C100" s="532"/>
      <c r="D100" s="532"/>
      <c r="E100" s="532"/>
      <c r="F100" s="532"/>
      <c r="G100" s="532"/>
      <c r="H100" s="532"/>
    </row>
    <row r="101" spans="1:8" ht="12.75">
      <c r="A101" s="532"/>
      <c r="B101" s="532"/>
      <c r="C101" s="532"/>
      <c r="D101" s="532"/>
      <c r="E101" s="532"/>
      <c r="F101" s="532"/>
      <c r="G101" s="532"/>
      <c r="H101" s="532"/>
    </row>
    <row r="102" spans="1:8" ht="12.75">
      <c r="A102" s="532"/>
      <c r="B102" s="532"/>
      <c r="C102" s="532"/>
      <c r="D102" s="532"/>
      <c r="E102" s="532"/>
      <c r="F102" s="532"/>
      <c r="G102" s="532"/>
      <c r="H102" s="532"/>
    </row>
    <row r="103" spans="1:8" ht="12.75">
      <c r="A103" s="532"/>
      <c r="B103" s="532"/>
      <c r="C103" s="532"/>
      <c r="D103" s="532"/>
      <c r="E103" s="532"/>
      <c r="F103" s="532"/>
      <c r="G103" s="532"/>
      <c r="H103" s="532"/>
    </row>
    <row r="104" spans="1:8" ht="12.75">
      <c r="A104" s="532"/>
      <c r="B104" s="532"/>
      <c r="C104" s="532"/>
      <c r="D104" s="532"/>
      <c r="E104" s="532"/>
      <c r="F104" s="532"/>
      <c r="G104" s="532"/>
      <c r="H104" s="532"/>
    </row>
    <row r="105" spans="1:8" ht="12.75">
      <c r="A105" s="532"/>
      <c r="B105" s="532"/>
      <c r="C105" s="532"/>
      <c r="D105" s="532"/>
      <c r="E105" s="532"/>
      <c r="F105" s="532"/>
      <c r="G105" s="532"/>
      <c r="H105" s="532"/>
    </row>
    <row r="106" spans="1:8" ht="12.75">
      <c r="A106" s="532"/>
      <c r="B106" s="532"/>
      <c r="C106" s="532"/>
      <c r="D106" s="532"/>
      <c r="E106" s="532"/>
      <c r="F106" s="532"/>
      <c r="G106" s="532"/>
      <c r="H106" s="532"/>
    </row>
    <row r="107" spans="1:8" ht="12.75">
      <c r="A107" s="532"/>
      <c r="B107" s="532"/>
      <c r="C107" s="532"/>
      <c r="D107" s="532"/>
      <c r="E107" s="532"/>
      <c r="F107" s="532"/>
      <c r="G107" s="532"/>
      <c r="H107" s="532"/>
    </row>
    <row r="108" spans="1:8" ht="12.75">
      <c r="A108" s="532"/>
      <c r="B108" s="532"/>
      <c r="C108" s="532"/>
      <c r="D108" s="532"/>
      <c r="E108" s="532"/>
      <c r="F108" s="532"/>
      <c r="G108" s="532"/>
      <c r="H108" s="532"/>
    </row>
    <row r="109" spans="1:8" ht="12.75">
      <c r="A109" s="532"/>
      <c r="B109" s="532"/>
      <c r="C109" s="532"/>
      <c r="D109" s="532"/>
      <c r="E109" s="532"/>
      <c r="F109" s="532"/>
      <c r="G109" s="532"/>
      <c r="H109" s="532"/>
    </row>
    <row r="110" spans="1:8" ht="12.75">
      <c r="A110" s="532"/>
      <c r="B110" s="532"/>
      <c r="C110" s="532"/>
      <c r="D110" s="532"/>
      <c r="E110" s="532"/>
      <c r="F110" s="532"/>
      <c r="G110" s="532"/>
      <c r="H110" s="532"/>
    </row>
    <row r="111" spans="1:8" ht="12.75">
      <c r="A111" s="532"/>
      <c r="B111" s="532"/>
      <c r="C111" s="532"/>
      <c r="D111" s="532"/>
      <c r="E111" s="532"/>
      <c r="F111" s="532"/>
      <c r="G111" s="532"/>
      <c r="H111" s="532"/>
    </row>
    <row r="112" spans="1:8" ht="12.75">
      <c r="A112" s="532"/>
      <c r="B112" s="532"/>
      <c r="C112" s="532"/>
      <c r="D112" s="532"/>
      <c r="E112" s="532"/>
      <c r="F112" s="532"/>
      <c r="G112" s="532"/>
      <c r="H112" s="532"/>
    </row>
    <row r="113" spans="1:8" ht="12.75">
      <c r="A113" s="532"/>
      <c r="B113" s="532"/>
      <c r="C113" s="532"/>
      <c r="D113" s="532"/>
      <c r="E113" s="532"/>
      <c r="F113" s="532"/>
      <c r="G113" s="532"/>
      <c r="H113" s="532"/>
    </row>
    <row r="114" spans="1:8" ht="12.75">
      <c r="A114" s="532"/>
      <c r="B114" s="532"/>
      <c r="C114" s="532"/>
      <c r="D114" s="532"/>
      <c r="E114" s="532"/>
      <c r="F114" s="532"/>
      <c r="G114" s="532"/>
      <c r="H114" s="532"/>
    </row>
    <row r="115" spans="1:8" ht="12.75">
      <c r="A115" s="532"/>
      <c r="B115" s="532"/>
      <c r="C115" s="532"/>
      <c r="D115" s="532"/>
      <c r="E115" s="532"/>
      <c r="F115" s="532"/>
      <c r="G115" s="532"/>
      <c r="H115" s="532"/>
    </row>
    <row r="116" spans="1:8" ht="12.75">
      <c r="A116" s="532"/>
      <c r="B116" s="532"/>
      <c r="C116" s="532"/>
      <c r="D116" s="532"/>
      <c r="E116" s="532"/>
      <c r="F116" s="532"/>
      <c r="G116" s="532"/>
      <c r="H116" s="532"/>
    </row>
    <row r="117" spans="1:8" ht="12.75">
      <c r="A117" s="532"/>
      <c r="B117" s="532"/>
      <c r="C117" s="532"/>
      <c r="D117" s="532"/>
      <c r="E117" s="532"/>
      <c r="F117" s="532"/>
      <c r="G117" s="532"/>
      <c r="H117" s="532"/>
    </row>
    <row r="118" spans="1:8" ht="12.75">
      <c r="A118" s="532"/>
      <c r="B118" s="532"/>
      <c r="C118" s="532"/>
      <c r="D118" s="532"/>
      <c r="E118" s="532"/>
      <c r="F118" s="532"/>
      <c r="G118" s="532"/>
      <c r="H118" s="532"/>
    </row>
    <row r="119" spans="1:8" ht="12.75">
      <c r="A119" s="532"/>
      <c r="B119" s="532"/>
      <c r="C119" s="532"/>
      <c r="D119" s="532"/>
      <c r="E119" s="532"/>
      <c r="F119" s="532"/>
      <c r="G119" s="532"/>
      <c r="H119" s="532"/>
    </row>
    <row r="120" spans="1:8" ht="12.75">
      <c r="A120" s="532"/>
      <c r="B120" s="532"/>
      <c r="C120" s="532"/>
      <c r="D120" s="532"/>
      <c r="E120" s="532"/>
      <c r="F120" s="532"/>
      <c r="G120" s="532"/>
      <c r="H120" s="532"/>
    </row>
    <row r="121" spans="1:8" ht="12.75">
      <c r="A121" s="532"/>
      <c r="B121" s="532"/>
      <c r="C121" s="532"/>
      <c r="D121" s="532"/>
      <c r="E121" s="532"/>
      <c r="F121" s="532"/>
      <c r="G121" s="532"/>
      <c r="H121" s="532"/>
    </row>
    <row r="122" spans="1:8" ht="12.75">
      <c r="A122" s="532"/>
      <c r="B122" s="532"/>
      <c r="C122" s="532"/>
      <c r="D122" s="532"/>
      <c r="E122" s="532"/>
      <c r="F122" s="532"/>
      <c r="G122" s="532"/>
      <c r="H122" s="532"/>
    </row>
    <row r="123" spans="1:8" ht="12.75">
      <c r="A123" s="532"/>
      <c r="B123" s="532"/>
      <c r="C123" s="532"/>
      <c r="D123" s="532"/>
      <c r="E123" s="532"/>
      <c r="F123" s="532"/>
      <c r="G123" s="532"/>
      <c r="H123" s="532"/>
    </row>
    <row r="124" spans="1:8" ht="12.75">
      <c r="A124" s="532"/>
      <c r="B124" s="532"/>
      <c r="C124" s="532"/>
      <c r="D124" s="532"/>
      <c r="E124" s="532"/>
      <c r="F124" s="532"/>
      <c r="G124" s="532"/>
      <c r="H124" s="532"/>
    </row>
    <row r="125" spans="1:8" ht="12.75">
      <c r="A125" s="532"/>
      <c r="B125" s="532"/>
      <c r="C125" s="532"/>
      <c r="D125" s="532"/>
      <c r="E125" s="532"/>
      <c r="F125" s="532"/>
      <c r="G125" s="532"/>
      <c r="H125" s="532"/>
    </row>
    <row r="126" spans="1:8" ht="12.75">
      <c r="A126" s="532"/>
      <c r="B126" s="532"/>
      <c r="C126" s="532"/>
      <c r="D126" s="532"/>
      <c r="E126" s="532"/>
      <c r="F126" s="532"/>
      <c r="G126" s="532"/>
      <c r="H126" s="532"/>
    </row>
    <row r="127" spans="1:8" ht="12.75">
      <c r="A127" s="532"/>
      <c r="B127" s="532"/>
      <c r="C127" s="532"/>
      <c r="D127" s="532"/>
      <c r="E127" s="532"/>
      <c r="F127" s="532"/>
      <c r="G127" s="532"/>
      <c r="H127" s="532"/>
    </row>
    <row r="128" spans="1:8" ht="12.75">
      <c r="A128" s="532"/>
      <c r="B128" s="532"/>
      <c r="C128" s="532"/>
      <c r="D128" s="532"/>
      <c r="E128" s="532"/>
      <c r="F128" s="532"/>
      <c r="G128" s="532"/>
      <c r="H128" s="532"/>
    </row>
    <row r="129" spans="1:8" ht="12.75">
      <c r="A129" s="532"/>
      <c r="B129" s="532"/>
      <c r="C129" s="532"/>
      <c r="D129" s="532"/>
      <c r="E129" s="532"/>
      <c r="F129" s="532"/>
      <c r="G129" s="532"/>
      <c r="H129" s="532"/>
    </row>
    <row r="130" spans="1:8" ht="12.75">
      <c r="A130" s="532"/>
      <c r="B130" s="532"/>
      <c r="C130" s="532"/>
      <c r="D130" s="532"/>
      <c r="E130" s="532"/>
      <c r="F130" s="532"/>
      <c r="G130" s="532"/>
      <c r="H130" s="532"/>
    </row>
    <row r="131" spans="1:8" ht="12.75">
      <c r="A131" s="532"/>
      <c r="B131" s="532"/>
      <c r="C131" s="532"/>
      <c r="D131" s="532"/>
      <c r="E131" s="532"/>
      <c r="F131" s="532"/>
      <c r="G131" s="532"/>
      <c r="H131" s="532"/>
    </row>
    <row r="132" spans="1:8" ht="12.75">
      <c r="A132" s="532"/>
      <c r="B132" s="532"/>
      <c r="C132" s="532"/>
      <c r="D132" s="532"/>
      <c r="E132" s="532"/>
      <c r="F132" s="532"/>
      <c r="G132" s="532"/>
      <c r="H132" s="532"/>
    </row>
    <row r="133" spans="1:8" ht="12.75">
      <c r="A133" s="532"/>
      <c r="B133" s="532"/>
      <c r="C133" s="532"/>
      <c r="D133" s="532"/>
      <c r="E133" s="532"/>
      <c r="F133" s="532"/>
      <c r="G133" s="532"/>
      <c r="H133" s="532"/>
    </row>
    <row r="134" spans="1:8" ht="12.75">
      <c r="A134" s="532"/>
      <c r="B134" s="532"/>
      <c r="C134" s="532"/>
      <c r="D134" s="532"/>
      <c r="E134" s="532"/>
      <c r="F134" s="532"/>
      <c r="G134" s="532"/>
      <c r="H134" s="532"/>
    </row>
    <row r="135" spans="1:8" ht="12.75">
      <c r="A135" s="532"/>
      <c r="B135" s="532"/>
      <c r="C135" s="532"/>
      <c r="D135" s="532"/>
      <c r="E135" s="532"/>
      <c r="F135" s="532"/>
      <c r="G135" s="532"/>
      <c r="H135" s="532"/>
    </row>
    <row r="136" spans="1:8" ht="12.75">
      <c r="A136" s="532"/>
      <c r="B136" s="532"/>
      <c r="C136" s="532"/>
      <c r="D136" s="532"/>
      <c r="E136" s="532"/>
      <c r="F136" s="532"/>
      <c r="G136" s="532"/>
      <c r="H136" s="532"/>
    </row>
    <row r="137" spans="1:8" ht="12.75">
      <c r="A137" s="532"/>
      <c r="B137" s="532"/>
      <c r="C137" s="532"/>
      <c r="D137" s="532"/>
      <c r="E137" s="532"/>
      <c r="F137" s="532"/>
      <c r="G137" s="532"/>
      <c r="H137" s="532"/>
    </row>
    <row r="138" spans="1:8" ht="12.75">
      <c r="A138" s="532"/>
      <c r="B138" s="532"/>
      <c r="C138" s="532"/>
      <c r="D138" s="532"/>
      <c r="E138" s="532"/>
      <c r="F138" s="532"/>
      <c r="G138" s="532"/>
      <c r="H138" s="532"/>
    </row>
    <row r="139" spans="1:8" ht="12.75">
      <c r="A139" s="532"/>
      <c r="B139" s="532"/>
      <c r="C139" s="532"/>
      <c r="D139" s="532"/>
      <c r="E139" s="532"/>
      <c r="F139" s="532"/>
      <c r="G139" s="532"/>
      <c r="H139" s="532"/>
    </row>
    <row r="140" spans="1:8" ht="12.75">
      <c r="A140" s="532"/>
      <c r="B140" s="532"/>
      <c r="C140" s="532"/>
      <c r="D140" s="532"/>
      <c r="E140" s="532"/>
      <c r="F140" s="532"/>
      <c r="G140" s="532"/>
      <c r="H140" s="532"/>
    </row>
    <row r="141" spans="1:8" ht="12.75">
      <c r="A141" s="532"/>
      <c r="B141" s="532"/>
      <c r="C141" s="532"/>
      <c r="D141" s="532"/>
      <c r="E141" s="532"/>
      <c r="F141" s="532"/>
      <c r="G141" s="532"/>
      <c r="H141" s="532"/>
    </row>
    <row r="142" spans="1:8" ht="12.75">
      <c r="A142" s="532"/>
      <c r="B142" s="532"/>
      <c r="C142" s="532"/>
      <c r="D142" s="532"/>
      <c r="E142" s="532"/>
      <c r="F142" s="532"/>
      <c r="G142" s="532"/>
      <c r="H142" s="532"/>
    </row>
    <row r="143" spans="1:8" ht="12.75">
      <c r="A143" s="532"/>
      <c r="B143" s="532"/>
      <c r="C143" s="532"/>
      <c r="D143" s="532"/>
      <c r="E143" s="532"/>
      <c r="F143" s="532"/>
      <c r="G143" s="532"/>
      <c r="H143" s="532"/>
    </row>
    <row r="144" spans="1:8" ht="12.75">
      <c r="A144" s="532"/>
      <c r="B144" s="532"/>
      <c r="C144" s="532"/>
      <c r="D144" s="532"/>
      <c r="E144" s="532"/>
      <c r="F144" s="532"/>
      <c r="G144" s="532"/>
      <c r="H144" s="532"/>
    </row>
    <row r="145" spans="1:8" ht="12.75">
      <c r="A145" s="532"/>
      <c r="B145" s="532"/>
      <c r="C145" s="532"/>
      <c r="D145" s="532"/>
      <c r="E145" s="532"/>
      <c r="F145" s="532"/>
      <c r="G145" s="532"/>
      <c r="H145" s="532"/>
    </row>
    <row r="146" spans="1:8" ht="12.75">
      <c r="A146" s="532"/>
      <c r="B146" s="532"/>
      <c r="C146" s="532"/>
      <c r="D146" s="532"/>
      <c r="E146" s="532"/>
      <c r="F146" s="532"/>
      <c r="G146" s="532"/>
      <c r="H146" s="532"/>
    </row>
    <row r="147" spans="1:8" ht="12.75">
      <c r="A147" s="532"/>
      <c r="B147" s="532"/>
      <c r="C147" s="532"/>
      <c r="D147" s="532"/>
      <c r="E147" s="532"/>
      <c r="F147" s="532"/>
      <c r="G147" s="532"/>
      <c r="H147" s="532"/>
    </row>
    <row r="148" spans="1:8" ht="12.75">
      <c r="A148" s="532"/>
      <c r="B148" s="532"/>
      <c r="C148" s="532"/>
      <c r="D148" s="532"/>
      <c r="E148" s="532"/>
      <c r="F148" s="532"/>
      <c r="G148" s="532"/>
      <c r="H148" s="532"/>
    </row>
    <row r="149" spans="1:8" ht="12.75">
      <c r="A149" s="532"/>
      <c r="B149" s="532"/>
      <c r="C149" s="532"/>
      <c r="D149" s="532"/>
      <c r="E149" s="532"/>
      <c r="F149" s="532"/>
      <c r="G149" s="532"/>
      <c r="H149" s="532"/>
    </row>
    <row r="150" spans="1:8" ht="12.75">
      <c r="A150" s="532"/>
      <c r="B150" s="532"/>
      <c r="C150" s="532"/>
      <c r="D150" s="532"/>
      <c r="E150" s="532"/>
      <c r="F150" s="532"/>
      <c r="G150" s="532"/>
      <c r="H150" s="532"/>
    </row>
    <row r="151" spans="1:8" ht="12.75">
      <c r="A151" s="532"/>
      <c r="B151" s="532"/>
      <c r="C151" s="532"/>
      <c r="D151" s="532"/>
      <c r="E151" s="532"/>
      <c r="F151" s="532"/>
      <c r="G151" s="532"/>
      <c r="H151" s="532"/>
    </row>
    <row r="152" spans="1:8" ht="12.75">
      <c r="A152" s="532"/>
      <c r="B152" s="532"/>
      <c r="C152" s="532"/>
      <c r="D152" s="532"/>
      <c r="E152" s="532"/>
      <c r="F152" s="532"/>
      <c r="G152" s="532"/>
      <c r="H152" s="532"/>
    </row>
    <row r="153" spans="1:8" ht="12.75">
      <c r="A153" s="532"/>
      <c r="B153" s="532"/>
      <c r="C153" s="532"/>
      <c r="D153" s="532"/>
      <c r="E153" s="532"/>
      <c r="F153" s="532"/>
      <c r="G153" s="532"/>
      <c r="H153" s="532"/>
    </row>
    <row r="154" spans="1:8" ht="12.75">
      <c r="A154" s="532"/>
      <c r="B154" s="532"/>
      <c r="C154" s="532"/>
      <c r="D154" s="532"/>
      <c r="E154" s="532"/>
      <c r="F154" s="532"/>
      <c r="G154" s="532"/>
      <c r="H154" s="532"/>
    </row>
    <row r="155" spans="1:8" ht="12.75">
      <c r="A155" s="532"/>
      <c r="B155" s="532"/>
      <c r="C155" s="532"/>
      <c r="D155" s="532"/>
      <c r="E155" s="532"/>
      <c r="F155" s="532"/>
      <c r="G155" s="532"/>
      <c r="H155" s="532"/>
    </row>
    <row r="156" spans="1:8" ht="12.75">
      <c r="A156" s="532"/>
      <c r="B156" s="532"/>
      <c r="C156" s="532"/>
      <c r="D156" s="532"/>
      <c r="E156" s="532"/>
      <c r="F156" s="532"/>
      <c r="G156" s="532"/>
      <c r="H156" s="532"/>
    </row>
    <row r="157" spans="1:8" ht="12.75">
      <c r="A157" s="532"/>
      <c r="B157" s="532"/>
      <c r="C157" s="532"/>
      <c r="D157" s="532"/>
      <c r="E157" s="532"/>
      <c r="F157" s="532"/>
      <c r="G157" s="532"/>
      <c r="H157" s="532"/>
    </row>
    <row r="158" spans="1:8" ht="12.75">
      <c r="A158" s="532"/>
      <c r="B158" s="532"/>
      <c r="C158" s="532"/>
      <c r="D158" s="532"/>
      <c r="E158" s="532"/>
      <c r="F158" s="532"/>
      <c r="G158" s="532"/>
      <c r="H158" s="532"/>
    </row>
    <row r="159" spans="1:8" ht="12.75">
      <c r="A159" s="532"/>
      <c r="B159" s="532"/>
      <c r="C159" s="532"/>
      <c r="D159" s="532"/>
      <c r="E159" s="532"/>
      <c r="F159" s="532"/>
      <c r="G159" s="532"/>
      <c r="H159" s="532"/>
    </row>
    <row r="160" spans="1:8" ht="12.75">
      <c r="A160" s="532"/>
      <c r="B160" s="532"/>
      <c r="C160" s="532"/>
      <c r="D160" s="532"/>
      <c r="E160" s="532"/>
      <c r="F160" s="532"/>
      <c r="G160" s="532"/>
      <c r="H160" s="532"/>
    </row>
    <row r="161" spans="1:8" ht="12.75">
      <c r="A161" s="532"/>
      <c r="B161" s="532"/>
      <c r="C161" s="532"/>
      <c r="D161" s="532"/>
      <c r="E161" s="532"/>
      <c r="F161" s="532"/>
      <c r="G161" s="532"/>
      <c r="H161" s="532"/>
    </row>
    <row r="162" spans="1:8" ht="12.75">
      <c r="A162" s="532"/>
      <c r="B162" s="532"/>
      <c r="C162" s="532"/>
      <c r="D162" s="532"/>
      <c r="E162" s="532"/>
      <c r="F162" s="532"/>
      <c r="G162" s="532"/>
      <c r="H162" s="532"/>
    </row>
    <row r="163" spans="1:8" ht="12.75">
      <c r="A163" s="532"/>
      <c r="B163" s="532"/>
      <c r="C163" s="532"/>
      <c r="D163" s="532"/>
      <c r="E163" s="532"/>
      <c r="F163" s="532"/>
      <c r="G163" s="532"/>
      <c r="H163" s="532"/>
    </row>
    <row r="164" spans="1:8" ht="12.75">
      <c r="A164" s="532"/>
      <c r="B164" s="532"/>
      <c r="C164" s="532"/>
      <c r="D164" s="532"/>
      <c r="E164" s="532"/>
      <c r="F164" s="532"/>
      <c r="G164" s="532"/>
      <c r="H164" s="532"/>
    </row>
    <row r="165" spans="1:8" ht="12.75">
      <c r="A165" s="532"/>
      <c r="B165" s="532"/>
      <c r="C165" s="532"/>
      <c r="D165" s="532"/>
      <c r="E165" s="532"/>
      <c r="F165" s="532"/>
      <c r="G165" s="532"/>
      <c r="H165" s="532"/>
    </row>
    <row r="166" spans="1:8" ht="12.75">
      <c r="A166" s="532"/>
      <c r="B166" s="532"/>
      <c r="C166" s="532"/>
      <c r="D166" s="532"/>
      <c r="E166" s="532"/>
      <c r="F166" s="532"/>
      <c r="G166" s="532"/>
      <c r="H166" s="532"/>
    </row>
    <row r="167" spans="1:8" ht="12.75">
      <c r="A167" s="532"/>
      <c r="B167" s="532"/>
      <c r="C167" s="532"/>
      <c r="D167" s="532"/>
      <c r="E167" s="532"/>
      <c r="F167" s="532"/>
      <c r="G167" s="532"/>
      <c r="H167" s="532"/>
    </row>
    <row r="168" spans="1:8" ht="12.75">
      <c r="A168" s="532"/>
      <c r="B168" s="532"/>
      <c r="C168" s="532"/>
      <c r="D168" s="532"/>
      <c r="E168" s="532"/>
      <c r="F168" s="532"/>
      <c r="G168" s="532"/>
      <c r="H168" s="532"/>
    </row>
    <row r="169" spans="1:8" ht="12.75">
      <c r="A169" s="532"/>
      <c r="B169" s="532"/>
      <c r="C169" s="532"/>
      <c r="D169" s="532"/>
      <c r="E169" s="532"/>
      <c r="F169" s="532"/>
      <c r="G169" s="532"/>
      <c r="H169" s="532"/>
    </row>
    <row r="170" spans="1:8" ht="12.75">
      <c r="A170" s="532"/>
      <c r="B170" s="532"/>
      <c r="C170" s="532"/>
      <c r="D170" s="532"/>
      <c r="E170" s="532"/>
      <c r="F170" s="532"/>
      <c r="G170" s="532"/>
      <c r="H170" s="532"/>
    </row>
    <row r="171" spans="1:8" ht="12.75">
      <c r="A171" s="532"/>
      <c r="B171" s="532"/>
      <c r="C171" s="532"/>
      <c r="D171" s="532"/>
      <c r="E171" s="532"/>
      <c r="F171" s="532"/>
      <c r="G171" s="532"/>
      <c r="H171" s="532"/>
    </row>
    <row r="172" spans="1:8" ht="12.75">
      <c r="A172" s="532"/>
      <c r="B172" s="532"/>
      <c r="C172" s="532"/>
      <c r="D172" s="532"/>
      <c r="E172" s="532"/>
      <c r="F172" s="532"/>
      <c r="G172" s="532"/>
      <c r="H172" s="532"/>
    </row>
    <row r="173" spans="1:8" ht="12.75">
      <c r="A173" s="532"/>
      <c r="B173" s="532"/>
      <c r="C173" s="532"/>
      <c r="D173" s="532"/>
      <c r="E173" s="532"/>
      <c r="F173" s="532"/>
      <c r="G173" s="532"/>
      <c r="H173" s="532"/>
    </row>
    <row r="174" spans="1:8" ht="12.75">
      <c r="A174" s="532"/>
      <c r="B174" s="532"/>
      <c r="C174" s="532"/>
      <c r="D174" s="532"/>
      <c r="E174" s="532"/>
      <c r="F174" s="532"/>
      <c r="G174" s="532"/>
      <c r="H174" s="532"/>
    </row>
    <row r="175" spans="1:8" ht="12.75">
      <c r="A175" s="532"/>
      <c r="B175" s="532"/>
      <c r="C175" s="532"/>
      <c r="D175" s="532"/>
      <c r="E175" s="532"/>
      <c r="F175" s="532"/>
      <c r="G175" s="532"/>
      <c r="H175" s="532"/>
    </row>
    <row r="176" spans="1:8" ht="12.75">
      <c r="A176" s="532"/>
      <c r="B176" s="532"/>
      <c r="C176" s="532"/>
      <c r="D176" s="532"/>
      <c r="E176" s="532"/>
      <c r="F176" s="532"/>
      <c r="G176" s="532"/>
      <c r="H176" s="532"/>
    </row>
    <row r="177" spans="1:8" ht="12.75">
      <c r="A177" s="532"/>
      <c r="B177" s="532"/>
      <c r="C177" s="532"/>
      <c r="D177" s="532"/>
      <c r="E177" s="532"/>
      <c r="F177" s="532"/>
      <c r="G177" s="532"/>
      <c r="H177" s="532"/>
    </row>
    <row r="178" spans="1:8" ht="12.75">
      <c r="A178" s="532"/>
      <c r="B178" s="532"/>
      <c r="C178" s="532"/>
      <c r="D178" s="532"/>
      <c r="E178" s="532"/>
      <c r="F178" s="532"/>
      <c r="G178" s="532"/>
      <c r="H178" s="532"/>
    </row>
    <row r="179" spans="1:8" ht="12.75">
      <c r="A179" s="532"/>
      <c r="B179" s="532"/>
      <c r="C179" s="532"/>
      <c r="D179" s="532"/>
      <c r="E179" s="532"/>
      <c r="F179" s="532"/>
      <c r="G179" s="532"/>
      <c r="H179" s="532"/>
    </row>
    <row r="180" spans="1:8" ht="12.75">
      <c r="A180" s="532"/>
      <c r="B180" s="532"/>
      <c r="C180" s="532"/>
      <c r="D180" s="532"/>
      <c r="E180" s="532"/>
      <c r="F180" s="532"/>
      <c r="G180" s="532"/>
      <c r="H180" s="532"/>
    </row>
    <row r="181" spans="1:8" ht="12.75">
      <c r="A181" s="532"/>
      <c r="B181" s="532"/>
      <c r="C181" s="532"/>
      <c r="D181" s="532"/>
      <c r="E181" s="532"/>
      <c r="F181" s="532"/>
      <c r="G181" s="532"/>
      <c r="H181" s="532"/>
    </row>
    <row r="182" spans="1:8" ht="12.75">
      <c r="A182" s="532"/>
      <c r="B182" s="532"/>
      <c r="C182" s="532"/>
      <c r="D182" s="532"/>
      <c r="E182" s="532"/>
      <c r="F182" s="532"/>
      <c r="G182" s="532"/>
      <c r="H182" s="532"/>
    </row>
    <row r="183" spans="1:8" ht="12.75">
      <c r="A183" s="532"/>
      <c r="B183" s="532"/>
      <c r="C183" s="532"/>
      <c r="D183" s="532"/>
      <c r="E183" s="532"/>
      <c r="F183" s="532"/>
      <c r="G183" s="532"/>
      <c r="H183" s="532"/>
    </row>
    <row r="184" spans="1:8" ht="12.75">
      <c r="A184" s="532"/>
      <c r="B184" s="532"/>
      <c r="C184" s="532"/>
      <c r="D184" s="532"/>
      <c r="E184" s="532"/>
      <c r="F184" s="532"/>
      <c r="G184" s="532"/>
      <c r="H184" s="532"/>
    </row>
    <row r="185" spans="1:8" ht="12.75">
      <c r="A185" s="532"/>
      <c r="B185" s="532"/>
      <c r="C185" s="532"/>
      <c r="D185" s="532"/>
      <c r="E185" s="532"/>
      <c r="F185" s="532"/>
      <c r="G185" s="532"/>
      <c r="H185" s="532"/>
    </row>
    <row r="186" spans="1:8" ht="12.75">
      <c r="A186" s="532"/>
      <c r="B186" s="532"/>
      <c r="C186" s="532"/>
      <c r="D186" s="532"/>
      <c r="E186" s="532"/>
      <c r="F186" s="532"/>
      <c r="G186" s="532"/>
      <c r="H186" s="532"/>
    </row>
    <row r="187" spans="1:8" ht="12.75">
      <c r="A187" s="532"/>
      <c r="B187" s="532"/>
      <c r="C187" s="532"/>
      <c r="D187" s="532"/>
      <c r="E187" s="532"/>
      <c r="F187" s="532"/>
      <c r="G187" s="532"/>
      <c r="H187" s="532"/>
    </row>
    <row r="188" spans="1:8" ht="12.75">
      <c r="A188" s="532"/>
      <c r="B188" s="532"/>
      <c r="C188" s="532"/>
      <c r="D188" s="532"/>
      <c r="E188" s="532"/>
      <c r="F188" s="532"/>
      <c r="G188" s="532"/>
      <c r="H188" s="532"/>
    </row>
    <row r="189" spans="1:8" ht="12.75">
      <c r="A189" s="532"/>
      <c r="B189" s="532"/>
      <c r="C189" s="532"/>
      <c r="D189" s="532"/>
      <c r="E189" s="532"/>
      <c r="F189" s="532"/>
      <c r="G189" s="532"/>
      <c r="H189" s="532"/>
    </row>
    <row r="190" spans="1:8" ht="12.75">
      <c r="A190" s="532"/>
      <c r="B190" s="532"/>
      <c r="C190" s="532"/>
      <c r="D190" s="532"/>
      <c r="E190" s="532"/>
      <c r="F190" s="532"/>
      <c r="G190" s="532"/>
      <c r="H190" s="532"/>
    </row>
    <row r="191" spans="1:8" ht="12.75">
      <c r="A191" s="532"/>
      <c r="B191" s="532"/>
      <c r="C191" s="532"/>
      <c r="D191" s="532"/>
      <c r="E191" s="532"/>
      <c r="F191" s="532"/>
      <c r="G191" s="532"/>
      <c r="H191" s="532"/>
    </row>
    <row r="192" spans="1:8" ht="12.75">
      <c r="A192" s="532"/>
      <c r="B192" s="532"/>
      <c r="C192" s="532"/>
      <c r="D192" s="532"/>
      <c r="E192" s="532"/>
      <c r="F192" s="532"/>
      <c r="G192" s="532"/>
      <c r="H192" s="532"/>
    </row>
    <row r="193" spans="1:8" ht="12.75">
      <c r="A193" s="532"/>
      <c r="B193" s="532"/>
      <c r="C193" s="532"/>
      <c r="D193" s="532"/>
      <c r="E193" s="532"/>
      <c r="F193" s="532"/>
      <c r="G193" s="532"/>
      <c r="H193" s="532"/>
    </row>
    <row r="194" spans="1:8" ht="12.75">
      <c r="A194" s="532"/>
      <c r="B194" s="532"/>
      <c r="C194" s="532"/>
      <c r="D194" s="532"/>
      <c r="E194" s="532"/>
      <c r="F194" s="532"/>
      <c r="G194" s="532"/>
      <c r="H194" s="532"/>
    </row>
    <row r="195" spans="1:8" ht="12.75">
      <c r="A195" s="532"/>
      <c r="B195" s="532"/>
      <c r="C195" s="532"/>
      <c r="D195" s="532"/>
      <c r="E195" s="532"/>
      <c r="F195" s="532"/>
      <c r="G195" s="532"/>
      <c r="H195" s="532"/>
    </row>
    <row r="196" spans="1:8" ht="12.75">
      <c r="A196" s="532"/>
      <c r="B196" s="532"/>
      <c r="C196" s="532"/>
      <c r="D196" s="532"/>
      <c r="E196" s="532"/>
      <c r="F196" s="532"/>
      <c r="G196" s="532"/>
      <c r="H196" s="532"/>
    </row>
    <row r="197" spans="1:8" ht="12.75">
      <c r="A197" s="532"/>
      <c r="B197" s="532"/>
      <c r="C197" s="532"/>
      <c r="D197" s="532"/>
      <c r="E197" s="532"/>
      <c r="F197" s="532"/>
      <c r="G197" s="532"/>
      <c r="H197" s="532"/>
    </row>
    <row r="198" spans="1:8" ht="12.75">
      <c r="A198" s="532"/>
      <c r="B198" s="532"/>
      <c r="C198" s="532"/>
      <c r="D198" s="532"/>
      <c r="E198" s="532"/>
      <c r="F198" s="532"/>
      <c r="G198" s="532"/>
      <c r="H198" s="532"/>
    </row>
    <row r="199" spans="1:8" ht="12.75">
      <c r="A199" s="532"/>
      <c r="B199" s="532"/>
      <c r="C199" s="532"/>
      <c r="D199" s="532"/>
      <c r="E199" s="532"/>
      <c r="F199" s="532"/>
      <c r="G199" s="532"/>
      <c r="H199" s="532"/>
    </row>
    <row r="200" spans="1:8" ht="12.75">
      <c r="A200" s="532"/>
      <c r="B200" s="532"/>
      <c r="C200" s="532"/>
      <c r="D200" s="532"/>
      <c r="E200" s="532"/>
      <c r="F200" s="532"/>
      <c r="G200" s="532"/>
      <c r="H200" s="532"/>
    </row>
    <row r="201" spans="1:8" ht="12.75">
      <c r="A201" s="532"/>
      <c r="B201" s="532"/>
      <c r="C201" s="532"/>
      <c r="D201" s="532"/>
      <c r="E201" s="532"/>
      <c r="F201" s="532"/>
      <c r="G201" s="532"/>
      <c r="H201" s="532"/>
    </row>
    <row r="202" spans="1:8" ht="12.75">
      <c r="A202" s="532"/>
      <c r="B202" s="532"/>
      <c r="C202" s="532"/>
      <c r="D202" s="532"/>
      <c r="E202" s="532"/>
      <c r="F202" s="532"/>
      <c r="G202" s="532"/>
      <c r="H202" s="532"/>
    </row>
    <row r="203" spans="1:8" ht="12.75">
      <c r="A203" s="532"/>
      <c r="B203" s="532"/>
      <c r="C203" s="532"/>
      <c r="D203" s="532"/>
      <c r="E203" s="532"/>
      <c r="F203" s="532"/>
      <c r="G203" s="532"/>
      <c r="H203" s="532"/>
    </row>
    <row r="204" spans="1:8" ht="12.75">
      <c r="A204" s="532"/>
      <c r="B204" s="532"/>
      <c r="C204" s="532"/>
      <c r="D204" s="532"/>
      <c r="E204" s="532"/>
      <c r="F204" s="532"/>
      <c r="G204" s="532"/>
      <c r="H204" s="532"/>
    </row>
    <row r="205" spans="1:8" ht="12.75">
      <c r="A205" s="532"/>
      <c r="B205" s="532"/>
      <c r="C205" s="532"/>
      <c r="D205" s="532"/>
      <c r="E205" s="532"/>
      <c r="F205" s="532"/>
      <c r="G205" s="532"/>
      <c r="H205" s="532"/>
    </row>
    <row r="206" spans="1:8" ht="12.75">
      <c r="A206" s="532"/>
      <c r="B206" s="532"/>
      <c r="C206" s="532"/>
      <c r="D206" s="532"/>
      <c r="E206" s="532"/>
      <c r="F206" s="532"/>
      <c r="G206" s="532"/>
      <c r="H206" s="532"/>
    </row>
    <row r="207" spans="1:8" ht="12.75">
      <c r="A207" s="532"/>
      <c r="B207" s="532"/>
      <c r="C207" s="532"/>
      <c r="D207" s="532"/>
      <c r="E207" s="532"/>
      <c r="F207" s="532"/>
      <c r="G207" s="532"/>
      <c r="H207" s="532"/>
    </row>
    <row r="208" spans="1:8" ht="12.75">
      <c r="A208" s="532"/>
      <c r="B208" s="532"/>
      <c r="C208" s="532"/>
      <c r="D208" s="532"/>
      <c r="E208" s="532"/>
      <c r="F208" s="532"/>
      <c r="G208" s="532"/>
      <c r="H208" s="532"/>
    </row>
    <row r="209" spans="1:8" ht="12.75">
      <c r="A209" s="532"/>
      <c r="B209" s="532"/>
      <c r="C209" s="532"/>
      <c r="D209" s="532"/>
      <c r="E209" s="532"/>
      <c r="F209" s="532"/>
      <c r="G209" s="532"/>
      <c r="H209" s="532"/>
    </row>
    <row r="210" spans="1:8" ht="12.75">
      <c r="A210" s="532"/>
      <c r="B210" s="532"/>
      <c r="C210" s="532"/>
      <c r="D210" s="532"/>
      <c r="E210" s="532"/>
      <c r="F210" s="532"/>
      <c r="G210" s="532"/>
      <c r="H210" s="532"/>
    </row>
    <row r="211" spans="1:8" ht="12.75">
      <c r="A211" s="532"/>
      <c r="B211" s="532"/>
      <c r="C211" s="532"/>
      <c r="D211" s="532"/>
      <c r="E211" s="532"/>
      <c r="F211" s="532"/>
      <c r="G211" s="532"/>
      <c r="H211" s="532"/>
    </row>
    <row r="212" spans="1:8" ht="12.75">
      <c r="A212" s="532"/>
      <c r="B212" s="532"/>
      <c r="C212" s="532"/>
      <c r="D212" s="532"/>
      <c r="E212" s="532"/>
      <c r="F212" s="532"/>
      <c r="G212" s="532"/>
      <c r="H212" s="532"/>
    </row>
    <row r="213" spans="1:8" ht="12.75">
      <c r="A213" s="532"/>
      <c r="B213" s="532"/>
      <c r="C213" s="532"/>
      <c r="D213" s="532"/>
      <c r="E213" s="532"/>
      <c r="F213" s="532"/>
      <c r="G213" s="532"/>
      <c r="H213" s="532"/>
    </row>
    <row r="214" spans="1:8" ht="12.75">
      <c r="A214" s="532"/>
      <c r="B214" s="532"/>
      <c r="C214" s="532"/>
      <c r="D214" s="532"/>
      <c r="E214" s="532"/>
      <c r="F214" s="532"/>
      <c r="G214" s="532"/>
      <c r="H214" s="532"/>
    </row>
    <row r="215" spans="1:8" ht="12.75">
      <c r="A215" s="532"/>
      <c r="B215" s="532"/>
      <c r="C215" s="532"/>
      <c r="D215" s="532"/>
      <c r="E215" s="532"/>
      <c r="F215" s="532"/>
      <c r="G215" s="532"/>
      <c r="H215" s="532"/>
    </row>
    <row r="216" spans="1:8" ht="12.75">
      <c r="A216" s="532"/>
      <c r="B216" s="532"/>
      <c r="C216" s="532"/>
      <c r="D216" s="532"/>
      <c r="E216" s="532"/>
      <c r="F216" s="532"/>
      <c r="G216" s="532"/>
      <c r="H216" s="532"/>
    </row>
    <row r="217" spans="1:8" ht="12.75">
      <c r="A217" s="532"/>
      <c r="B217" s="532"/>
      <c r="C217" s="532"/>
      <c r="D217" s="532"/>
      <c r="E217" s="532"/>
      <c r="F217" s="532"/>
      <c r="G217" s="532"/>
      <c r="H217" s="532"/>
    </row>
    <row r="218" spans="1:8" ht="12.75">
      <c r="A218" s="532"/>
      <c r="B218" s="532"/>
      <c r="C218" s="532"/>
      <c r="D218" s="532"/>
      <c r="E218" s="532"/>
      <c r="F218" s="532"/>
      <c r="G218" s="532"/>
      <c r="H218" s="532"/>
    </row>
    <row r="219" spans="1:8" ht="12.75">
      <c r="A219" s="532"/>
      <c r="B219" s="532"/>
      <c r="C219" s="532"/>
      <c r="D219" s="532"/>
      <c r="E219" s="532"/>
      <c r="F219" s="532"/>
      <c r="G219" s="532"/>
      <c r="H219" s="532"/>
    </row>
    <row r="220" spans="1:8" ht="12.75">
      <c r="A220" s="532"/>
      <c r="B220" s="532"/>
      <c r="C220" s="532"/>
      <c r="D220" s="532"/>
      <c r="E220" s="532"/>
      <c r="F220" s="532"/>
      <c r="G220" s="532"/>
      <c r="H220" s="532"/>
    </row>
    <row r="221" spans="1:8" ht="12.75">
      <c r="A221" s="532"/>
      <c r="B221" s="532"/>
      <c r="C221" s="532"/>
      <c r="D221" s="532"/>
      <c r="E221" s="532"/>
      <c r="F221" s="532"/>
      <c r="G221" s="532"/>
      <c r="H221" s="532"/>
    </row>
    <row r="222" spans="1:8" ht="12.75">
      <c r="A222" s="532"/>
      <c r="B222" s="532"/>
      <c r="C222" s="532"/>
      <c r="D222" s="532"/>
      <c r="E222" s="532"/>
      <c r="F222" s="532"/>
      <c r="G222" s="532"/>
      <c r="H222" s="532"/>
    </row>
    <row r="223" spans="1:8" ht="12.75">
      <c r="A223" s="532"/>
      <c r="B223" s="532"/>
      <c r="C223" s="532"/>
      <c r="D223" s="532"/>
      <c r="E223" s="532"/>
      <c r="F223" s="532"/>
      <c r="G223" s="532"/>
      <c r="H223" s="532"/>
    </row>
    <row r="224" spans="1:8" ht="12.75">
      <c r="A224" s="532"/>
      <c r="B224" s="532"/>
      <c r="C224" s="532"/>
      <c r="D224" s="532"/>
      <c r="E224" s="532"/>
      <c r="F224" s="532"/>
      <c r="G224" s="532"/>
      <c r="H224" s="532"/>
    </row>
    <row r="225" spans="1:8" ht="12.75">
      <c r="A225" s="532"/>
      <c r="B225" s="532"/>
      <c r="C225" s="532"/>
      <c r="D225" s="532"/>
      <c r="E225" s="532"/>
      <c r="F225" s="532"/>
      <c r="G225" s="532"/>
      <c r="H225" s="532"/>
    </row>
    <row r="226" spans="1:8" ht="12.75">
      <c r="A226" s="532"/>
      <c r="B226" s="532"/>
      <c r="C226" s="532"/>
      <c r="D226" s="532"/>
      <c r="E226" s="532"/>
      <c r="F226" s="532"/>
      <c r="G226" s="532"/>
      <c r="H226" s="532"/>
    </row>
    <row r="227" spans="1:8" ht="12.75">
      <c r="A227" s="532"/>
      <c r="B227" s="532"/>
      <c r="C227" s="532"/>
      <c r="D227" s="532"/>
      <c r="E227" s="532"/>
      <c r="F227" s="532"/>
      <c r="G227" s="532"/>
      <c r="H227" s="532"/>
    </row>
    <row r="228" spans="1:8" ht="12.75">
      <c r="A228" s="532"/>
      <c r="B228" s="532"/>
      <c r="C228" s="532"/>
      <c r="D228" s="532"/>
      <c r="E228" s="532"/>
      <c r="F228" s="532"/>
      <c r="G228" s="532"/>
      <c r="H228" s="532"/>
    </row>
    <row r="229" spans="1:8" ht="12.75">
      <c r="A229" s="532"/>
      <c r="B229" s="532"/>
      <c r="C229" s="532"/>
      <c r="D229" s="532"/>
      <c r="E229" s="532"/>
      <c r="F229" s="532"/>
      <c r="G229" s="532"/>
      <c r="H229" s="532"/>
    </row>
    <row r="230" spans="1:8" ht="12.75">
      <c r="A230" s="532"/>
      <c r="B230" s="532"/>
      <c r="C230" s="532"/>
      <c r="D230" s="532"/>
      <c r="E230" s="532"/>
      <c r="F230" s="532"/>
      <c r="G230" s="532"/>
      <c r="H230" s="532"/>
    </row>
    <row r="231" spans="1:8" ht="12.75">
      <c r="A231" s="532"/>
      <c r="B231" s="532"/>
      <c r="C231" s="532"/>
      <c r="D231" s="532"/>
      <c r="E231" s="532"/>
      <c r="F231" s="532"/>
      <c r="G231" s="532"/>
      <c r="H231" s="532"/>
    </row>
    <row r="232" spans="1:8" ht="12.75">
      <c r="A232" s="532"/>
      <c r="B232" s="532"/>
      <c r="C232" s="532"/>
      <c r="D232" s="532"/>
      <c r="E232" s="532"/>
      <c r="F232" s="532"/>
      <c r="G232" s="532"/>
      <c r="H232" s="532"/>
    </row>
    <row r="233" spans="1:8" ht="12.75">
      <c r="A233" s="532"/>
      <c r="B233" s="532"/>
      <c r="C233" s="532"/>
      <c r="D233" s="532"/>
      <c r="E233" s="532"/>
      <c r="F233" s="532"/>
      <c r="G233" s="532"/>
      <c r="H233" s="532"/>
    </row>
    <row r="234" spans="1:8" ht="12.75">
      <c r="A234" s="532"/>
      <c r="B234" s="532"/>
      <c r="C234" s="532"/>
      <c r="D234" s="532"/>
      <c r="E234" s="532"/>
      <c r="F234" s="532"/>
      <c r="G234" s="532"/>
      <c r="H234" s="532"/>
    </row>
    <row r="235" spans="1:8" ht="12.75">
      <c r="A235" s="532"/>
      <c r="B235" s="532"/>
      <c r="C235" s="532"/>
      <c r="D235" s="532"/>
      <c r="E235" s="532"/>
      <c r="F235" s="532"/>
      <c r="G235" s="532"/>
      <c r="H235" s="532"/>
    </row>
    <row r="236" spans="1:8" ht="12.75">
      <c r="A236" s="532"/>
      <c r="B236" s="532"/>
      <c r="C236" s="532"/>
      <c r="D236" s="532"/>
      <c r="E236" s="532"/>
      <c r="F236" s="532"/>
      <c r="G236" s="532"/>
      <c r="H236" s="532"/>
    </row>
    <row r="237" spans="1:8" ht="12.75">
      <c r="A237" s="532"/>
      <c r="B237" s="532"/>
      <c r="C237" s="532"/>
      <c r="D237" s="532"/>
      <c r="E237" s="532"/>
      <c r="F237" s="532"/>
      <c r="G237" s="532"/>
      <c r="H237" s="532"/>
    </row>
    <row r="238" spans="1:8" ht="12.75">
      <c r="A238" s="532"/>
      <c r="B238" s="532"/>
      <c r="C238" s="532"/>
      <c r="D238" s="532"/>
      <c r="E238" s="532"/>
      <c r="F238" s="532"/>
      <c r="G238" s="532"/>
      <c r="H238" s="532"/>
    </row>
    <row r="239" spans="1:8" ht="12.75">
      <c r="A239" s="532"/>
      <c r="B239" s="532"/>
      <c r="C239" s="532"/>
      <c r="D239" s="532"/>
      <c r="E239" s="532"/>
      <c r="F239" s="532"/>
      <c r="G239" s="532"/>
      <c r="H239" s="532"/>
    </row>
    <row r="240" spans="1:8" ht="12.75">
      <c r="A240" s="532"/>
      <c r="B240" s="532"/>
      <c r="C240" s="532"/>
      <c r="D240" s="532"/>
      <c r="E240" s="532"/>
      <c r="F240" s="532"/>
      <c r="G240" s="532"/>
      <c r="H240" s="532"/>
    </row>
    <row r="241" spans="1:8" ht="12.75">
      <c r="A241" s="532"/>
      <c r="B241" s="532"/>
      <c r="C241" s="532"/>
      <c r="D241" s="532"/>
      <c r="E241" s="532"/>
      <c r="F241" s="532"/>
      <c r="G241" s="532"/>
      <c r="H241" s="532"/>
    </row>
    <row r="242" spans="1:8" ht="12.75">
      <c r="A242" s="532"/>
      <c r="B242" s="532"/>
      <c r="C242" s="532"/>
      <c r="D242" s="532"/>
      <c r="E242" s="532"/>
      <c r="F242" s="532"/>
      <c r="G242" s="532"/>
      <c r="H242" s="532"/>
    </row>
    <row r="243" spans="1:8" ht="12.75">
      <c r="A243" s="532"/>
      <c r="B243" s="532"/>
      <c r="C243" s="532"/>
      <c r="D243" s="532"/>
      <c r="E243" s="532"/>
      <c r="F243" s="532"/>
      <c r="G243" s="532"/>
      <c r="H243" s="532"/>
    </row>
    <row r="244" spans="1:8" ht="12.75">
      <c r="A244" s="532"/>
      <c r="B244" s="532"/>
      <c r="C244" s="532"/>
      <c r="D244" s="532"/>
      <c r="E244" s="532"/>
      <c r="F244" s="532"/>
      <c r="G244" s="532"/>
      <c r="H244" s="532"/>
    </row>
    <row r="245" spans="1:8" ht="12.75">
      <c r="A245" s="532"/>
      <c r="B245" s="532"/>
      <c r="C245" s="532"/>
      <c r="D245" s="532"/>
      <c r="E245" s="532"/>
      <c r="F245" s="532"/>
      <c r="G245" s="532"/>
      <c r="H245" s="532"/>
    </row>
    <row r="246" spans="1:8" ht="12.75">
      <c r="A246" s="532"/>
      <c r="B246" s="532"/>
      <c r="C246" s="532"/>
      <c r="D246" s="532"/>
      <c r="E246" s="532"/>
      <c r="F246" s="532"/>
      <c r="G246" s="532"/>
      <c r="H246" s="532"/>
    </row>
    <row r="247" spans="1:8" ht="12.75">
      <c r="A247" s="532"/>
      <c r="B247" s="532"/>
      <c r="C247" s="532"/>
      <c r="D247" s="532"/>
      <c r="E247" s="532"/>
      <c r="F247" s="532"/>
      <c r="G247" s="532"/>
      <c r="H247" s="532"/>
    </row>
    <row r="248" spans="1:8" ht="12.75">
      <c r="A248" s="532"/>
      <c r="B248" s="532"/>
      <c r="C248" s="532"/>
      <c r="D248" s="532"/>
      <c r="E248" s="532"/>
      <c r="F248" s="532"/>
      <c r="G248" s="532"/>
      <c r="H248" s="532"/>
    </row>
    <row r="249" spans="1:8" ht="12.75">
      <c r="A249" s="532"/>
      <c r="B249" s="532"/>
      <c r="C249" s="532"/>
      <c r="D249" s="532"/>
      <c r="E249" s="532"/>
      <c r="F249" s="532"/>
      <c r="G249" s="532"/>
      <c r="H249" s="532"/>
    </row>
    <row r="250" spans="1:8" ht="12.75">
      <c r="A250" s="532"/>
      <c r="B250" s="532"/>
      <c r="C250" s="532"/>
      <c r="D250" s="532"/>
      <c r="E250" s="532"/>
      <c r="F250" s="532"/>
      <c r="G250" s="532"/>
      <c r="H250" s="532"/>
    </row>
    <row r="251" spans="1:8" ht="12.75">
      <c r="A251" s="532"/>
      <c r="B251" s="532"/>
      <c r="C251" s="532"/>
      <c r="D251" s="532"/>
      <c r="E251" s="532"/>
      <c r="F251" s="532"/>
      <c r="G251" s="532"/>
      <c r="H251" s="532"/>
    </row>
    <row r="252" spans="1:8" ht="12.75">
      <c r="A252" s="532"/>
      <c r="B252" s="532"/>
      <c r="C252" s="532"/>
      <c r="D252" s="532"/>
      <c r="E252" s="532"/>
      <c r="F252" s="532"/>
      <c r="G252" s="532"/>
      <c r="H252" s="532"/>
    </row>
    <row r="253" spans="1:8" ht="12.75">
      <c r="A253" s="532"/>
      <c r="B253" s="532"/>
      <c r="C253" s="532"/>
      <c r="D253" s="532"/>
      <c r="E253" s="532"/>
      <c r="F253" s="532"/>
      <c r="G253" s="532"/>
      <c r="H253" s="532"/>
    </row>
    <row r="254" spans="1:8" ht="12.75">
      <c r="A254" s="532"/>
      <c r="B254" s="532"/>
      <c r="C254" s="532"/>
      <c r="D254" s="532"/>
      <c r="E254" s="532"/>
      <c r="F254" s="532"/>
      <c r="G254" s="532"/>
      <c r="H254" s="532"/>
    </row>
    <row r="255" spans="1:8" ht="12.75">
      <c r="A255" s="532"/>
      <c r="B255" s="532"/>
      <c r="C255" s="532"/>
      <c r="D255" s="532"/>
      <c r="E255" s="532"/>
      <c r="F255" s="532"/>
      <c r="G255" s="532"/>
      <c r="H255" s="532"/>
    </row>
    <row r="256" spans="1:8" ht="12.75">
      <c r="A256" s="532"/>
      <c r="B256" s="532"/>
      <c r="C256" s="532"/>
      <c r="D256" s="532"/>
      <c r="E256" s="532"/>
      <c r="F256" s="532"/>
      <c r="G256" s="532"/>
      <c r="H256" s="532"/>
    </row>
    <row r="257" spans="1:8" ht="12.75">
      <c r="A257" s="532"/>
      <c r="B257" s="532"/>
      <c r="C257" s="532"/>
      <c r="D257" s="532"/>
      <c r="E257" s="532"/>
      <c r="F257" s="532"/>
      <c r="G257" s="532"/>
      <c r="H257" s="532"/>
    </row>
    <row r="258" spans="1:8" ht="12.75">
      <c r="A258" s="532"/>
      <c r="B258" s="532"/>
      <c r="C258" s="532"/>
      <c r="D258" s="532"/>
      <c r="E258" s="532"/>
      <c r="F258" s="532"/>
      <c r="G258" s="532"/>
      <c r="H258" s="532"/>
    </row>
    <row r="259" spans="1:8" ht="12.75">
      <c r="A259" s="532"/>
      <c r="B259" s="532"/>
      <c r="C259" s="532"/>
      <c r="D259" s="532"/>
      <c r="E259" s="532"/>
      <c r="F259" s="532"/>
      <c r="G259" s="532"/>
      <c r="H259" s="532"/>
    </row>
    <row r="260" spans="1:8" ht="12.75">
      <c r="A260" s="532"/>
      <c r="B260" s="532"/>
      <c r="C260" s="532"/>
      <c r="D260" s="532"/>
      <c r="E260" s="532"/>
      <c r="F260" s="532"/>
      <c r="G260" s="532"/>
      <c r="H260" s="532"/>
    </row>
    <row r="261" spans="1:8" ht="12.75">
      <c r="A261" s="532"/>
      <c r="B261" s="532"/>
      <c r="C261" s="532"/>
      <c r="D261" s="532"/>
      <c r="E261" s="532"/>
      <c r="F261" s="532"/>
      <c r="G261" s="532"/>
      <c r="H261" s="532"/>
    </row>
    <row r="262" spans="1:8" ht="12.75">
      <c r="A262" s="532"/>
      <c r="B262" s="532"/>
      <c r="C262" s="532"/>
      <c r="D262" s="532"/>
      <c r="E262" s="532"/>
      <c r="F262" s="532"/>
      <c r="G262" s="532"/>
      <c r="H262" s="532"/>
    </row>
    <row r="263" spans="1:8" ht="12.75">
      <c r="A263" s="532"/>
      <c r="B263" s="532"/>
      <c r="C263" s="532"/>
      <c r="D263" s="532"/>
      <c r="E263" s="532"/>
      <c r="F263" s="532"/>
      <c r="G263" s="532"/>
      <c r="H263" s="532"/>
    </row>
    <row r="264" spans="1:8" ht="12.75">
      <c r="A264" s="532"/>
      <c r="B264" s="532"/>
      <c r="C264" s="532"/>
      <c r="D264" s="532"/>
      <c r="E264" s="532"/>
      <c r="F264" s="532"/>
      <c r="G264" s="532"/>
      <c r="H264" s="532"/>
    </row>
    <row r="265" spans="1:8" ht="12.75">
      <c r="A265" s="532"/>
      <c r="B265" s="532"/>
      <c r="C265" s="532"/>
      <c r="D265" s="532"/>
      <c r="E265" s="532"/>
      <c r="F265" s="532"/>
      <c r="G265" s="532"/>
      <c r="H265" s="532"/>
    </row>
    <row r="266" spans="1:8" ht="12.75">
      <c r="A266" s="532"/>
      <c r="B266" s="532"/>
      <c r="C266" s="532"/>
      <c r="D266" s="532"/>
      <c r="E266" s="532"/>
      <c r="F266" s="532"/>
      <c r="G266" s="532"/>
      <c r="H266" s="532"/>
    </row>
    <row r="267" spans="1:8" ht="12.75">
      <c r="A267" s="532"/>
      <c r="B267" s="532"/>
      <c r="C267" s="532"/>
      <c r="D267" s="532"/>
      <c r="E267" s="532"/>
      <c r="F267" s="532"/>
      <c r="G267" s="532"/>
      <c r="H267" s="532"/>
    </row>
    <row r="268" spans="1:8" ht="12.75">
      <c r="A268" s="532"/>
      <c r="B268" s="532"/>
      <c r="C268" s="532"/>
      <c r="D268" s="532"/>
      <c r="E268" s="532"/>
      <c r="F268" s="532"/>
      <c r="G268" s="532"/>
      <c r="H268" s="532"/>
    </row>
    <row r="269" spans="1:8" ht="12.75">
      <c r="A269" s="532"/>
      <c r="B269" s="532"/>
      <c r="C269" s="532"/>
      <c r="D269" s="532"/>
      <c r="E269" s="532"/>
      <c r="F269" s="532"/>
      <c r="G269" s="532"/>
      <c r="H269" s="532"/>
    </row>
    <row r="270" spans="1:8" ht="12.75">
      <c r="A270" s="532"/>
      <c r="B270" s="532"/>
      <c r="C270" s="532"/>
      <c r="D270" s="532"/>
      <c r="E270" s="532"/>
      <c r="F270" s="532"/>
      <c r="G270" s="532"/>
      <c r="H270" s="532"/>
    </row>
    <row r="271" spans="1:8" ht="12.75">
      <c r="A271" s="532"/>
      <c r="B271" s="532"/>
      <c r="C271" s="532"/>
      <c r="D271" s="532"/>
      <c r="E271" s="532"/>
      <c r="F271" s="532"/>
      <c r="G271" s="532"/>
      <c r="H271" s="532"/>
    </row>
    <row r="272" spans="1:8" ht="12.75">
      <c r="A272" s="532"/>
      <c r="B272" s="532"/>
      <c r="C272" s="532"/>
      <c r="D272" s="532"/>
      <c r="E272" s="532"/>
      <c r="F272" s="532"/>
      <c r="G272" s="532"/>
      <c r="H272" s="532"/>
    </row>
    <row r="273" spans="1:8" ht="12.75">
      <c r="A273" s="532"/>
      <c r="B273" s="532"/>
      <c r="C273" s="532"/>
      <c r="D273" s="532"/>
      <c r="E273" s="532"/>
      <c r="F273" s="532"/>
      <c r="G273" s="532"/>
      <c r="H273" s="532"/>
    </row>
    <row r="274" spans="1:8" ht="12.75">
      <c r="A274" s="532"/>
      <c r="B274" s="532"/>
      <c r="C274" s="532"/>
      <c r="D274" s="532"/>
      <c r="E274" s="532"/>
      <c r="F274" s="532"/>
      <c r="G274" s="532"/>
      <c r="H274" s="532"/>
    </row>
    <row r="275" spans="1:8" ht="12.75">
      <c r="A275" s="532"/>
      <c r="B275" s="532"/>
      <c r="C275" s="532"/>
      <c r="D275" s="532"/>
      <c r="E275" s="532"/>
      <c r="F275" s="532"/>
      <c r="G275" s="532"/>
      <c r="H275" s="532"/>
    </row>
    <row r="276" spans="1:8" ht="12.75">
      <c r="A276" s="532"/>
      <c r="B276" s="532"/>
      <c r="C276" s="532"/>
      <c r="D276" s="532"/>
      <c r="E276" s="532"/>
      <c r="F276" s="532"/>
      <c r="G276" s="532"/>
      <c r="H276" s="532"/>
    </row>
    <row r="277" spans="1:8" ht="12.75">
      <c r="A277" s="532"/>
      <c r="B277" s="532"/>
      <c r="C277" s="532"/>
      <c r="D277" s="532"/>
      <c r="E277" s="532"/>
      <c r="F277" s="532"/>
      <c r="G277" s="532"/>
      <c r="H277" s="532"/>
    </row>
    <row r="278" spans="1:8" ht="12.75">
      <c r="A278" s="532"/>
      <c r="B278" s="532"/>
      <c r="C278" s="532"/>
      <c r="D278" s="532"/>
      <c r="E278" s="532"/>
      <c r="F278" s="532"/>
      <c r="G278" s="532"/>
      <c r="H278" s="532"/>
    </row>
    <row r="279" spans="1:8" ht="12.75">
      <c r="A279" s="532"/>
      <c r="B279" s="532"/>
      <c r="C279" s="532"/>
      <c r="D279" s="532"/>
      <c r="E279" s="532"/>
      <c r="F279" s="532"/>
      <c r="G279" s="532"/>
      <c r="H279" s="532"/>
    </row>
    <row r="280" spans="1:8" ht="12.75">
      <c r="A280" s="532"/>
      <c r="B280" s="532"/>
      <c r="C280" s="532"/>
      <c r="D280" s="532"/>
      <c r="E280" s="532"/>
      <c r="F280" s="532"/>
      <c r="G280" s="532"/>
      <c r="H280" s="532"/>
    </row>
    <row r="281" spans="1:8" ht="12.75">
      <c r="A281" s="532"/>
      <c r="B281" s="532"/>
      <c r="C281" s="532"/>
      <c r="D281" s="532"/>
      <c r="E281" s="532"/>
      <c r="F281" s="532"/>
      <c r="G281" s="532"/>
      <c r="H281" s="532"/>
    </row>
    <row r="282" spans="1:8" ht="12.75">
      <c r="A282" s="532"/>
      <c r="B282" s="532"/>
      <c r="C282" s="532"/>
      <c r="D282" s="532"/>
      <c r="E282" s="532"/>
      <c r="F282" s="532"/>
      <c r="G282" s="532"/>
      <c r="H282" s="532"/>
    </row>
    <row r="283" spans="1:8" ht="12.75">
      <c r="A283" s="532"/>
      <c r="B283" s="532"/>
      <c r="C283" s="532"/>
      <c r="D283" s="532"/>
      <c r="E283" s="532"/>
      <c r="F283" s="532"/>
      <c r="G283" s="532"/>
      <c r="H283" s="532"/>
    </row>
    <row r="284" spans="1:8" ht="12.75">
      <c r="A284" s="532"/>
      <c r="B284" s="532"/>
      <c r="C284" s="532"/>
      <c r="D284" s="532"/>
      <c r="E284" s="532"/>
      <c r="F284" s="532"/>
      <c r="G284" s="532"/>
      <c r="H284" s="532"/>
    </row>
    <row r="285" spans="1:8" ht="12.75">
      <c r="A285" s="532"/>
      <c r="B285" s="532"/>
      <c r="C285" s="532"/>
      <c r="D285" s="532"/>
      <c r="E285" s="532"/>
      <c r="F285" s="532"/>
      <c r="G285" s="532"/>
      <c r="H285" s="532"/>
    </row>
    <row r="286" spans="1:8" ht="12.75">
      <c r="A286" s="532"/>
      <c r="B286" s="532"/>
      <c r="C286" s="532"/>
      <c r="D286" s="532"/>
      <c r="E286" s="532"/>
      <c r="F286" s="532"/>
      <c r="G286" s="532"/>
      <c r="H286" s="532"/>
    </row>
    <row r="287" spans="1:8" ht="12.75">
      <c r="A287" s="532"/>
      <c r="B287" s="532"/>
      <c r="C287" s="532"/>
      <c r="D287" s="532"/>
      <c r="E287" s="532"/>
      <c r="F287" s="532"/>
      <c r="G287" s="532"/>
      <c r="H287" s="532"/>
    </row>
    <row r="288" spans="1:8" ht="12.75">
      <c r="A288" s="532"/>
      <c r="B288" s="532"/>
      <c r="C288" s="532"/>
      <c r="D288" s="532"/>
      <c r="E288" s="532"/>
      <c r="F288" s="532"/>
      <c r="G288" s="532"/>
      <c r="H288" s="532"/>
    </row>
    <row r="289" spans="1:8" ht="12.75">
      <c r="A289" s="532"/>
      <c r="B289" s="532"/>
      <c r="C289" s="532"/>
      <c r="D289" s="532"/>
      <c r="E289" s="532"/>
      <c r="F289" s="532"/>
      <c r="G289" s="532"/>
      <c r="H289" s="532"/>
    </row>
    <row r="290" spans="1:8" ht="12.75">
      <c r="A290" s="532"/>
      <c r="B290" s="532"/>
      <c r="C290" s="532"/>
      <c r="D290" s="532"/>
      <c r="E290" s="532"/>
      <c r="F290" s="532"/>
      <c r="G290" s="532"/>
      <c r="H290" s="532"/>
    </row>
    <row r="291" spans="1:8" ht="12.75">
      <c r="A291" s="532"/>
      <c r="B291" s="532"/>
      <c r="C291" s="532"/>
      <c r="D291" s="532"/>
      <c r="E291" s="532"/>
      <c r="F291" s="532"/>
      <c r="G291" s="532"/>
      <c r="H291" s="532"/>
    </row>
    <row r="292" spans="1:8" ht="12.75">
      <c r="A292" s="532"/>
      <c r="B292" s="532"/>
      <c r="C292" s="532"/>
      <c r="D292" s="532"/>
      <c r="E292" s="532"/>
      <c r="F292" s="532"/>
      <c r="G292" s="532"/>
      <c r="H292" s="532"/>
    </row>
    <row r="293" spans="1:8" ht="12.75">
      <c r="A293" s="532"/>
      <c r="B293" s="532"/>
      <c r="C293" s="532"/>
      <c r="D293" s="532"/>
      <c r="E293" s="532"/>
      <c r="F293" s="532"/>
      <c r="G293" s="532"/>
      <c r="H293" s="532"/>
    </row>
    <row r="294" spans="1:8" ht="12.75">
      <c r="A294" s="532"/>
      <c r="B294" s="532"/>
      <c r="C294" s="532"/>
      <c r="D294" s="532"/>
      <c r="E294" s="532"/>
      <c r="F294" s="532"/>
      <c r="G294" s="532"/>
      <c r="H294" s="532"/>
    </row>
    <row r="295" spans="1:8" ht="12.75">
      <c r="A295" s="532"/>
      <c r="B295" s="532"/>
      <c r="C295" s="532"/>
      <c r="D295" s="532"/>
      <c r="E295" s="532"/>
      <c r="F295" s="532"/>
      <c r="G295" s="532"/>
      <c r="H295" s="532"/>
    </row>
    <row r="296" spans="1:8" ht="12.75">
      <c r="A296" s="532"/>
      <c r="B296" s="532"/>
      <c r="C296" s="532"/>
      <c r="D296" s="532"/>
      <c r="E296" s="532"/>
      <c r="F296" s="532"/>
      <c r="G296" s="532"/>
      <c r="H296" s="532"/>
    </row>
    <row r="297" spans="1:8" ht="12.75">
      <c r="A297" s="532"/>
      <c r="B297" s="532"/>
      <c r="C297" s="532"/>
      <c r="D297" s="532"/>
      <c r="E297" s="532"/>
      <c r="F297" s="532"/>
      <c r="G297" s="532"/>
      <c r="H297" s="532"/>
    </row>
    <row r="298" spans="1:8" ht="12.75">
      <c r="A298" s="532"/>
      <c r="B298" s="532"/>
      <c r="C298" s="532"/>
      <c r="D298" s="532"/>
      <c r="E298" s="532"/>
      <c r="F298" s="532"/>
      <c r="G298" s="532"/>
      <c r="H298" s="532"/>
    </row>
    <row r="299" spans="1:8" ht="12.75">
      <c r="A299" s="532"/>
      <c r="B299" s="532"/>
      <c r="C299" s="532"/>
      <c r="D299" s="532"/>
      <c r="E299" s="532"/>
      <c r="F299" s="532"/>
      <c r="G299" s="532"/>
      <c r="H299" s="532"/>
    </row>
    <row r="300" spans="1:8" ht="12.75">
      <c r="A300" s="532"/>
      <c r="B300" s="532"/>
      <c r="C300" s="532"/>
      <c r="D300" s="532"/>
      <c r="E300" s="532"/>
      <c r="F300" s="532"/>
      <c r="G300" s="532"/>
      <c r="H300" s="532"/>
    </row>
    <row r="301" spans="1:8" ht="12.75">
      <c r="A301" s="532"/>
      <c r="B301" s="532"/>
      <c r="C301" s="532"/>
      <c r="D301" s="532"/>
      <c r="E301" s="532"/>
      <c r="F301" s="532"/>
      <c r="G301" s="532"/>
      <c r="H301" s="532"/>
    </row>
    <row r="302" spans="1:8" ht="12.75">
      <c r="A302" s="532"/>
      <c r="B302" s="532"/>
      <c r="C302" s="532"/>
      <c r="D302" s="532"/>
      <c r="E302" s="532"/>
      <c r="F302" s="532"/>
      <c r="G302" s="532"/>
      <c r="H302" s="532"/>
    </row>
    <row r="303" spans="1:8" ht="12.75">
      <c r="A303" s="532"/>
      <c r="B303" s="532"/>
      <c r="C303" s="532"/>
      <c r="D303" s="532"/>
      <c r="E303" s="532"/>
      <c r="F303" s="532"/>
      <c r="G303" s="532"/>
      <c r="H303" s="532"/>
    </row>
    <row r="304" spans="1:8" ht="12.75">
      <c r="A304" s="532"/>
      <c r="B304" s="532"/>
      <c r="C304" s="532"/>
      <c r="D304" s="532"/>
      <c r="E304" s="532"/>
      <c r="F304" s="532"/>
      <c r="G304" s="532"/>
      <c r="H304" s="532"/>
    </row>
    <row r="305" spans="1:8" ht="12.75">
      <c r="A305" s="532"/>
      <c r="B305" s="532"/>
      <c r="C305" s="532"/>
      <c r="D305" s="532"/>
      <c r="E305" s="532"/>
      <c r="F305" s="532"/>
      <c r="G305" s="532"/>
      <c r="H305" s="532"/>
    </row>
    <row r="306" spans="1:8" ht="12.75">
      <c r="A306" s="532"/>
      <c r="B306" s="532"/>
      <c r="C306" s="532"/>
      <c r="D306" s="532"/>
      <c r="E306" s="532"/>
      <c r="F306" s="532"/>
      <c r="G306" s="532"/>
      <c r="H306" s="532"/>
    </row>
    <row r="307" spans="1:8" ht="12.75">
      <c r="A307" s="532"/>
      <c r="B307" s="532"/>
      <c r="C307" s="532"/>
      <c r="D307" s="532"/>
      <c r="E307" s="532"/>
      <c r="F307" s="532"/>
      <c r="G307" s="532"/>
      <c r="H307" s="532"/>
    </row>
    <row r="308" spans="1:8" ht="12.75">
      <c r="A308" s="532"/>
      <c r="B308" s="532"/>
      <c r="C308" s="532"/>
      <c r="D308" s="532"/>
      <c r="E308" s="532"/>
      <c r="F308" s="532"/>
      <c r="G308" s="532"/>
      <c r="H308" s="532"/>
    </row>
    <row r="309" spans="1:8" ht="12.75">
      <c r="A309" s="532"/>
      <c r="B309" s="532"/>
      <c r="C309" s="532"/>
      <c r="D309" s="532"/>
      <c r="E309" s="532"/>
      <c r="F309" s="532"/>
      <c r="G309" s="532"/>
      <c r="H309" s="532"/>
    </row>
    <row r="310" spans="1:8" ht="12.75">
      <c r="A310" s="532"/>
      <c r="B310" s="532"/>
      <c r="C310" s="532"/>
      <c r="D310" s="532"/>
      <c r="E310" s="532"/>
      <c r="F310" s="532"/>
      <c r="G310" s="532"/>
      <c r="H310" s="532"/>
    </row>
    <row r="311" spans="1:8" ht="12.75">
      <c r="A311" s="532"/>
      <c r="B311" s="532"/>
      <c r="C311" s="532"/>
      <c r="D311" s="532"/>
      <c r="E311" s="532"/>
      <c r="F311" s="532"/>
      <c r="G311" s="532"/>
      <c r="H311" s="532"/>
    </row>
    <row r="312" spans="1:8" ht="12.75">
      <c r="A312" s="532"/>
      <c r="B312" s="532"/>
      <c r="C312" s="532"/>
      <c r="D312" s="532"/>
      <c r="E312" s="532"/>
      <c r="F312" s="532"/>
      <c r="G312" s="532"/>
      <c r="H312" s="532"/>
    </row>
    <row r="313" spans="1:8" ht="12.75">
      <c r="A313" s="532"/>
      <c r="B313" s="532"/>
      <c r="C313" s="532"/>
      <c r="D313" s="532"/>
      <c r="E313" s="532"/>
      <c r="F313" s="532"/>
      <c r="G313" s="532"/>
      <c r="H313" s="532"/>
    </row>
    <row r="314" spans="1:8" ht="12.75">
      <c r="A314" s="532"/>
      <c r="B314" s="532"/>
      <c r="C314" s="532"/>
      <c r="D314" s="532"/>
      <c r="E314" s="532"/>
      <c r="F314" s="532"/>
      <c r="G314" s="532"/>
      <c r="H314" s="532"/>
    </row>
    <row r="315" spans="1:8" ht="12.75">
      <c r="A315" s="532"/>
      <c r="B315" s="532"/>
      <c r="C315" s="532"/>
      <c r="D315" s="532"/>
      <c r="E315" s="532"/>
      <c r="F315" s="532"/>
      <c r="G315" s="532"/>
      <c r="H315" s="532"/>
    </row>
    <row r="316" spans="1:8" ht="12.75">
      <c r="A316" s="532"/>
      <c r="B316" s="532"/>
      <c r="C316" s="532"/>
      <c r="D316" s="532"/>
      <c r="E316" s="532"/>
      <c r="F316" s="532"/>
      <c r="G316" s="532"/>
      <c r="H316" s="532"/>
    </row>
    <row r="317" spans="1:8" ht="12.75">
      <c r="A317" s="532"/>
      <c r="B317" s="532"/>
      <c r="C317" s="532"/>
      <c r="D317" s="532"/>
      <c r="E317" s="532"/>
      <c r="F317" s="532"/>
      <c r="G317" s="532"/>
      <c r="H317" s="532"/>
    </row>
    <row r="318" spans="1:8" ht="12.75">
      <c r="A318" s="532"/>
      <c r="B318" s="532"/>
      <c r="C318" s="532"/>
      <c r="D318" s="532"/>
      <c r="E318" s="532"/>
      <c r="F318" s="532"/>
      <c r="G318" s="532"/>
      <c r="H318" s="532"/>
    </row>
    <row r="319" spans="1:8" ht="12.75">
      <c r="A319" s="532"/>
      <c r="B319" s="532"/>
      <c r="C319" s="532"/>
      <c r="D319" s="532"/>
      <c r="E319" s="532"/>
      <c r="F319" s="532"/>
      <c r="G319" s="532"/>
      <c r="H319" s="532"/>
    </row>
    <row r="320" spans="1:8" ht="12.75">
      <c r="A320" s="532"/>
      <c r="B320" s="532"/>
      <c r="C320" s="532"/>
      <c r="D320" s="532"/>
      <c r="E320" s="532"/>
      <c r="F320" s="532"/>
      <c r="G320" s="532"/>
      <c r="H320" s="532"/>
    </row>
    <row r="321" spans="1:8" ht="12.75">
      <c r="A321" s="532"/>
      <c r="B321" s="532"/>
      <c r="C321" s="532"/>
      <c r="D321" s="532"/>
      <c r="E321" s="532"/>
      <c r="F321" s="532"/>
      <c r="G321" s="532"/>
      <c r="H321" s="532"/>
    </row>
    <row r="322" spans="1:8" ht="12.75">
      <c r="A322" s="532"/>
      <c r="B322" s="532"/>
      <c r="C322" s="532"/>
      <c r="D322" s="532"/>
      <c r="E322" s="532"/>
      <c r="F322" s="532"/>
      <c r="G322" s="532"/>
      <c r="H322" s="532"/>
    </row>
    <row r="323" spans="1:8" ht="12.75">
      <c r="A323" s="532"/>
      <c r="B323" s="532"/>
      <c r="C323" s="532"/>
      <c r="D323" s="532"/>
      <c r="E323" s="532"/>
      <c r="F323" s="532"/>
      <c r="G323" s="532"/>
      <c r="H323" s="532"/>
    </row>
    <row r="324" spans="1:8" ht="12.75">
      <c r="A324" s="532"/>
      <c r="B324" s="532"/>
      <c r="C324" s="532"/>
      <c r="D324" s="532"/>
      <c r="E324" s="532"/>
      <c r="F324" s="532"/>
      <c r="G324" s="532"/>
      <c r="H324" s="532"/>
    </row>
    <row r="325" spans="1:8" ht="12.75">
      <c r="A325" s="532"/>
      <c r="B325" s="532"/>
      <c r="C325" s="532"/>
      <c r="D325" s="532"/>
      <c r="E325" s="532"/>
      <c r="F325" s="532"/>
      <c r="G325" s="532"/>
      <c r="H325" s="532"/>
    </row>
    <row r="326" spans="1:8" ht="12.75">
      <c r="A326" s="532"/>
      <c r="B326" s="532"/>
      <c r="C326" s="532"/>
      <c r="D326" s="532"/>
      <c r="E326" s="532"/>
      <c r="F326" s="532"/>
      <c r="G326" s="532"/>
      <c r="H326" s="532"/>
    </row>
    <row r="327" spans="1:8" ht="12.75">
      <c r="A327" s="532"/>
      <c r="B327" s="532"/>
      <c r="C327" s="532"/>
      <c r="D327" s="532"/>
      <c r="E327" s="532"/>
      <c r="F327" s="532"/>
      <c r="G327" s="532"/>
      <c r="H327" s="532"/>
    </row>
    <row r="328" spans="1:8" ht="12.75">
      <c r="A328" s="532"/>
      <c r="B328" s="532"/>
      <c r="C328" s="532"/>
      <c r="D328" s="532"/>
      <c r="E328" s="532"/>
      <c r="F328" s="532"/>
      <c r="G328" s="532"/>
      <c r="H328" s="532"/>
    </row>
    <row r="329" spans="1:8" ht="12.75">
      <c r="A329" s="532"/>
      <c r="B329" s="532"/>
      <c r="C329" s="532"/>
      <c r="D329" s="532"/>
      <c r="E329" s="532"/>
      <c r="F329" s="532"/>
      <c r="G329" s="532"/>
      <c r="H329" s="532"/>
    </row>
    <row r="330" spans="1:8" ht="12.75">
      <c r="A330" s="532"/>
      <c r="B330" s="532"/>
      <c r="C330" s="532"/>
      <c r="D330" s="532"/>
      <c r="E330" s="532"/>
      <c r="F330" s="532"/>
      <c r="G330" s="532"/>
      <c r="H330" s="532"/>
    </row>
    <row r="331" spans="1:8" ht="12.75">
      <c r="A331" s="532"/>
      <c r="B331" s="532"/>
      <c r="C331" s="532"/>
      <c r="D331" s="532"/>
      <c r="E331" s="532"/>
      <c r="F331" s="532"/>
      <c r="G331" s="532"/>
      <c r="H331" s="532"/>
    </row>
    <row r="332" spans="1:8" ht="12.75">
      <c r="A332" s="532"/>
      <c r="B332" s="532"/>
      <c r="C332" s="532"/>
      <c r="D332" s="532"/>
      <c r="E332" s="532"/>
      <c r="F332" s="532"/>
      <c r="G332" s="532"/>
      <c r="H332" s="532"/>
    </row>
    <row r="333" spans="1:8" ht="12.75">
      <c r="A333" s="532"/>
      <c r="B333" s="532"/>
      <c r="C333" s="532"/>
      <c r="D333" s="532"/>
      <c r="E333" s="532"/>
      <c r="F333" s="532"/>
      <c r="G333" s="532"/>
      <c r="H333" s="532"/>
    </row>
    <row r="334" spans="1:8" ht="12.75">
      <c r="A334" s="532"/>
      <c r="B334" s="532"/>
      <c r="C334" s="532"/>
      <c r="D334" s="532"/>
      <c r="E334" s="532"/>
      <c r="F334" s="532"/>
      <c r="G334" s="532"/>
      <c r="H334" s="532"/>
    </row>
    <row r="335" spans="1:8" ht="12.75">
      <c r="A335" s="532"/>
      <c r="B335" s="532"/>
      <c r="C335" s="532"/>
      <c r="D335" s="532"/>
      <c r="E335" s="532"/>
      <c r="F335" s="532"/>
      <c r="G335" s="532"/>
      <c r="H335" s="532"/>
    </row>
    <row r="336" spans="1:8" ht="12.75">
      <c r="A336" s="532"/>
      <c r="B336" s="532"/>
      <c r="C336" s="532"/>
      <c r="D336" s="532"/>
      <c r="E336" s="532"/>
      <c r="F336" s="532"/>
      <c r="G336" s="532"/>
      <c r="H336" s="532"/>
    </row>
    <row r="337" spans="1:8" ht="12.75">
      <c r="A337" s="532"/>
      <c r="B337" s="532"/>
      <c r="C337" s="532"/>
      <c r="D337" s="532"/>
      <c r="E337" s="532"/>
      <c r="F337" s="532"/>
      <c r="G337" s="532"/>
      <c r="H337" s="532"/>
    </row>
    <row r="338" spans="1:8" ht="12.75">
      <c r="A338" s="532"/>
      <c r="B338" s="532"/>
      <c r="C338" s="532"/>
      <c r="D338" s="532"/>
      <c r="E338" s="532"/>
      <c r="F338" s="532"/>
      <c r="G338" s="532"/>
      <c r="H338" s="532"/>
    </row>
    <row r="339" spans="1:8" ht="12.75">
      <c r="A339" s="532"/>
      <c r="B339" s="532"/>
      <c r="C339" s="532"/>
      <c r="D339" s="532"/>
      <c r="E339" s="532"/>
      <c r="F339" s="532"/>
      <c r="G339" s="532"/>
      <c r="H339" s="532"/>
    </row>
    <row r="340" spans="1:8" ht="12.75">
      <c r="A340" s="532"/>
      <c r="B340" s="532"/>
      <c r="C340" s="532"/>
      <c r="D340" s="532"/>
      <c r="E340" s="532"/>
      <c r="F340" s="532"/>
      <c r="G340" s="532"/>
      <c r="H340" s="532"/>
    </row>
    <row r="341" spans="1:8" ht="12.75">
      <c r="A341" s="532"/>
      <c r="B341" s="532"/>
      <c r="C341" s="532"/>
      <c r="D341" s="532"/>
      <c r="E341" s="532"/>
      <c r="F341" s="532"/>
      <c r="G341" s="532"/>
      <c r="H341" s="532"/>
    </row>
    <row r="342" spans="1:8" ht="12.75">
      <c r="A342" s="532"/>
      <c r="B342" s="532"/>
      <c r="C342" s="532"/>
      <c r="D342" s="532"/>
      <c r="E342" s="532"/>
      <c r="F342" s="532"/>
      <c r="G342" s="532"/>
      <c r="H342" s="532"/>
    </row>
    <row r="343" spans="1:8" ht="12.75">
      <c r="A343" s="532"/>
      <c r="B343" s="532"/>
      <c r="C343" s="532"/>
      <c r="D343" s="532"/>
      <c r="E343" s="532"/>
      <c r="F343" s="532"/>
      <c r="G343" s="532"/>
      <c r="H343" s="532"/>
    </row>
    <row r="344" spans="1:8" ht="12.75">
      <c r="A344" s="532"/>
      <c r="B344" s="532"/>
      <c r="C344" s="532"/>
      <c r="D344" s="532"/>
      <c r="E344" s="532"/>
      <c r="F344" s="532"/>
      <c r="G344" s="532"/>
      <c r="H344" s="532"/>
    </row>
    <row r="345" spans="1:8" ht="12.75">
      <c r="A345" s="532"/>
      <c r="B345" s="532"/>
      <c r="C345" s="532"/>
      <c r="D345" s="532"/>
      <c r="E345" s="532"/>
      <c r="F345" s="532"/>
      <c r="G345" s="532"/>
      <c r="H345" s="532"/>
    </row>
    <row r="346" spans="1:8" ht="12.75">
      <c r="A346" s="532"/>
      <c r="B346" s="532"/>
      <c r="C346" s="532"/>
      <c r="D346" s="532"/>
      <c r="E346" s="532"/>
      <c r="F346" s="532"/>
      <c r="G346" s="532"/>
      <c r="H346" s="532"/>
    </row>
    <row r="347" spans="1:8" ht="12.75">
      <c r="A347" s="532"/>
      <c r="B347" s="532"/>
      <c r="C347" s="532"/>
      <c r="D347" s="532"/>
      <c r="E347" s="532"/>
      <c r="F347" s="532"/>
      <c r="G347" s="532"/>
      <c r="H347" s="532"/>
    </row>
    <row r="348" spans="1:8" ht="12.75">
      <c r="A348" s="532"/>
      <c r="B348" s="532"/>
      <c r="C348" s="532"/>
      <c r="D348" s="532"/>
      <c r="E348" s="532"/>
      <c r="F348" s="532"/>
      <c r="G348" s="532"/>
      <c r="H348" s="532"/>
    </row>
    <row r="349" spans="1:8" ht="12.75">
      <c r="A349" s="532"/>
      <c r="B349" s="532"/>
      <c r="C349" s="532"/>
      <c r="D349" s="532"/>
      <c r="E349" s="532"/>
      <c r="F349" s="532"/>
      <c r="G349" s="532"/>
      <c r="H349" s="532"/>
    </row>
    <row r="350" spans="1:8" ht="12.75">
      <c r="A350" s="532"/>
      <c r="B350" s="532"/>
      <c r="C350" s="532"/>
      <c r="D350" s="532"/>
      <c r="E350" s="532"/>
      <c r="F350" s="532"/>
      <c r="G350" s="532"/>
      <c r="H350" s="532"/>
    </row>
    <row r="351" spans="1:8" ht="12.75">
      <c r="A351" s="532"/>
      <c r="B351" s="532"/>
      <c r="C351" s="532"/>
      <c r="D351" s="532"/>
      <c r="E351" s="532"/>
      <c r="F351" s="532"/>
      <c r="G351" s="532"/>
      <c r="H351" s="532"/>
    </row>
    <row r="352" spans="1:8" ht="12.75">
      <c r="A352" s="532"/>
      <c r="B352" s="532"/>
      <c r="C352" s="532"/>
      <c r="D352" s="532"/>
      <c r="E352" s="532"/>
      <c r="F352" s="532"/>
      <c r="G352" s="532"/>
      <c r="H352" s="532"/>
    </row>
    <row r="353" spans="1:8" ht="12.75">
      <c r="A353" s="532"/>
      <c r="B353" s="532"/>
      <c r="C353" s="532"/>
      <c r="D353" s="532"/>
      <c r="E353" s="532"/>
      <c r="F353" s="532"/>
      <c r="G353" s="532"/>
      <c r="H353" s="532"/>
    </row>
    <row r="354" spans="1:8" ht="12.75">
      <c r="A354" s="532"/>
      <c r="B354" s="532"/>
      <c r="C354" s="532"/>
      <c r="D354" s="532"/>
      <c r="E354" s="532"/>
      <c r="F354" s="532"/>
      <c r="G354" s="532"/>
      <c r="H354" s="532"/>
    </row>
    <row r="355" spans="1:8" ht="12.75">
      <c r="A355" s="532"/>
      <c r="B355" s="532"/>
      <c r="C355" s="532"/>
      <c r="D355" s="532"/>
      <c r="E355" s="532"/>
      <c r="F355" s="532"/>
      <c r="G355" s="532"/>
      <c r="H355" s="532"/>
    </row>
    <row r="356" spans="1:8" ht="12.75">
      <c r="A356" s="532"/>
      <c r="B356" s="532"/>
      <c r="C356" s="532"/>
      <c r="D356" s="532"/>
      <c r="E356" s="532"/>
      <c r="F356" s="532"/>
      <c r="G356" s="532"/>
      <c r="H356" s="532"/>
    </row>
    <row r="357" spans="1:8" ht="12.75">
      <c r="A357" s="532"/>
      <c r="B357" s="532"/>
      <c r="C357" s="532"/>
      <c r="D357" s="532"/>
      <c r="E357" s="532"/>
      <c r="F357" s="532"/>
      <c r="G357" s="532"/>
      <c r="H357" s="532"/>
    </row>
    <row r="358" spans="1:8" ht="12.75">
      <c r="A358" s="532"/>
      <c r="B358" s="532"/>
      <c r="C358" s="532"/>
      <c r="D358" s="532"/>
      <c r="E358" s="532"/>
      <c r="F358" s="532"/>
      <c r="G358" s="532"/>
      <c r="H358" s="532"/>
    </row>
    <row r="359" spans="1:8" ht="12.75">
      <c r="A359" s="532"/>
      <c r="B359" s="532"/>
      <c r="C359" s="532"/>
      <c r="D359" s="532"/>
      <c r="E359" s="532"/>
      <c r="F359" s="532"/>
      <c r="G359" s="532"/>
      <c r="H359" s="532"/>
    </row>
    <row r="360" spans="1:8" ht="12.75">
      <c r="A360" s="532"/>
      <c r="B360" s="532"/>
      <c r="C360" s="532"/>
      <c r="D360" s="532"/>
      <c r="E360" s="532"/>
      <c r="F360" s="532"/>
      <c r="G360" s="532"/>
      <c r="H360" s="532"/>
    </row>
    <row r="361" spans="1:8" ht="12.75">
      <c r="A361" s="532"/>
      <c r="B361" s="532"/>
      <c r="C361" s="532"/>
      <c r="D361" s="532"/>
      <c r="E361" s="532"/>
      <c r="F361" s="532"/>
      <c r="G361" s="532"/>
      <c r="H361" s="532"/>
    </row>
    <row r="362" spans="1:8" ht="12.75">
      <c r="A362" s="532"/>
      <c r="B362" s="532"/>
      <c r="C362" s="532"/>
      <c r="D362" s="532"/>
      <c r="E362" s="532"/>
      <c r="F362" s="532"/>
      <c r="G362" s="532"/>
      <c r="H362" s="532"/>
    </row>
    <row r="363" spans="1:8" ht="12.75">
      <c r="A363" s="532"/>
      <c r="B363" s="532"/>
      <c r="C363" s="532"/>
      <c r="D363" s="532"/>
      <c r="E363" s="532"/>
      <c r="F363" s="532"/>
      <c r="G363" s="532"/>
      <c r="H363" s="532"/>
    </row>
    <row r="364" spans="1:8" ht="12.75">
      <c r="A364" s="532"/>
      <c r="B364" s="532"/>
      <c r="C364" s="532"/>
      <c r="D364" s="532"/>
      <c r="E364" s="532"/>
      <c r="F364" s="532"/>
      <c r="G364" s="532"/>
      <c r="H364" s="532"/>
    </row>
    <row r="365" spans="1:8" ht="12.75">
      <c r="A365" s="532"/>
      <c r="B365" s="532"/>
      <c r="C365" s="532"/>
      <c r="D365" s="532"/>
      <c r="E365" s="532"/>
      <c r="F365" s="532"/>
      <c r="G365" s="532"/>
      <c r="H365" s="532"/>
    </row>
    <row r="366" spans="1:8" ht="12.75">
      <c r="A366" s="532"/>
      <c r="B366" s="532"/>
      <c r="C366" s="532"/>
      <c r="D366" s="532"/>
      <c r="E366" s="532"/>
      <c r="F366" s="532"/>
      <c r="G366" s="532"/>
      <c r="H366" s="532"/>
    </row>
    <row r="367" spans="1:8" ht="12.75">
      <c r="A367" s="532"/>
      <c r="B367" s="532"/>
      <c r="C367" s="532"/>
      <c r="D367" s="532"/>
      <c r="E367" s="532"/>
      <c r="F367" s="532"/>
      <c r="G367" s="532"/>
      <c r="H367" s="532"/>
    </row>
    <row r="368" spans="1:8" ht="12.75">
      <c r="A368" s="532"/>
      <c r="B368" s="532"/>
      <c r="C368" s="532"/>
      <c r="D368" s="532"/>
      <c r="E368" s="532"/>
      <c r="F368" s="532"/>
      <c r="G368" s="532"/>
      <c r="H368" s="532"/>
    </row>
    <row r="369" spans="1:8" ht="12.75">
      <c r="A369" s="532"/>
      <c r="B369" s="532"/>
      <c r="C369" s="532"/>
      <c r="D369" s="532"/>
      <c r="E369" s="532"/>
      <c r="F369" s="532"/>
      <c r="G369" s="532"/>
      <c r="H369" s="532"/>
    </row>
    <row r="370" spans="1:8" ht="12.75">
      <c r="A370" s="532"/>
      <c r="B370" s="532"/>
      <c r="C370" s="532"/>
      <c r="D370" s="532"/>
      <c r="E370" s="532"/>
      <c r="F370" s="532"/>
      <c r="G370" s="532"/>
      <c r="H370" s="532"/>
    </row>
    <row r="371" spans="1:8" ht="12.75">
      <c r="A371" s="532"/>
      <c r="B371" s="532"/>
      <c r="C371" s="532"/>
      <c r="D371" s="532"/>
      <c r="E371" s="532"/>
      <c r="F371" s="532"/>
      <c r="G371" s="532"/>
      <c r="H371" s="532"/>
    </row>
    <row r="372" spans="1:8" ht="12.75">
      <c r="A372" s="532"/>
      <c r="B372" s="532"/>
      <c r="C372" s="532"/>
      <c r="D372" s="532"/>
      <c r="E372" s="532"/>
      <c r="F372" s="532"/>
      <c r="G372" s="532"/>
      <c r="H372" s="532"/>
    </row>
    <row r="373" spans="1:8" ht="12.75">
      <c r="A373" s="532"/>
      <c r="B373" s="532"/>
      <c r="C373" s="532"/>
      <c r="D373" s="532"/>
      <c r="E373" s="532"/>
      <c r="F373" s="532"/>
      <c r="G373" s="532"/>
      <c r="H373" s="532"/>
    </row>
    <row r="374" spans="1:8" ht="12.75">
      <c r="A374" s="532"/>
      <c r="B374" s="532"/>
      <c r="C374" s="532"/>
      <c r="D374" s="532"/>
      <c r="E374" s="532"/>
      <c r="F374" s="532"/>
      <c r="G374" s="532"/>
      <c r="H374" s="532"/>
    </row>
    <row r="375" spans="1:8" ht="12.75">
      <c r="A375" s="532"/>
      <c r="B375" s="532"/>
      <c r="C375" s="532"/>
      <c r="D375" s="532"/>
      <c r="E375" s="532"/>
      <c r="F375" s="532"/>
      <c r="G375" s="532"/>
      <c r="H375" s="532"/>
    </row>
    <row r="376" spans="1:8" ht="12.75">
      <c r="A376" s="532"/>
      <c r="B376" s="532"/>
      <c r="C376" s="532"/>
      <c r="D376" s="532"/>
      <c r="E376" s="532"/>
      <c r="F376" s="532"/>
      <c r="G376" s="532"/>
      <c r="H376" s="532"/>
    </row>
    <row r="377" spans="1:8" ht="12.75">
      <c r="A377" s="532"/>
      <c r="B377" s="532"/>
      <c r="C377" s="532"/>
      <c r="D377" s="532"/>
      <c r="E377" s="532"/>
      <c r="F377" s="532"/>
      <c r="G377" s="532"/>
      <c r="H377" s="532"/>
    </row>
    <row r="378" spans="1:8" ht="12.75">
      <c r="A378" s="532"/>
      <c r="B378" s="532"/>
      <c r="C378" s="532"/>
      <c r="D378" s="532"/>
      <c r="E378" s="532"/>
      <c r="F378" s="532"/>
      <c r="G378" s="532"/>
      <c r="H378" s="532"/>
    </row>
    <row r="379" spans="1:8" ht="12.75">
      <c r="A379" s="532"/>
      <c r="B379" s="532"/>
      <c r="C379" s="532"/>
      <c r="D379" s="532"/>
      <c r="E379" s="532"/>
      <c r="F379" s="532"/>
      <c r="G379" s="532"/>
      <c r="H379" s="532"/>
    </row>
    <row r="380" spans="1:8" ht="12.75">
      <c r="A380" s="532"/>
      <c r="B380" s="532"/>
      <c r="C380" s="532"/>
      <c r="D380" s="532"/>
      <c r="E380" s="532"/>
      <c r="F380" s="532"/>
      <c r="G380" s="532"/>
      <c r="H380" s="532"/>
    </row>
    <row r="381" spans="1:8" ht="12.75">
      <c r="A381" s="532"/>
      <c r="B381" s="532"/>
      <c r="C381" s="532"/>
      <c r="D381" s="532"/>
      <c r="E381" s="532"/>
      <c r="F381" s="532"/>
      <c r="G381" s="532"/>
      <c r="H381" s="532"/>
    </row>
    <row r="382" spans="1:8" ht="12.75">
      <c r="A382" s="532"/>
      <c r="B382" s="532"/>
      <c r="C382" s="532"/>
      <c r="D382" s="532"/>
      <c r="E382" s="532"/>
      <c r="F382" s="532"/>
      <c r="G382" s="532"/>
      <c r="H382" s="532"/>
    </row>
    <row r="383" spans="1:8" ht="12.75">
      <c r="A383" s="532"/>
      <c r="B383" s="532"/>
      <c r="C383" s="532"/>
      <c r="D383" s="532"/>
      <c r="E383" s="532"/>
      <c r="F383" s="532"/>
      <c r="G383" s="532"/>
      <c r="H383" s="532"/>
    </row>
    <row r="384" spans="1:8" ht="12.75">
      <c r="A384" s="532"/>
      <c r="B384" s="532"/>
      <c r="C384" s="532"/>
      <c r="D384" s="532"/>
      <c r="E384" s="532"/>
      <c r="F384" s="532"/>
      <c r="G384" s="532"/>
      <c r="H384" s="532"/>
    </row>
    <row r="385" spans="1:8" ht="12.75">
      <c r="A385" s="532"/>
      <c r="B385" s="532"/>
      <c r="C385" s="532"/>
      <c r="D385" s="532"/>
      <c r="E385" s="532"/>
      <c r="F385" s="532"/>
      <c r="G385" s="532"/>
      <c r="H385" s="532"/>
    </row>
    <row r="386" spans="1:8" ht="12.75">
      <c r="A386" s="532"/>
      <c r="B386" s="532"/>
      <c r="C386" s="532"/>
      <c r="D386" s="532"/>
      <c r="E386" s="532"/>
      <c r="F386" s="532"/>
      <c r="G386" s="532"/>
      <c r="H386" s="532"/>
    </row>
    <row r="387" spans="1:8" ht="12.75">
      <c r="A387" s="532"/>
      <c r="B387" s="532"/>
      <c r="C387" s="532"/>
      <c r="D387" s="532"/>
      <c r="E387" s="532"/>
      <c r="F387" s="532"/>
      <c r="G387" s="532"/>
      <c r="H387" s="532"/>
    </row>
    <row r="388" spans="1:8" ht="12.75">
      <c r="A388" s="532"/>
      <c r="B388" s="532"/>
      <c r="C388" s="532"/>
      <c r="D388" s="532"/>
      <c r="E388" s="532"/>
      <c r="F388" s="532"/>
      <c r="G388" s="532"/>
      <c r="H388" s="532"/>
    </row>
    <row r="389" spans="1:8" ht="12.75">
      <c r="A389" s="532"/>
      <c r="B389" s="532"/>
      <c r="C389" s="532"/>
      <c r="D389" s="532"/>
      <c r="E389" s="532"/>
      <c r="F389" s="532"/>
      <c r="G389" s="532"/>
      <c r="H389" s="532"/>
    </row>
    <row r="390" spans="1:8" ht="12.75">
      <c r="A390" s="532"/>
      <c r="B390" s="532"/>
      <c r="C390" s="532"/>
      <c r="D390" s="532"/>
      <c r="E390" s="532"/>
      <c r="F390" s="532"/>
      <c r="G390" s="532"/>
      <c r="H390" s="532"/>
    </row>
    <row r="391" spans="1:8" ht="12.75">
      <c r="A391" s="532"/>
      <c r="B391" s="532"/>
      <c r="C391" s="532"/>
      <c r="D391" s="532"/>
      <c r="E391" s="532"/>
      <c r="F391" s="532"/>
      <c r="G391" s="532"/>
      <c r="H391" s="532"/>
    </row>
    <row r="392" spans="1:8" ht="12.75">
      <c r="A392" s="532"/>
      <c r="B392" s="532"/>
      <c r="C392" s="532"/>
      <c r="D392" s="532"/>
      <c r="E392" s="532"/>
      <c r="F392" s="532"/>
      <c r="G392" s="532"/>
      <c r="H392" s="532"/>
    </row>
    <row r="393" spans="1:8" ht="12.75">
      <c r="A393" s="532"/>
      <c r="B393" s="532"/>
      <c r="C393" s="532"/>
      <c r="D393" s="532"/>
      <c r="E393" s="532"/>
      <c r="F393" s="532"/>
      <c r="G393" s="532"/>
      <c r="H393" s="532"/>
    </row>
    <row r="394" spans="1:8" ht="12.75">
      <c r="A394" s="532"/>
      <c r="B394" s="532"/>
      <c r="C394" s="532"/>
      <c r="D394" s="532"/>
      <c r="E394" s="532"/>
      <c r="F394" s="532"/>
      <c r="G394" s="532"/>
      <c r="H394" s="532"/>
    </row>
    <row r="395" spans="1:8" ht="12.75">
      <c r="A395" s="532"/>
      <c r="B395" s="532"/>
      <c r="C395" s="532"/>
      <c r="D395" s="532"/>
      <c r="E395" s="532"/>
      <c r="F395" s="532"/>
      <c r="G395" s="532"/>
      <c r="H395" s="532"/>
    </row>
    <row r="396" spans="1:8" ht="12.75">
      <c r="A396" s="532"/>
      <c r="B396" s="532"/>
      <c r="C396" s="532"/>
      <c r="D396" s="532"/>
      <c r="E396" s="532"/>
      <c r="F396" s="532"/>
      <c r="G396" s="532"/>
      <c r="H396" s="532"/>
    </row>
    <row r="397" spans="1:8" ht="12.75">
      <c r="A397" s="532"/>
      <c r="B397" s="532"/>
      <c r="C397" s="532"/>
      <c r="D397" s="532"/>
      <c r="E397" s="532"/>
      <c r="F397" s="532"/>
      <c r="G397" s="532"/>
      <c r="H397" s="532"/>
    </row>
    <row r="398" spans="1:8" ht="12.75">
      <c r="A398" s="532"/>
      <c r="B398" s="532"/>
      <c r="C398" s="532"/>
      <c r="D398" s="532"/>
      <c r="E398" s="532"/>
      <c r="F398" s="532"/>
      <c r="G398" s="532"/>
      <c r="H398" s="532"/>
    </row>
    <row r="399" spans="1:8" ht="12.75">
      <c r="A399" s="532"/>
      <c r="B399" s="532"/>
      <c r="C399" s="532"/>
      <c r="D399" s="532"/>
      <c r="E399" s="532"/>
      <c r="F399" s="532"/>
      <c r="G399" s="532"/>
      <c r="H399" s="532"/>
    </row>
    <row r="400" spans="1:8" ht="12.75">
      <c r="A400" s="532"/>
      <c r="B400" s="532"/>
      <c r="C400" s="532"/>
      <c r="D400" s="532"/>
      <c r="E400" s="532"/>
      <c r="F400" s="532"/>
      <c r="G400" s="532"/>
      <c r="H400" s="532"/>
    </row>
    <row r="401" spans="1:8" ht="12.75">
      <c r="A401" s="532"/>
      <c r="B401" s="532"/>
      <c r="C401" s="532"/>
      <c r="D401" s="532"/>
      <c r="E401" s="532"/>
      <c r="F401" s="532"/>
      <c r="G401" s="532"/>
      <c r="H401" s="532"/>
    </row>
    <row r="402" spans="1:8" ht="12.75">
      <c r="A402" s="532"/>
      <c r="B402" s="532"/>
      <c r="C402" s="532"/>
      <c r="D402" s="532"/>
      <c r="E402" s="532"/>
      <c r="F402" s="532"/>
      <c r="G402" s="532"/>
      <c r="H402" s="532"/>
    </row>
    <row r="403" spans="1:8" ht="12.75">
      <c r="A403" s="532"/>
      <c r="B403" s="532"/>
      <c r="C403" s="532"/>
      <c r="D403" s="532"/>
      <c r="E403" s="532"/>
      <c r="F403" s="532"/>
      <c r="G403" s="532"/>
      <c r="H403" s="532"/>
    </row>
    <row r="404" spans="1:8" ht="12.75">
      <c r="A404" s="532"/>
      <c r="B404" s="532"/>
      <c r="C404" s="532"/>
      <c r="D404" s="532"/>
      <c r="E404" s="532"/>
      <c r="F404" s="532"/>
      <c r="G404" s="532"/>
      <c r="H404" s="532"/>
    </row>
    <row r="405" spans="1:8" ht="12.75">
      <c r="A405" s="532"/>
      <c r="B405" s="532"/>
      <c r="C405" s="532"/>
      <c r="D405" s="532"/>
      <c r="E405" s="532"/>
      <c r="F405" s="532"/>
      <c r="G405" s="532"/>
      <c r="H405" s="532"/>
    </row>
    <row r="406" spans="1:8" ht="12.75">
      <c r="A406" s="532"/>
      <c r="B406" s="532"/>
      <c r="C406" s="532"/>
      <c r="D406" s="532"/>
      <c r="E406" s="532"/>
      <c r="F406" s="532"/>
      <c r="G406" s="532"/>
      <c r="H406" s="532"/>
    </row>
    <row r="407" spans="1:8" ht="12.75">
      <c r="A407" s="532"/>
      <c r="B407" s="532"/>
      <c r="C407" s="532"/>
      <c r="D407" s="532"/>
      <c r="E407" s="532"/>
      <c r="F407" s="532"/>
      <c r="G407" s="532"/>
      <c r="H407" s="532"/>
    </row>
    <row r="408" spans="1:8" ht="12.75">
      <c r="A408" s="532"/>
      <c r="B408" s="532"/>
      <c r="C408" s="532"/>
      <c r="D408" s="532"/>
      <c r="E408" s="532"/>
      <c r="F408" s="532"/>
      <c r="G408" s="532"/>
      <c r="H408" s="532"/>
    </row>
    <row r="409" spans="1:8" ht="12.75">
      <c r="A409" s="532"/>
      <c r="B409" s="532"/>
      <c r="C409" s="532"/>
      <c r="D409" s="532"/>
      <c r="E409" s="532"/>
      <c r="F409" s="532"/>
      <c r="G409" s="532"/>
      <c r="H409" s="532"/>
    </row>
    <row r="410" spans="1:8" ht="12.75">
      <c r="A410" s="532"/>
      <c r="B410" s="532"/>
      <c r="C410" s="532"/>
      <c r="D410" s="532"/>
      <c r="E410" s="532"/>
      <c r="F410" s="532"/>
      <c r="G410" s="532"/>
      <c r="H410" s="532"/>
    </row>
    <row r="411" spans="1:8" ht="12.75">
      <c r="A411" s="532"/>
      <c r="B411" s="532"/>
      <c r="C411" s="532"/>
      <c r="D411" s="532"/>
      <c r="E411" s="532"/>
      <c r="F411" s="532"/>
      <c r="G411" s="532"/>
      <c r="H411" s="532"/>
    </row>
    <row r="412" spans="1:8" ht="12.75">
      <c r="A412" s="532"/>
      <c r="B412" s="532"/>
      <c r="C412" s="532"/>
      <c r="D412" s="532"/>
      <c r="E412" s="532"/>
      <c r="F412" s="532"/>
      <c r="G412" s="532"/>
      <c r="H412" s="532"/>
    </row>
    <row r="413" spans="1:8" ht="12.75">
      <c r="A413" s="532"/>
      <c r="B413" s="532"/>
      <c r="C413" s="532"/>
      <c r="D413" s="532"/>
      <c r="E413" s="532"/>
      <c r="F413" s="532"/>
      <c r="G413" s="532"/>
      <c r="H413" s="532"/>
    </row>
    <row r="414" spans="1:8" ht="12.75">
      <c r="A414" s="532"/>
      <c r="B414" s="532"/>
      <c r="C414" s="532"/>
      <c r="D414" s="532"/>
      <c r="E414" s="532"/>
      <c r="F414" s="532"/>
      <c r="G414" s="532"/>
      <c r="H414" s="532"/>
    </row>
    <row r="415" spans="1:8" ht="12.75">
      <c r="A415" s="532"/>
      <c r="B415" s="532"/>
      <c r="C415" s="532"/>
      <c r="D415" s="532"/>
      <c r="E415" s="532"/>
      <c r="F415" s="532"/>
      <c r="G415" s="532"/>
      <c r="H415" s="532"/>
    </row>
    <row r="416" spans="1:8" ht="12.75">
      <c r="A416" s="532"/>
      <c r="B416" s="532"/>
      <c r="C416" s="532"/>
      <c r="D416" s="532"/>
      <c r="E416" s="532"/>
      <c r="F416" s="532"/>
      <c r="G416" s="532"/>
      <c r="H416" s="532"/>
    </row>
    <row r="417" spans="1:8" ht="12.75">
      <c r="A417" s="532"/>
      <c r="B417" s="532"/>
      <c r="C417" s="532"/>
      <c r="D417" s="532"/>
      <c r="E417" s="532"/>
      <c r="F417" s="532"/>
      <c r="G417" s="532"/>
      <c r="H417" s="532"/>
    </row>
    <row r="418" spans="1:8" ht="12.75">
      <c r="A418" s="532"/>
      <c r="B418" s="532"/>
      <c r="C418" s="532"/>
      <c r="D418" s="532"/>
      <c r="E418" s="532"/>
      <c r="F418" s="532"/>
      <c r="G418" s="532"/>
      <c r="H418" s="532"/>
    </row>
    <row r="419" spans="1:8" ht="12.75">
      <c r="A419" s="532"/>
      <c r="B419" s="532"/>
      <c r="C419" s="532"/>
      <c r="D419" s="532"/>
      <c r="E419" s="532"/>
      <c r="F419" s="532"/>
      <c r="G419" s="532"/>
      <c r="H419" s="532"/>
    </row>
    <row r="420" spans="1:8" ht="12.75">
      <c r="A420" s="532"/>
      <c r="B420" s="532"/>
      <c r="C420" s="532"/>
      <c r="D420" s="532"/>
      <c r="E420" s="532"/>
      <c r="F420" s="532"/>
      <c r="G420" s="532"/>
      <c r="H420" s="532"/>
    </row>
    <row r="421" spans="1:8" ht="12.75">
      <c r="A421" s="532"/>
      <c r="B421" s="532"/>
      <c r="C421" s="532"/>
      <c r="D421" s="532"/>
      <c r="E421" s="532"/>
      <c r="F421" s="532"/>
      <c r="G421" s="532"/>
      <c r="H421" s="532"/>
    </row>
    <row r="422" spans="1:8" ht="12.75">
      <c r="A422" s="532"/>
      <c r="B422" s="532"/>
      <c r="C422" s="532"/>
      <c r="D422" s="532"/>
      <c r="E422" s="532"/>
      <c r="F422" s="532"/>
      <c r="G422" s="532"/>
      <c r="H422" s="532"/>
    </row>
    <row r="423" spans="1:8" ht="12.75">
      <c r="A423" s="532"/>
      <c r="B423" s="532"/>
      <c r="C423" s="532"/>
      <c r="D423" s="532"/>
      <c r="E423" s="532"/>
      <c r="F423" s="532"/>
      <c r="G423" s="532"/>
      <c r="H423" s="532"/>
    </row>
    <row r="424" spans="1:8" ht="12.75">
      <c r="A424" s="532"/>
      <c r="B424" s="532"/>
      <c r="C424" s="532"/>
      <c r="D424" s="532"/>
      <c r="E424" s="532"/>
      <c r="F424" s="532"/>
      <c r="G424" s="532"/>
      <c r="H424" s="532"/>
    </row>
    <row r="425" spans="1:8" ht="12.75">
      <c r="A425" s="532"/>
      <c r="B425" s="532"/>
      <c r="C425" s="532"/>
      <c r="D425" s="532"/>
      <c r="E425" s="532"/>
      <c r="F425" s="532"/>
      <c r="G425" s="532"/>
      <c r="H425" s="532"/>
    </row>
    <row r="426" spans="1:8" ht="12.75">
      <c r="A426" s="532"/>
      <c r="B426" s="532"/>
      <c r="C426" s="532"/>
      <c r="D426" s="532"/>
      <c r="E426" s="532"/>
      <c r="F426" s="532"/>
      <c r="G426" s="532"/>
      <c r="H426" s="532"/>
    </row>
    <row r="427" spans="1:8" ht="12.75">
      <c r="A427" s="532"/>
      <c r="B427" s="532"/>
      <c r="C427" s="532"/>
      <c r="D427" s="532"/>
      <c r="E427" s="532"/>
      <c r="F427" s="532"/>
      <c r="G427" s="532"/>
      <c r="H427" s="532"/>
    </row>
    <row r="428" spans="1:8" ht="12.75">
      <c r="A428" s="532"/>
      <c r="B428" s="532"/>
      <c r="C428" s="532"/>
      <c r="D428" s="532"/>
      <c r="E428" s="532"/>
      <c r="F428" s="532"/>
      <c r="G428" s="532"/>
      <c r="H428" s="532"/>
    </row>
    <row r="429" spans="1:8" ht="12.75">
      <c r="A429" s="532"/>
      <c r="B429" s="532"/>
      <c r="C429" s="532"/>
      <c r="D429" s="532"/>
      <c r="E429" s="532"/>
      <c r="F429" s="532"/>
      <c r="G429" s="532"/>
      <c r="H429" s="532"/>
    </row>
    <row r="430" spans="1:8" ht="12.75">
      <c r="A430" s="532"/>
      <c r="B430" s="532"/>
      <c r="C430" s="532"/>
      <c r="D430" s="532"/>
      <c r="E430" s="532"/>
      <c r="F430" s="532"/>
      <c r="G430" s="532"/>
      <c r="H430" s="532"/>
    </row>
    <row r="431" spans="1:8" ht="12.75">
      <c r="A431" s="532"/>
      <c r="B431" s="532"/>
      <c r="C431" s="532"/>
      <c r="D431" s="532"/>
      <c r="E431" s="532"/>
      <c r="F431" s="532"/>
      <c r="G431" s="532"/>
      <c r="H431" s="532"/>
    </row>
    <row r="432" spans="1:8" ht="12.75">
      <c r="A432" s="532"/>
      <c r="B432" s="532"/>
      <c r="C432" s="532"/>
      <c r="D432" s="532"/>
      <c r="E432" s="532"/>
      <c r="F432" s="532"/>
      <c r="G432" s="532"/>
      <c r="H432" s="532"/>
    </row>
    <row r="433" spans="1:8" ht="12.75">
      <c r="A433" s="532"/>
      <c r="B433" s="532"/>
      <c r="C433" s="532"/>
      <c r="D433" s="532"/>
      <c r="E433" s="532"/>
      <c r="F433" s="532"/>
      <c r="G433" s="532"/>
      <c r="H433" s="532"/>
    </row>
    <row r="434" spans="1:8" ht="12.75">
      <c r="A434" s="532"/>
      <c r="B434" s="532"/>
      <c r="C434" s="532"/>
      <c r="D434" s="532"/>
      <c r="E434" s="532"/>
      <c r="F434" s="532"/>
      <c r="G434" s="532"/>
      <c r="H434" s="532"/>
    </row>
    <row r="435" spans="1:8" ht="12.75">
      <c r="A435" s="532"/>
      <c r="B435" s="532"/>
      <c r="C435" s="532"/>
      <c r="D435" s="532"/>
      <c r="E435" s="532"/>
      <c r="F435" s="532"/>
      <c r="G435" s="532"/>
      <c r="H435" s="532"/>
    </row>
    <row r="436" spans="1:8" ht="12.75">
      <c r="A436" s="532"/>
      <c r="B436" s="532"/>
      <c r="C436" s="532"/>
      <c r="D436" s="532"/>
      <c r="E436" s="532"/>
      <c r="F436" s="532"/>
      <c r="G436" s="532"/>
      <c r="H436" s="532"/>
    </row>
    <row r="437" spans="1:8" ht="12.75">
      <c r="A437" s="532"/>
      <c r="B437" s="532"/>
      <c r="C437" s="532"/>
      <c r="D437" s="532"/>
      <c r="E437" s="532"/>
      <c r="F437" s="532"/>
      <c r="G437" s="532"/>
      <c r="H437" s="532"/>
    </row>
    <row r="438" spans="1:8" ht="12.75">
      <c r="A438" s="532"/>
      <c r="B438" s="532"/>
      <c r="C438" s="532"/>
      <c r="D438" s="532"/>
      <c r="E438" s="532"/>
      <c r="F438" s="532"/>
      <c r="G438" s="532"/>
      <c r="H438" s="532"/>
    </row>
    <row r="439" spans="1:8" ht="12.75">
      <c r="A439" s="532"/>
      <c r="B439" s="532"/>
      <c r="C439" s="532"/>
      <c r="D439" s="532"/>
      <c r="E439" s="532"/>
      <c r="F439" s="532"/>
      <c r="G439" s="532"/>
      <c r="H439" s="532"/>
    </row>
    <row r="440" spans="1:8" ht="12.75">
      <c r="A440" s="532"/>
      <c r="B440" s="532"/>
      <c r="C440" s="532"/>
      <c r="D440" s="532"/>
      <c r="E440" s="532"/>
      <c r="F440" s="532"/>
      <c r="G440" s="532"/>
      <c r="H440" s="532"/>
    </row>
    <row r="441" spans="1:8" ht="12.75">
      <c r="A441" s="532"/>
      <c r="B441" s="532"/>
      <c r="C441" s="532"/>
      <c r="D441" s="532"/>
      <c r="E441" s="532"/>
      <c r="F441" s="532"/>
      <c r="G441" s="532"/>
      <c r="H441" s="532"/>
    </row>
    <row r="442" spans="1:8" ht="12.75">
      <c r="A442" s="532"/>
      <c r="B442" s="532"/>
      <c r="C442" s="532"/>
      <c r="D442" s="532"/>
      <c r="E442" s="532"/>
      <c r="F442" s="532"/>
      <c r="G442" s="532"/>
      <c r="H442" s="532"/>
    </row>
    <row r="443" spans="1:8" ht="12.75">
      <c r="A443" s="532"/>
      <c r="B443" s="532"/>
      <c r="C443" s="532"/>
      <c r="D443" s="532"/>
      <c r="E443" s="532"/>
      <c r="F443" s="532"/>
      <c r="G443" s="532"/>
      <c r="H443" s="532"/>
    </row>
    <row r="444" spans="1:8" ht="12.75">
      <c r="A444" s="532"/>
      <c r="B444" s="532"/>
      <c r="C444" s="532"/>
      <c r="D444" s="532"/>
      <c r="E444" s="532"/>
      <c r="F444" s="532"/>
      <c r="G444" s="532"/>
      <c r="H444" s="532"/>
    </row>
    <row r="445" spans="1:8" ht="12.75">
      <c r="A445" s="532"/>
      <c r="B445" s="532"/>
      <c r="C445" s="532"/>
      <c r="D445" s="532"/>
      <c r="E445" s="532"/>
      <c r="F445" s="532"/>
      <c r="G445" s="532"/>
      <c r="H445" s="532"/>
    </row>
    <row r="446" spans="1:8" ht="12.75">
      <c r="A446" s="532"/>
      <c r="B446" s="532"/>
      <c r="C446" s="532"/>
      <c r="D446" s="532"/>
      <c r="E446" s="532"/>
      <c r="F446" s="532"/>
      <c r="G446" s="532"/>
      <c r="H446" s="532"/>
    </row>
    <row r="447" spans="1:8" ht="12.75">
      <c r="A447" s="532"/>
      <c r="B447" s="532"/>
      <c r="C447" s="532"/>
      <c r="D447" s="532"/>
      <c r="E447" s="532"/>
      <c r="F447" s="532"/>
      <c r="G447" s="532"/>
      <c r="H447" s="532"/>
    </row>
    <row r="448" spans="1:8" ht="12.75">
      <c r="A448" s="532"/>
      <c r="B448" s="532"/>
      <c r="C448" s="532"/>
      <c r="D448" s="532"/>
      <c r="E448" s="532"/>
      <c r="F448" s="532"/>
      <c r="G448" s="532"/>
      <c r="H448" s="532"/>
    </row>
    <row r="449" spans="1:8" ht="12.75">
      <c r="A449" s="532"/>
      <c r="B449" s="532"/>
      <c r="C449" s="532"/>
      <c r="D449" s="532"/>
      <c r="E449" s="532"/>
      <c r="F449" s="532"/>
      <c r="G449" s="532"/>
      <c r="H449" s="532"/>
    </row>
    <row r="450" spans="1:8" ht="12.75">
      <c r="A450" s="532"/>
      <c r="B450" s="532"/>
      <c r="C450" s="532"/>
      <c r="D450" s="532"/>
      <c r="E450" s="532"/>
      <c r="F450" s="532"/>
      <c r="G450" s="532"/>
      <c r="H450" s="532"/>
    </row>
    <row r="451" spans="1:8" ht="12.75">
      <c r="A451" s="532"/>
      <c r="B451" s="532"/>
      <c r="C451" s="532"/>
      <c r="D451" s="532"/>
      <c r="E451" s="532"/>
      <c r="F451" s="532"/>
      <c r="G451" s="532"/>
      <c r="H451" s="532"/>
    </row>
    <row r="452" spans="1:8" ht="12.75">
      <c r="A452" s="532"/>
      <c r="B452" s="532"/>
      <c r="C452" s="532"/>
      <c r="D452" s="532"/>
      <c r="E452" s="532"/>
      <c r="F452" s="532"/>
      <c r="G452" s="532"/>
      <c r="H452" s="532"/>
    </row>
    <row r="453" spans="1:8" ht="12.75">
      <c r="A453" s="532"/>
      <c r="B453" s="532"/>
      <c r="C453" s="532"/>
      <c r="D453" s="532"/>
      <c r="E453" s="532"/>
      <c r="F453" s="532"/>
      <c r="G453" s="532"/>
      <c r="H453" s="532"/>
    </row>
    <row r="454" spans="1:8" ht="12.75">
      <c r="A454" s="532"/>
      <c r="B454" s="532"/>
      <c r="C454" s="532"/>
      <c r="D454" s="532"/>
      <c r="E454" s="532"/>
      <c r="F454" s="532"/>
      <c r="G454" s="532"/>
      <c r="H454" s="532"/>
    </row>
    <row r="455" spans="1:8" ht="12.75">
      <c r="A455" s="532"/>
      <c r="B455" s="532"/>
      <c r="C455" s="532"/>
      <c r="D455" s="532"/>
      <c r="E455" s="532"/>
      <c r="F455" s="532"/>
      <c r="G455" s="532"/>
      <c r="H455" s="532"/>
    </row>
    <row r="456" spans="1:8" ht="12.75">
      <c r="A456" s="532"/>
      <c r="B456" s="532"/>
      <c r="C456" s="532"/>
      <c r="D456" s="532"/>
      <c r="E456" s="532"/>
      <c r="F456" s="532"/>
      <c r="G456" s="532"/>
      <c r="H456" s="532"/>
    </row>
    <row r="457" spans="1:8" ht="12.75">
      <c r="A457" s="532"/>
      <c r="B457" s="532"/>
      <c r="C457" s="532"/>
      <c r="D457" s="532"/>
      <c r="E457" s="532"/>
      <c r="F457" s="532"/>
      <c r="G457" s="532"/>
      <c r="H457" s="532"/>
    </row>
    <row r="458" spans="1:8" ht="12.75">
      <c r="A458" s="532"/>
      <c r="B458" s="532"/>
      <c r="C458" s="532"/>
      <c r="D458" s="532"/>
      <c r="E458" s="532"/>
      <c r="F458" s="532"/>
      <c r="G458" s="532"/>
      <c r="H458" s="532"/>
    </row>
    <row r="459" spans="1:8" ht="12.75">
      <c r="A459" s="532"/>
      <c r="B459" s="532"/>
      <c r="C459" s="532"/>
      <c r="D459" s="532"/>
      <c r="E459" s="532"/>
      <c r="F459" s="532"/>
      <c r="G459" s="532"/>
      <c r="H459" s="532"/>
    </row>
    <row r="460" spans="1:8" ht="12.75">
      <c r="A460" s="532"/>
      <c r="B460" s="532"/>
      <c r="C460" s="532"/>
      <c r="D460" s="532"/>
      <c r="E460" s="532"/>
      <c r="F460" s="532"/>
      <c r="G460" s="532"/>
      <c r="H460" s="532"/>
    </row>
    <row r="461" spans="1:8" ht="12.75">
      <c r="A461" s="532"/>
      <c r="B461" s="532"/>
      <c r="C461" s="532"/>
      <c r="D461" s="532"/>
      <c r="E461" s="532"/>
      <c r="F461" s="532"/>
      <c r="G461" s="532"/>
      <c r="H461" s="532"/>
    </row>
    <row r="462" spans="1:8" ht="12.75">
      <c r="A462" s="532"/>
      <c r="B462" s="532"/>
      <c r="C462" s="532"/>
      <c r="D462" s="532"/>
      <c r="E462" s="532"/>
      <c r="F462" s="532"/>
      <c r="G462" s="532"/>
      <c r="H462" s="532"/>
    </row>
    <row r="463" spans="1:8" ht="12.75">
      <c r="A463" s="532"/>
      <c r="B463" s="532"/>
      <c r="C463" s="532"/>
      <c r="D463" s="532"/>
      <c r="E463" s="532"/>
      <c r="F463" s="532"/>
      <c r="G463" s="532"/>
      <c r="H463" s="532"/>
    </row>
    <row r="464" spans="1:8" ht="12.75">
      <c r="A464" s="532"/>
      <c r="B464" s="532"/>
      <c r="C464" s="532"/>
      <c r="D464" s="532"/>
      <c r="E464" s="532"/>
      <c r="F464" s="532"/>
      <c r="G464" s="532"/>
      <c r="H464" s="532"/>
    </row>
    <row r="465" spans="1:8" ht="12.75">
      <c r="A465" s="532"/>
      <c r="B465" s="532"/>
      <c r="C465" s="532"/>
      <c r="D465" s="532"/>
      <c r="E465" s="532"/>
      <c r="F465" s="532"/>
      <c r="G465" s="532"/>
      <c r="H465" s="532"/>
    </row>
    <row r="466" spans="1:8" ht="12.75">
      <c r="A466" s="532"/>
      <c r="B466" s="532"/>
      <c r="C466" s="532"/>
      <c r="D466" s="532"/>
      <c r="E466" s="532"/>
      <c r="F466" s="532"/>
      <c r="G466" s="532"/>
      <c r="H466" s="532"/>
    </row>
    <row r="467" spans="1:8" ht="12.75">
      <c r="A467" s="532"/>
      <c r="B467" s="532"/>
      <c r="C467" s="532"/>
      <c r="D467" s="532"/>
      <c r="E467" s="532"/>
      <c r="F467" s="532"/>
      <c r="G467" s="532"/>
      <c r="H467" s="532"/>
    </row>
    <row r="468" spans="1:8" ht="12.75">
      <c r="A468" s="532"/>
      <c r="B468" s="532"/>
      <c r="C468" s="532"/>
      <c r="D468" s="532"/>
      <c r="E468" s="532"/>
      <c r="F468" s="532"/>
      <c r="G468" s="532"/>
      <c r="H468" s="532"/>
    </row>
    <row r="469" spans="1:8" ht="12.75">
      <c r="A469" s="532"/>
      <c r="B469" s="532"/>
      <c r="C469" s="532"/>
      <c r="D469" s="532"/>
      <c r="E469" s="532"/>
      <c r="F469" s="532"/>
      <c r="G469" s="532"/>
      <c r="H469" s="532"/>
    </row>
    <row r="470" spans="1:8" ht="12.75">
      <c r="A470" s="532"/>
      <c r="B470" s="532"/>
      <c r="C470" s="532"/>
      <c r="D470" s="532"/>
      <c r="E470" s="532"/>
      <c r="F470" s="532"/>
      <c r="G470" s="532"/>
      <c r="H470" s="532"/>
    </row>
    <row r="471" spans="1:8" ht="12.75">
      <c r="A471" s="532"/>
      <c r="B471" s="532"/>
      <c r="C471" s="532"/>
      <c r="D471" s="532"/>
      <c r="E471" s="532"/>
      <c r="F471" s="532"/>
      <c r="G471" s="532"/>
      <c r="H471" s="532"/>
    </row>
    <row r="472" spans="1:8" ht="12.75">
      <c r="A472" s="532"/>
      <c r="B472" s="532"/>
      <c r="C472" s="532"/>
      <c r="D472" s="532"/>
      <c r="E472" s="532"/>
      <c r="F472" s="532"/>
      <c r="G472" s="532"/>
      <c r="H472" s="532"/>
    </row>
    <row r="473" spans="1:8" ht="12.75">
      <c r="A473" s="532"/>
      <c r="B473" s="532"/>
      <c r="C473" s="532"/>
      <c r="D473" s="532"/>
      <c r="E473" s="532"/>
      <c r="F473" s="532"/>
      <c r="G473" s="532"/>
      <c r="H473" s="532"/>
    </row>
    <row r="474" spans="1:8" ht="12.75">
      <c r="A474" s="532"/>
      <c r="B474" s="532"/>
      <c r="C474" s="532"/>
      <c r="D474" s="532"/>
      <c r="E474" s="532"/>
      <c r="F474" s="532"/>
      <c r="G474" s="532"/>
      <c r="H474" s="532"/>
    </row>
    <row r="475" spans="1:8" ht="12.75">
      <c r="A475" s="532"/>
      <c r="B475" s="532"/>
      <c r="C475" s="532"/>
      <c r="D475" s="532"/>
      <c r="E475" s="532"/>
      <c r="F475" s="532"/>
      <c r="G475" s="532"/>
      <c r="H475" s="532"/>
    </row>
    <row r="476" spans="1:8" ht="12.75">
      <c r="A476" s="532"/>
      <c r="B476" s="532"/>
      <c r="C476" s="532"/>
      <c r="D476" s="532"/>
      <c r="E476" s="532"/>
      <c r="F476" s="532"/>
      <c r="G476" s="532"/>
      <c r="H476" s="532"/>
    </row>
    <row r="477" spans="1:8" ht="12.75">
      <c r="A477" s="532"/>
      <c r="B477" s="532"/>
      <c r="C477" s="532"/>
      <c r="D477" s="532"/>
      <c r="E477" s="532"/>
      <c r="F477" s="532"/>
      <c r="G477" s="532"/>
      <c r="H477" s="532"/>
    </row>
    <row r="478" spans="1:8" ht="12.75">
      <c r="A478" s="532"/>
      <c r="B478" s="532"/>
      <c r="C478" s="532"/>
      <c r="D478" s="532"/>
      <c r="E478" s="532"/>
      <c r="F478" s="532"/>
      <c r="G478" s="532"/>
      <c r="H478" s="532"/>
    </row>
    <row r="479" spans="1:8" ht="12.75">
      <c r="A479" s="532"/>
      <c r="B479" s="532"/>
      <c r="C479" s="532"/>
      <c r="D479" s="532"/>
      <c r="E479" s="532"/>
      <c r="F479" s="532"/>
      <c r="G479" s="532"/>
      <c r="H479" s="532"/>
    </row>
    <row r="480" spans="1:8" ht="12.75">
      <c r="A480" s="532"/>
      <c r="B480" s="532"/>
      <c r="C480" s="532"/>
      <c r="D480" s="532"/>
      <c r="E480" s="532"/>
      <c r="F480" s="532"/>
      <c r="G480" s="532"/>
      <c r="H480" s="532"/>
    </row>
    <row r="481" spans="1:8" ht="12.75">
      <c r="A481" s="532"/>
      <c r="B481" s="532"/>
      <c r="C481" s="532"/>
      <c r="D481" s="532"/>
      <c r="E481" s="532"/>
      <c r="F481" s="532"/>
      <c r="G481" s="532"/>
      <c r="H481" s="532"/>
    </row>
    <row r="482" spans="1:8" ht="12.75">
      <c r="A482" s="532"/>
      <c r="B482" s="532"/>
      <c r="C482" s="532"/>
      <c r="D482" s="532"/>
      <c r="E482" s="532"/>
      <c r="F482" s="532"/>
      <c r="G482" s="532"/>
      <c r="H482" s="532"/>
    </row>
    <row r="483" spans="1:8" ht="12.75">
      <c r="A483" s="532"/>
      <c r="B483" s="532"/>
      <c r="C483" s="532"/>
      <c r="D483" s="532"/>
      <c r="E483" s="532"/>
      <c r="F483" s="532"/>
      <c r="G483" s="532"/>
      <c r="H483" s="532"/>
    </row>
    <row r="484" spans="1:8" ht="12.75">
      <c r="A484" s="532"/>
      <c r="B484" s="532"/>
      <c r="C484" s="532"/>
      <c r="D484" s="532"/>
      <c r="E484" s="532"/>
      <c r="F484" s="532"/>
      <c r="G484" s="532"/>
      <c r="H484" s="532"/>
    </row>
    <row r="485" spans="1:8" ht="12.75">
      <c r="A485" s="532"/>
      <c r="B485" s="532"/>
      <c r="C485" s="532"/>
      <c r="D485" s="532"/>
      <c r="E485" s="532"/>
      <c r="F485" s="532"/>
      <c r="G485" s="532"/>
      <c r="H485" s="532"/>
    </row>
    <row r="486" spans="1:8" ht="12.75">
      <c r="A486" s="532"/>
      <c r="B486" s="532"/>
      <c r="C486" s="532"/>
      <c r="D486" s="532"/>
      <c r="E486" s="532"/>
      <c r="F486" s="532"/>
      <c r="G486" s="532"/>
      <c r="H486" s="532"/>
    </row>
    <row r="487" spans="1:8" ht="12.75">
      <c r="A487" s="532"/>
      <c r="B487" s="532"/>
      <c r="C487" s="532"/>
      <c r="D487" s="532"/>
      <c r="E487" s="532"/>
      <c r="F487" s="532"/>
      <c r="G487" s="532"/>
      <c r="H487" s="532"/>
    </row>
    <row r="488" spans="1:8" ht="12.75">
      <c r="A488" s="532"/>
      <c r="B488" s="532"/>
      <c r="C488" s="532"/>
      <c r="D488" s="532"/>
      <c r="E488" s="532"/>
      <c r="F488" s="532"/>
      <c r="G488" s="532"/>
      <c r="H488" s="532"/>
    </row>
    <row r="489" spans="1:8" ht="12.75">
      <c r="A489" s="532"/>
      <c r="B489" s="532"/>
      <c r="C489" s="532"/>
      <c r="D489" s="532"/>
      <c r="E489" s="532"/>
      <c r="F489" s="532"/>
      <c r="G489" s="532"/>
      <c r="H489" s="532"/>
    </row>
    <row r="490" spans="1:8" ht="12.75">
      <c r="A490" s="532"/>
      <c r="B490" s="532"/>
      <c r="C490" s="532"/>
      <c r="D490" s="532"/>
      <c r="E490" s="532"/>
      <c r="F490" s="532"/>
      <c r="G490" s="532"/>
      <c r="H490" s="532"/>
    </row>
    <row r="491" spans="1:8" ht="12.75">
      <c r="A491" s="532"/>
      <c r="B491" s="532"/>
      <c r="C491" s="532"/>
      <c r="D491" s="532"/>
      <c r="E491" s="532"/>
      <c r="F491" s="532"/>
      <c r="G491" s="532"/>
      <c r="H491" s="532"/>
    </row>
    <row r="492" spans="1:8" ht="12.75">
      <c r="A492" s="532"/>
      <c r="B492" s="532"/>
      <c r="C492" s="532"/>
      <c r="D492" s="532"/>
      <c r="E492" s="532"/>
      <c r="F492" s="532"/>
      <c r="G492" s="532"/>
      <c r="H492" s="532"/>
    </row>
    <row r="493" spans="1:8" ht="12.75">
      <c r="A493" s="532"/>
      <c r="B493" s="532"/>
      <c r="C493" s="532"/>
      <c r="D493" s="532"/>
      <c r="E493" s="532"/>
      <c r="F493" s="532"/>
      <c r="G493" s="532"/>
      <c r="H493" s="532"/>
    </row>
    <row r="494" spans="1:8" ht="12.75">
      <c r="A494" s="532"/>
      <c r="B494" s="532"/>
      <c r="C494" s="532"/>
      <c r="D494" s="532"/>
      <c r="E494" s="532"/>
      <c r="F494" s="532"/>
      <c r="G494" s="532"/>
      <c r="H494" s="532"/>
    </row>
    <row r="495" spans="1:8" ht="12.75">
      <c r="A495" s="532"/>
      <c r="B495" s="532"/>
      <c r="C495" s="532"/>
      <c r="D495" s="532"/>
      <c r="E495" s="532"/>
      <c r="F495" s="532"/>
      <c r="G495" s="532"/>
      <c r="H495" s="532"/>
    </row>
    <row r="496" spans="1:8" ht="12.75">
      <c r="A496" s="532"/>
      <c r="B496" s="532"/>
      <c r="C496" s="532"/>
      <c r="D496" s="532"/>
      <c r="E496" s="532"/>
      <c r="F496" s="532"/>
      <c r="G496" s="532"/>
      <c r="H496" s="532"/>
    </row>
    <row r="497" spans="1:8" ht="12.75">
      <c r="A497" s="532"/>
      <c r="B497" s="532"/>
      <c r="C497" s="532"/>
      <c r="D497" s="532"/>
      <c r="E497" s="532"/>
      <c r="F497" s="532"/>
      <c r="G497" s="532"/>
      <c r="H497" s="532"/>
    </row>
    <row r="498" spans="1:8" ht="12.75">
      <c r="A498" s="532"/>
      <c r="B498" s="532"/>
      <c r="C498" s="532"/>
      <c r="D498" s="532"/>
      <c r="E498" s="532"/>
      <c r="F498" s="532"/>
      <c r="G498" s="532"/>
      <c r="H498" s="532"/>
    </row>
    <row r="499" spans="1:8" ht="12.75">
      <c r="A499" s="532"/>
      <c r="B499" s="532"/>
      <c r="C499" s="532"/>
      <c r="D499" s="532"/>
      <c r="E499" s="532"/>
      <c r="F499" s="532"/>
      <c r="G499" s="532"/>
      <c r="H499" s="532"/>
    </row>
    <row r="500" spans="1:8" ht="12.75">
      <c r="A500" s="532"/>
      <c r="B500" s="532"/>
      <c r="C500" s="532"/>
      <c r="D500" s="532"/>
      <c r="E500" s="532"/>
      <c r="F500" s="532"/>
      <c r="G500" s="532"/>
      <c r="H500" s="532"/>
    </row>
    <row r="501" spans="1:8" ht="12.75">
      <c r="A501" s="532"/>
      <c r="B501" s="532"/>
      <c r="C501" s="532"/>
      <c r="D501" s="532"/>
      <c r="E501" s="532"/>
      <c r="F501" s="532"/>
      <c r="G501" s="532"/>
      <c r="H501" s="532"/>
    </row>
    <row r="502" spans="1:8" ht="12.75">
      <c r="A502" s="532"/>
      <c r="B502" s="532"/>
      <c r="C502" s="532"/>
      <c r="D502" s="532"/>
      <c r="E502" s="532"/>
      <c r="F502" s="532"/>
      <c r="G502" s="532"/>
      <c r="H502" s="532"/>
    </row>
    <row r="503" spans="1:8" ht="12.75">
      <c r="A503" s="532"/>
      <c r="B503" s="532"/>
      <c r="C503" s="532"/>
      <c r="D503" s="532"/>
      <c r="E503" s="532"/>
      <c r="F503" s="532"/>
      <c r="G503" s="532"/>
      <c r="H503" s="532"/>
    </row>
    <row r="504" spans="1:8" ht="12.75">
      <c r="A504" s="532"/>
      <c r="B504" s="532"/>
      <c r="C504" s="532"/>
      <c r="D504" s="532"/>
      <c r="E504" s="532"/>
      <c r="F504" s="532"/>
      <c r="G504" s="532"/>
      <c r="H504" s="532"/>
    </row>
    <row r="505" spans="1:8" ht="12.75">
      <c r="A505" s="532"/>
      <c r="B505" s="532"/>
      <c r="C505" s="532"/>
      <c r="D505" s="532"/>
      <c r="E505" s="532"/>
      <c r="F505" s="532"/>
      <c r="G505" s="532"/>
      <c r="H505" s="532"/>
    </row>
    <row r="506" spans="1:8" ht="12.75">
      <c r="A506" s="532"/>
      <c r="B506" s="532"/>
      <c r="C506" s="532"/>
      <c r="D506" s="532"/>
      <c r="E506" s="532"/>
      <c r="F506" s="532"/>
      <c r="G506" s="532"/>
      <c r="H506" s="532"/>
    </row>
    <row r="507" spans="1:8" ht="12.75">
      <c r="A507" s="532"/>
      <c r="B507" s="532"/>
      <c r="C507" s="532"/>
      <c r="D507" s="532"/>
      <c r="E507" s="532"/>
      <c r="F507" s="532"/>
      <c r="G507" s="532"/>
      <c r="H507" s="532"/>
    </row>
    <row r="508" spans="1:8" ht="12.75">
      <c r="A508" s="532"/>
      <c r="B508" s="532"/>
      <c r="C508" s="532"/>
      <c r="D508" s="532"/>
      <c r="E508" s="532"/>
      <c r="F508" s="532"/>
      <c r="G508" s="532"/>
      <c r="H508" s="532"/>
    </row>
    <row r="509" spans="1:8" ht="12.75">
      <c r="A509" s="532"/>
      <c r="B509" s="532"/>
      <c r="C509" s="532"/>
      <c r="D509" s="532"/>
      <c r="E509" s="532"/>
      <c r="F509" s="532"/>
      <c r="G509" s="532"/>
      <c r="H509" s="532"/>
    </row>
    <row r="510" spans="1:8" ht="12.75">
      <c r="A510" s="532"/>
      <c r="B510" s="532"/>
      <c r="C510" s="532"/>
      <c r="D510" s="532"/>
      <c r="E510" s="532"/>
      <c r="F510" s="532"/>
      <c r="G510" s="532"/>
      <c r="H510" s="532"/>
    </row>
    <row r="511" spans="1:8" ht="12.75">
      <c r="A511" s="532"/>
      <c r="B511" s="532"/>
      <c r="C511" s="532"/>
      <c r="D511" s="532"/>
      <c r="E511" s="532"/>
      <c r="F511" s="532"/>
      <c r="G511" s="532"/>
      <c r="H511" s="532"/>
    </row>
    <row r="512" spans="1:8" ht="12.75">
      <c r="A512" s="532"/>
      <c r="B512" s="532"/>
      <c r="C512" s="532"/>
      <c r="D512" s="532"/>
      <c r="E512" s="532"/>
      <c r="F512" s="532"/>
      <c r="G512" s="532"/>
      <c r="H512" s="532"/>
    </row>
    <row r="513" spans="1:8" ht="12.75">
      <c r="A513" s="532"/>
      <c r="B513" s="532"/>
      <c r="C513" s="532"/>
      <c r="D513" s="532"/>
      <c r="E513" s="532"/>
      <c r="F513" s="532"/>
      <c r="G513" s="532"/>
      <c r="H513" s="532"/>
    </row>
    <row r="514" spans="1:8" ht="12.75">
      <c r="A514" s="532"/>
      <c r="B514" s="532"/>
      <c r="C514" s="532"/>
      <c r="D514" s="532"/>
      <c r="E514" s="532"/>
      <c r="F514" s="532"/>
      <c r="G514" s="532"/>
      <c r="H514" s="532"/>
    </row>
    <row r="515" spans="1:8" ht="12.75">
      <c r="A515" s="532"/>
      <c r="B515" s="532"/>
      <c r="C515" s="532"/>
      <c r="D515" s="532"/>
      <c r="E515" s="532"/>
      <c r="F515" s="532"/>
      <c r="G515" s="532"/>
      <c r="H515" s="532"/>
    </row>
    <row r="516" spans="1:8" ht="12.75">
      <c r="A516" s="532"/>
      <c r="B516" s="532"/>
      <c r="C516" s="532"/>
      <c r="D516" s="532"/>
      <c r="E516" s="532"/>
      <c r="F516" s="532"/>
      <c r="G516" s="532"/>
      <c r="H516" s="532"/>
    </row>
    <row r="517" spans="1:8" ht="12.75">
      <c r="A517" s="532"/>
      <c r="B517" s="532"/>
      <c r="C517" s="532"/>
      <c r="D517" s="532"/>
      <c r="E517" s="532"/>
      <c r="F517" s="532"/>
      <c r="G517" s="532"/>
      <c r="H517" s="532"/>
    </row>
    <row r="518" spans="1:8" ht="12.75">
      <c r="A518" s="532"/>
      <c r="B518" s="532"/>
      <c r="C518" s="532"/>
      <c r="D518" s="532"/>
      <c r="E518" s="532"/>
      <c r="F518" s="532"/>
      <c r="G518" s="532"/>
      <c r="H518" s="532"/>
    </row>
    <row r="519" spans="1:8" ht="12.75">
      <c r="A519" s="532"/>
      <c r="B519" s="532"/>
      <c r="C519" s="532"/>
      <c r="D519" s="532"/>
      <c r="E519" s="532"/>
      <c r="F519" s="532"/>
      <c r="G519" s="532"/>
      <c r="H519" s="532"/>
    </row>
    <row r="520" spans="1:8" ht="12.75">
      <c r="A520" s="532"/>
      <c r="B520" s="532"/>
      <c r="C520" s="532"/>
      <c r="D520" s="532"/>
      <c r="E520" s="532"/>
      <c r="F520" s="532"/>
      <c r="G520" s="532"/>
      <c r="H520" s="532"/>
    </row>
    <row r="521" spans="1:8" ht="12.75">
      <c r="A521" s="532"/>
      <c r="B521" s="532"/>
      <c r="C521" s="532"/>
      <c r="D521" s="532"/>
      <c r="E521" s="532"/>
      <c r="F521" s="532"/>
      <c r="G521" s="532"/>
      <c r="H521" s="532"/>
    </row>
    <row r="522" spans="1:8" ht="12.75">
      <c r="A522" s="532"/>
      <c r="B522" s="532"/>
      <c r="C522" s="532"/>
      <c r="D522" s="532"/>
      <c r="E522" s="532"/>
      <c r="F522" s="532"/>
      <c r="G522" s="532"/>
      <c r="H522" s="532"/>
    </row>
    <row r="523" spans="1:8" ht="12.75">
      <c r="A523" s="532"/>
      <c r="B523" s="532"/>
      <c r="C523" s="532"/>
      <c r="D523" s="532"/>
      <c r="E523" s="532"/>
      <c r="F523" s="532"/>
      <c r="G523" s="532"/>
      <c r="H523" s="532"/>
    </row>
    <row r="524" spans="1:8" ht="12.75">
      <c r="A524" s="532"/>
      <c r="B524" s="532"/>
      <c r="C524" s="532"/>
      <c r="D524" s="532"/>
      <c r="E524" s="532"/>
      <c r="F524" s="532"/>
      <c r="G524" s="532"/>
      <c r="H524" s="532"/>
    </row>
    <row r="525" spans="1:8" ht="12.75">
      <c r="A525" s="532"/>
      <c r="B525" s="532"/>
      <c r="C525" s="532"/>
      <c r="D525" s="532"/>
      <c r="E525" s="532"/>
      <c r="F525" s="532"/>
      <c r="G525" s="532"/>
      <c r="H525" s="532"/>
    </row>
    <row r="526" spans="1:8" ht="12.75">
      <c r="A526" s="532"/>
      <c r="B526" s="532"/>
      <c r="C526" s="532"/>
      <c r="D526" s="532"/>
      <c r="E526" s="532"/>
      <c r="F526" s="532"/>
      <c r="G526" s="532"/>
      <c r="H526" s="532"/>
    </row>
    <row r="527" spans="1:8" ht="12.75">
      <c r="A527" s="532"/>
      <c r="B527" s="532"/>
      <c r="C527" s="532"/>
      <c r="D527" s="532"/>
      <c r="E527" s="532"/>
      <c r="F527" s="532"/>
      <c r="G527" s="532"/>
      <c r="H527" s="532"/>
    </row>
    <row r="528" spans="1:8" ht="12.75">
      <c r="A528" s="532"/>
      <c r="B528" s="532"/>
      <c r="C528" s="532"/>
      <c r="D528" s="532"/>
      <c r="E528" s="532"/>
      <c r="F528" s="532"/>
      <c r="G528" s="532"/>
      <c r="H528" s="532"/>
    </row>
    <row r="529" spans="1:8" ht="12.75">
      <c r="A529" s="532"/>
      <c r="B529" s="532"/>
      <c r="C529" s="532"/>
      <c r="D529" s="532"/>
      <c r="E529" s="532"/>
      <c r="F529" s="532"/>
      <c r="G529" s="532"/>
      <c r="H529" s="532"/>
    </row>
    <row r="530" spans="1:8" ht="12.75">
      <c r="A530" s="532"/>
      <c r="B530" s="532"/>
      <c r="C530" s="532"/>
      <c r="D530" s="532"/>
      <c r="E530" s="532"/>
      <c r="F530" s="532"/>
      <c r="G530" s="532"/>
      <c r="H530" s="532"/>
    </row>
    <row r="531" spans="1:8" ht="12.75">
      <c r="A531" s="532"/>
      <c r="B531" s="532"/>
      <c r="C531" s="532"/>
      <c r="D531" s="532"/>
      <c r="E531" s="532"/>
      <c r="F531" s="532"/>
      <c r="G531" s="532"/>
      <c r="H531" s="532"/>
    </row>
    <row r="532" spans="1:8" ht="12.75">
      <c r="A532" s="532"/>
      <c r="B532" s="532"/>
      <c r="C532" s="532"/>
      <c r="D532" s="532"/>
      <c r="E532" s="532"/>
      <c r="F532" s="532"/>
      <c r="G532" s="532"/>
      <c r="H532" s="532"/>
    </row>
    <row r="533" spans="1:8" ht="12.75">
      <c r="A533" s="532"/>
      <c r="B533" s="532"/>
      <c r="C533" s="532"/>
      <c r="D533" s="532"/>
      <c r="E533" s="532"/>
      <c r="F533" s="532"/>
      <c r="G533" s="532"/>
      <c r="H533" s="532"/>
    </row>
    <row r="534" spans="1:8" ht="12.75">
      <c r="A534" s="532"/>
      <c r="B534" s="532"/>
      <c r="C534" s="532"/>
      <c r="D534" s="532"/>
      <c r="E534" s="532"/>
      <c r="F534" s="532"/>
      <c r="G534" s="532"/>
      <c r="H534" s="532"/>
    </row>
    <row r="535" spans="1:8" ht="12.75">
      <c r="A535" s="532"/>
      <c r="B535" s="532"/>
      <c r="C535" s="532"/>
      <c r="D535" s="532"/>
      <c r="E535" s="532"/>
      <c r="F535" s="532"/>
      <c r="G535" s="532"/>
      <c r="H535" s="532"/>
    </row>
    <row r="536" spans="1:8" ht="12.75">
      <c r="A536" s="532"/>
      <c r="B536" s="532"/>
      <c r="C536" s="532"/>
      <c r="D536" s="532"/>
      <c r="E536" s="532"/>
      <c r="F536" s="532"/>
      <c r="G536" s="532"/>
      <c r="H536" s="532"/>
    </row>
    <row r="537" spans="1:8" ht="12.75">
      <c r="A537" s="532"/>
      <c r="B537" s="532"/>
      <c r="C537" s="532"/>
      <c r="D537" s="532"/>
      <c r="E537" s="532"/>
      <c r="F537" s="532"/>
      <c r="G537" s="532"/>
      <c r="H537" s="532"/>
    </row>
    <row r="538" spans="1:8" ht="12.75">
      <c r="A538" s="532"/>
      <c r="B538" s="532"/>
      <c r="C538" s="532"/>
      <c r="D538" s="532"/>
      <c r="E538" s="532"/>
      <c r="F538" s="532"/>
      <c r="G538" s="532"/>
      <c r="H538" s="532"/>
    </row>
    <row r="539" spans="1:8" ht="12.75">
      <c r="A539" s="532"/>
      <c r="B539" s="532"/>
      <c r="C539" s="532"/>
      <c r="D539" s="532"/>
      <c r="E539" s="532"/>
      <c r="F539" s="532"/>
      <c r="G539" s="532"/>
      <c r="H539" s="532"/>
    </row>
    <row r="540" spans="1:8" ht="12.75">
      <c r="A540" s="532"/>
      <c r="B540" s="532"/>
      <c r="C540" s="532"/>
      <c r="D540" s="532"/>
      <c r="E540" s="532"/>
      <c r="F540" s="532"/>
      <c r="G540" s="532"/>
      <c r="H540" s="532"/>
    </row>
    <row r="541" spans="1:8" ht="12.75">
      <c r="A541" s="532"/>
      <c r="B541" s="532"/>
      <c r="C541" s="532"/>
      <c r="D541" s="532"/>
      <c r="E541" s="532"/>
      <c r="F541" s="532"/>
      <c r="G541" s="532"/>
      <c r="H541" s="532"/>
    </row>
    <row r="542" spans="1:8" ht="12.75">
      <c r="A542" s="532"/>
      <c r="B542" s="532"/>
      <c r="C542" s="532"/>
      <c r="D542" s="532"/>
      <c r="E542" s="532"/>
      <c r="F542" s="532"/>
      <c r="G542" s="532"/>
      <c r="H542" s="532"/>
    </row>
    <row r="543" spans="1:8" ht="12.75">
      <c r="A543" s="532"/>
      <c r="B543" s="532"/>
      <c r="C543" s="532"/>
      <c r="D543" s="532"/>
      <c r="E543" s="532"/>
      <c r="F543" s="532"/>
      <c r="G543" s="532"/>
      <c r="H543" s="532"/>
    </row>
    <row r="544" spans="1:8" ht="12.75">
      <c r="A544" s="532"/>
      <c r="B544" s="532"/>
      <c r="C544" s="532"/>
      <c r="D544" s="532"/>
      <c r="E544" s="532"/>
      <c r="F544" s="532"/>
      <c r="G544" s="532"/>
      <c r="H544" s="532"/>
    </row>
    <row r="545" spans="1:8" ht="12.75">
      <c r="A545" s="532"/>
      <c r="B545" s="532"/>
      <c r="C545" s="532"/>
      <c r="D545" s="532"/>
      <c r="E545" s="532"/>
      <c r="F545" s="532"/>
      <c r="G545" s="532"/>
      <c r="H545" s="532"/>
    </row>
    <row r="546" spans="1:8" ht="12.75">
      <c r="A546" s="532"/>
      <c r="B546" s="532"/>
      <c r="C546" s="532"/>
      <c r="D546" s="532"/>
      <c r="E546" s="532"/>
      <c r="F546" s="532"/>
      <c r="G546" s="532"/>
      <c r="H546" s="532"/>
    </row>
    <row r="547" spans="1:8" ht="12.75">
      <c r="A547" s="532"/>
      <c r="B547" s="532"/>
      <c r="C547" s="532"/>
      <c r="D547" s="532"/>
      <c r="E547" s="532"/>
      <c r="F547" s="532"/>
      <c r="G547" s="532"/>
      <c r="H547" s="532"/>
    </row>
    <row r="548" spans="1:8" ht="12.75">
      <c r="A548" s="532"/>
      <c r="B548" s="532"/>
      <c r="C548" s="532"/>
      <c r="D548" s="532"/>
      <c r="E548" s="532"/>
      <c r="F548" s="532"/>
      <c r="G548" s="532"/>
      <c r="H548" s="532"/>
    </row>
    <row r="549" spans="1:8" ht="12.75">
      <c r="A549" s="532"/>
      <c r="B549" s="532"/>
      <c r="C549" s="532"/>
      <c r="D549" s="532"/>
      <c r="E549" s="532"/>
      <c r="F549" s="532"/>
      <c r="G549" s="532"/>
      <c r="H549" s="532"/>
    </row>
    <row r="550" spans="1:8" ht="12.75">
      <c r="A550" s="532"/>
      <c r="B550" s="532"/>
      <c r="C550" s="532"/>
      <c r="D550" s="532"/>
      <c r="E550" s="532"/>
      <c r="F550" s="532"/>
      <c r="G550" s="532"/>
      <c r="H550" s="532"/>
    </row>
    <row r="551" spans="1:8" ht="12.75">
      <c r="A551" s="532"/>
      <c r="B551" s="532"/>
      <c r="C551" s="532"/>
      <c r="D551" s="532"/>
      <c r="E551" s="532"/>
      <c r="F551" s="532"/>
      <c r="G551" s="532"/>
      <c r="H551" s="532"/>
    </row>
    <row r="552" spans="1:8" ht="12.75">
      <c r="A552" s="532"/>
      <c r="B552" s="532"/>
      <c r="C552" s="532"/>
      <c r="D552" s="532"/>
      <c r="E552" s="532"/>
      <c r="F552" s="532"/>
      <c r="G552" s="532"/>
      <c r="H552" s="532"/>
    </row>
    <row r="553" spans="1:8" ht="12.75">
      <c r="A553" s="532"/>
      <c r="B553" s="532"/>
      <c r="C553" s="532"/>
      <c r="D553" s="532"/>
      <c r="E553" s="532"/>
      <c r="F553" s="532"/>
      <c r="G553" s="532"/>
      <c r="H553" s="532"/>
    </row>
    <row r="554" spans="1:8" ht="12.75">
      <c r="A554" s="532"/>
      <c r="B554" s="532"/>
      <c r="C554" s="532"/>
      <c r="D554" s="532"/>
      <c r="E554" s="532"/>
      <c r="F554" s="532"/>
      <c r="G554" s="532"/>
      <c r="H554" s="532"/>
    </row>
    <row r="555" spans="1:8" ht="12.75">
      <c r="A555" s="532"/>
      <c r="B555" s="532"/>
      <c r="C555" s="532"/>
      <c r="D555" s="532"/>
      <c r="E555" s="532"/>
      <c r="F555" s="532"/>
      <c r="G555" s="532"/>
      <c r="H555" s="532"/>
    </row>
    <row r="556" spans="1:8" ht="12.75">
      <c r="A556" s="532"/>
      <c r="B556" s="532"/>
      <c r="C556" s="532"/>
      <c r="D556" s="532"/>
      <c r="E556" s="532"/>
      <c r="F556" s="532"/>
      <c r="G556" s="532"/>
      <c r="H556" s="532"/>
    </row>
    <row r="557" spans="1:8" ht="12.75">
      <c r="A557" s="532"/>
      <c r="B557" s="532"/>
      <c r="C557" s="532"/>
      <c r="D557" s="532"/>
      <c r="E557" s="532"/>
      <c r="F557" s="532"/>
      <c r="G557" s="532"/>
      <c r="H557" s="532"/>
    </row>
    <row r="558" spans="1:8" ht="12.75">
      <c r="A558" s="532"/>
      <c r="B558" s="532"/>
      <c r="C558" s="532"/>
      <c r="D558" s="532"/>
      <c r="E558" s="532"/>
      <c r="F558" s="532"/>
      <c r="G558" s="532"/>
      <c r="H558" s="532"/>
    </row>
    <row r="559" spans="1:8" ht="12.75">
      <c r="A559" s="532"/>
      <c r="B559" s="532"/>
      <c r="C559" s="532"/>
      <c r="D559" s="532"/>
      <c r="E559" s="532"/>
      <c r="F559" s="532"/>
      <c r="G559" s="532"/>
      <c r="H559" s="532"/>
    </row>
    <row r="560" spans="1:8" ht="12.75">
      <c r="A560" s="532"/>
      <c r="B560" s="532"/>
      <c r="C560" s="532"/>
      <c r="D560" s="532"/>
      <c r="E560" s="532"/>
      <c r="F560" s="532"/>
      <c r="G560" s="532"/>
      <c r="H560" s="532"/>
    </row>
    <row r="561" spans="1:8" ht="12.75">
      <c r="A561" s="532"/>
      <c r="B561" s="532"/>
      <c r="C561" s="532"/>
      <c r="D561" s="532"/>
      <c r="E561" s="532"/>
      <c r="F561" s="532"/>
      <c r="G561" s="532"/>
      <c r="H561" s="532"/>
    </row>
    <row r="562" spans="1:8" ht="12.75">
      <c r="A562" s="532"/>
      <c r="B562" s="532"/>
      <c r="C562" s="532"/>
      <c r="D562" s="532"/>
      <c r="E562" s="532"/>
      <c r="F562" s="532"/>
      <c r="G562" s="532"/>
      <c r="H562" s="532"/>
    </row>
    <row r="563" spans="1:8" ht="12.75">
      <c r="A563" s="532"/>
      <c r="B563" s="532"/>
      <c r="C563" s="532"/>
      <c r="D563" s="532"/>
      <c r="E563" s="532"/>
      <c r="F563" s="532"/>
      <c r="G563" s="532"/>
      <c r="H563" s="532"/>
    </row>
    <row r="564" spans="1:8" ht="12.75">
      <c r="A564" s="532"/>
      <c r="B564" s="532"/>
      <c r="C564" s="532"/>
      <c r="D564" s="532"/>
      <c r="E564" s="532"/>
      <c r="F564" s="532"/>
      <c r="G564" s="532"/>
      <c r="H564" s="532"/>
    </row>
    <row r="565" spans="1:8" ht="12.75">
      <c r="A565" s="532"/>
      <c r="B565" s="532"/>
      <c r="C565" s="532"/>
      <c r="D565" s="532"/>
      <c r="E565" s="532"/>
      <c r="F565" s="532"/>
      <c r="G565" s="532"/>
      <c r="H565" s="532"/>
    </row>
    <row r="566" spans="1:8" ht="12.75">
      <c r="A566" s="532"/>
      <c r="B566" s="532"/>
      <c r="C566" s="532"/>
      <c r="D566" s="532"/>
      <c r="E566" s="532"/>
      <c r="F566" s="532"/>
      <c r="G566" s="532"/>
      <c r="H566" s="532"/>
    </row>
    <row r="567" spans="1:8" ht="12.75">
      <c r="A567" s="532"/>
      <c r="B567" s="532"/>
      <c r="C567" s="532"/>
      <c r="D567" s="532"/>
      <c r="E567" s="532"/>
      <c r="F567" s="532"/>
      <c r="G567" s="532"/>
      <c r="H567" s="532"/>
    </row>
    <row r="568" spans="1:8" ht="12.75">
      <c r="A568" s="532"/>
      <c r="B568" s="532"/>
      <c r="C568" s="532"/>
      <c r="D568" s="532"/>
      <c r="E568" s="532"/>
      <c r="F568" s="532"/>
      <c r="G568" s="532"/>
      <c r="H568" s="532"/>
    </row>
    <row r="569" spans="1:8" ht="12.75">
      <c r="A569" s="532"/>
      <c r="B569" s="532"/>
      <c r="C569" s="532"/>
      <c r="D569" s="532"/>
      <c r="E569" s="532"/>
      <c r="F569" s="532"/>
      <c r="G569" s="532"/>
      <c r="H569" s="532"/>
    </row>
    <row r="570" spans="1:8" ht="12.75">
      <c r="A570" s="532"/>
      <c r="B570" s="532"/>
      <c r="C570" s="532"/>
      <c r="D570" s="532"/>
      <c r="E570" s="532"/>
      <c r="F570" s="532"/>
      <c r="G570" s="532"/>
      <c r="H570" s="532"/>
    </row>
    <row r="571" spans="1:8" ht="12.75">
      <c r="A571" s="532"/>
      <c r="B571" s="532"/>
      <c r="C571" s="532"/>
      <c r="D571" s="532"/>
      <c r="E571" s="532"/>
      <c r="F571" s="532"/>
      <c r="G571" s="532"/>
      <c r="H571" s="532"/>
    </row>
    <row r="572" spans="1:8" ht="12.75">
      <c r="A572" s="532"/>
      <c r="B572" s="532"/>
      <c r="C572" s="532"/>
      <c r="D572" s="532"/>
      <c r="E572" s="532"/>
      <c r="F572" s="532"/>
      <c r="G572" s="532"/>
      <c r="H572" s="532"/>
    </row>
    <row r="573" spans="1:8" ht="12.75">
      <c r="A573" s="532"/>
      <c r="B573" s="532"/>
      <c r="C573" s="532"/>
      <c r="D573" s="532"/>
      <c r="E573" s="532"/>
      <c r="F573" s="532"/>
      <c r="G573" s="532"/>
      <c r="H573" s="532"/>
    </row>
    <row r="574" spans="1:8" ht="12.75">
      <c r="A574" s="532"/>
      <c r="B574" s="532"/>
      <c r="C574" s="532"/>
      <c r="D574" s="532"/>
      <c r="E574" s="532"/>
      <c r="F574" s="532"/>
      <c r="G574" s="532"/>
      <c r="H574" s="532"/>
    </row>
    <row r="575" spans="1:8" ht="12.75">
      <c r="A575" s="532"/>
      <c r="B575" s="532"/>
      <c r="C575" s="532"/>
      <c r="D575" s="532"/>
      <c r="E575" s="532"/>
      <c r="F575" s="532"/>
      <c r="G575" s="532"/>
      <c r="H575" s="532"/>
    </row>
    <row r="576" spans="1:8" ht="12.75">
      <c r="A576" s="532"/>
      <c r="B576" s="532"/>
      <c r="C576" s="532"/>
      <c r="D576" s="532"/>
      <c r="E576" s="532"/>
      <c r="F576" s="532"/>
      <c r="G576" s="532"/>
      <c r="H576" s="532"/>
    </row>
    <row r="577" spans="1:8" ht="12.75">
      <c r="A577" s="532"/>
      <c r="B577" s="532"/>
      <c r="C577" s="532"/>
      <c r="D577" s="532"/>
      <c r="E577" s="532"/>
      <c r="F577" s="532"/>
      <c r="G577" s="532"/>
      <c r="H577" s="532"/>
    </row>
    <row r="578" spans="1:8" ht="12.75">
      <c r="A578" s="532"/>
      <c r="B578" s="532"/>
      <c r="C578" s="532"/>
      <c r="D578" s="532"/>
      <c r="E578" s="532"/>
      <c r="F578" s="532"/>
      <c r="G578" s="532"/>
      <c r="H578" s="532"/>
    </row>
    <row r="579" spans="1:8" ht="12.75">
      <c r="A579" s="532"/>
      <c r="B579" s="532"/>
      <c r="C579" s="532"/>
      <c r="D579" s="532"/>
      <c r="E579" s="532"/>
      <c r="F579" s="532"/>
      <c r="G579" s="532"/>
      <c r="H579" s="532"/>
    </row>
    <row r="580" spans="1:8" ht="12.75">
      <c r="A580" s="532"/>
      <c r="B580" s="532"/>
      <c r="C580" s="532"/>
      <c r="D580" s="532"/>
      <c r="E580" s="532"/>
      <c r="F580" s="532"/>
      <c r="G580" s="532"/>
      <c r="H580" s="532"/>
    </row>
    <row r="581" spans="1:8" ht="12.75">
      <c r="A581" s="532"/>
      <c r="B581" s="532"/>
      <c r="C581" s="532"/>
      <c r="D581" s="532"/>
      <c r="E581" s="532"/>
      <c r="F581" s="532"/>
      <c r="G581" s="532"/>
      <c r="H581" s="532"/>
    </row>
    <row r="582" spans="1:8" ht="12.75">
      <c r="A582" s="532"/>
      <c r="B582" s="532"/>
      <c r="C582" s="532"/>
      <c r="D582" s="532"/>
      <c r="E582" s="532"/>
      <c r="F582" s="532"/>
      <c r="G582" s="532"/>
      <c r="H582" s="532"/>
    </row>
    <row r="583" spans="1:8" ht="12.75">
      <c r="A583" s="532"/>
      <c r="B583" s="532"/>
      <c r="C583" s="532"/>
      <c r="D583" s="532"/>
      <c r="E583" s="532"/>
      <c r="F583" s="532"/>
      <c r="G583" s="532"/>
      <c r="H583" s="532"/>
    </row>
    <row r="584" spans="1:8" ht="12.75">
      <c r="A584" s="532"/>
      <c r="B584" s="532"/>
      <c r="C584" s="532"/>
      <c r="D584" s="532"/>
      <c r="E584" s="532"/>
      <c r="F584" s="532"/>
      <c r="G584" s="532"/>
      <c r="H584" s="532"/>
    </row>
    <row r="585" spans="1:8" ht="12.75">
      <c r="A585" s="532"/>
      <c r="B585" s="532"/>
      <c r="C585" s="532"/>
      <c r="D585" s="532"/>
      <c r="E585" s="532"/>
      <c r="F585" s="532"/>
      <c r="G585" s="532"/>
      <c r="H585" s="532"/>
    </row>
    <row r="586" spans="1:8" ht="12.75">
      <c r="A586" s="532"/>
      <c r="B586" s="532"/>
      <c r="C586" s="532"/>
      <c r="D586" s="532"/>
      <c r="E586" s="532"/>
      <c r="F586" s="532"/>
      <c r="G586" s="532"/>
      <c r="H586" s="532"/>
    </row>
    <row r="587" spans="1:8" ht="12.75">
      <c r="A587" s="532"/>
      <c r="B587" s="532"/>
      <c r="C587" s="532"/>
      <c r="D587" s="532"/>
      <c r="E587" s="532"/>
      <c r="F587" s="532"/>
      <c r="G587" s="532"/>
      <c r="H587" s="532"/>
    </row>
    <row r="588" spans="1:8" ht="12.75">
      <c r="A588" s="532"/>
      <c r="B588" s="532"/>
      <c r="C588" s="532"/>
      <c r="D588" s="532"/>
      <c r="E588" s="532"/>
      <c r="F588" s="532"/>
      <c r="G588" s="532"/>
      <c r="H588" s="532"/>
    </row>
    <row r="589" spans="1:8" ht="12.75">
      <c r="A589" s="532"/>
      <c r="B589" s="532"/>
      <c r="C589" s="532"/>
      <c r="D589" s="532"/>
      <c r="E589" s="532"/>
      <c r="F589" s="532"/>
      <c r="G589" s="532"/>
      <c r="H589" s="532"/>
    </row>
    <row r="590" spans="1:8" ht="12.75">
      <c r="A590" s="532"/>
      <c r="B590" s="532"/>
      <c r="C590" s="532"/>
      <c r="D590" s="532"/>
      <c r="E590" s="532"/>
      <c r="F590" s="532"/>
      <c r="G590" s="532"/>
      <c r="H590" s="532"/>
    </row>
    <row r="591" spans="1:8" ht="12.75">
      <c r="A591" s="532"/>
      <c r="B591" s="532"/>
      <c r="C591" s="532"/>
      <c r="D591" s="532"/>
      <c r="E591" s="532"/>
      <c r="F591" s="532"/>
      <c r="G591" s="532"/>
      <c r="H591" s="532"/>
    </row>
    <row r="592" spans="1:8" ht="12.75">
      <c r="A592" s="532"/>
      <c r="B592" s="532"/>
      <c r="C592" s="532"/>
      <c r="D592" s="532"/>
      <c r="E592" s="532"/>
      <c r="F592" s="532"/>
      <c r="G592" s="532"/>
      <c r="H592" s="532"/>
    </row>
    <row r="593" spans="1:8" ht="12.75">
      <c r="A593" s="532"/>
      <c r="B593" s="532"/>
      <c r="C593" s="532"/>
      <c r="D593" s="532"/>
      <c r="E593" s="532"/>
      <c r="F593" s="532"/>
      <c r="G593" s="532"/>
      <c r="H593" s="532"/>
    </row>
    <row r="594" spans="1:8" ht="12.75">
      <c r="A594" s="532"/>
      <c r="B594" s="532"/>
      <c r="C594" s="532"/>
      <c r="D594" s="532"/>
      <c r="E594" s="532"/>
      <c r="F594" s="532"/>
      <c r="G594" s="532"/>
      <c r="H594" s="532"/>
    </row>
    <row r="595" spans="1:8" ht="12.75">
      <c r="A595" s="532"/>
      <c r="B595" s="532"/>
      <c r="C595" s="532"/>
      <c r="D595" s="532"/>
      <c r="E595" s="532"/>
      <c r="F595" s="532"/>
      <c r="G595" s="532"/>
      <c r="H595" s="532"/>
    </row>
    <row r="596" spans="1:8" ht="12.75">
      <c r="A596" s="532"/>
      <c r="B596" s="532"/>
      <c r="C596" s="532"/>
      <c r="D596" s="532"/>
      <c r="E596" s="532"/>
      <c r="F596" s="532"/>
      <c r="G596" s="532"/>
      <c r="H596" s="532"/>
    </row>
    <row r="597" spans="1:8" ht="12.75">
      <c r="A597" s="532"/>
      <c r="B597" s="532"/>
      <c r="C597" s="532"/>
      <c r="D597" s="532"/>
      <c r="E597" s="532"/>
      <c r="F597" s="532"/>
      <c r="G597" s="532"/>
      <c r="H597" s="532"/>
    </row>
    <row r="598" spans="1:8" ht="12.75">
      <c r="A598" s="532"/>
      <c r="B598" s="532"/>
      <c r="C598" s="532"/>
      <c r="D598" s="532"/>
      <c r="E598" s="532"/>
      <c r="F598" s="532"/>
      <c r="G598" s="532"/>
      <c r="H598" s="532"/>
    </row>
    <row r="599" spans="1:8" ht="12.75">
      <c r="A599" s="532"/>
      <c r="B599" s="532"/>
      <c r="C599" s="532"/>
      <c r="D599" s="532"/>
      <c r="E599" s="532"/>
      <c r="F599" s="532"/>
      <c r="G599" s="532"/>
      <c r="H599" s="532"/>
    </row>
    <row r="600" spans="1:8" ht="12.75">
      <c r="A600" s="532"/>
      <c r="B600" s="532"/>
      <c r="C600" s="532"/>
      <c r="D600" s="532"/>
      <c r="E600" s="532"/>
      <c r="F600" s="532"/>
      <c r="G600" s="532"/>
      <c r="H600" s="532"/>
    </row>
    <row r="601" spans="1:8" ht="12.75">
      <c r="A601" s="532"/>
      <c r="B601" s="532"/>
      <c r="C601" s="532"/>
      <c r="D601" s="532"/>
      <c r="E601" s="532"/>
      <c r="F601" s="532"/>
      <c r="G601" s="532"/>
      <c r="H601" s="532"/>
    </row>
    <row r="602" spans="1:8" ht="12.75">
      <c r="A602" s="532"/>
      <c r="B602" s="532"/>
      <c r="C602" s="532"/>
      <c r="D602" s="532"/>
      <c r="E602" s="532"/>
      <c r="F602" s="532"/>
      <c r="G602" s="532"/>
      <c r="H602" s="532"/>
    </row>
    <row r="603" spans="1:8" ht="12.75">
      <c r="A603" s="532"/>
      <c r="B603" s="532"/>
      <c r="C603" s="532"/>
      <c r="D603" s="532"/>
      <c r="E603" s="532"/>
      <c r="F603" s="532"/>
      <c r="G603" s="532"/>
      <c r="H603" s="532"/>
    </row>
    <row r="604" spans="1:8" ht="12.75">
      <c r="A604" s="532"/>
      <c r="B604" s="532"/>
      <c r="C604" s="532"/>
      <c r="D604" s="532"/>
      <c r="E604" s="532"/>
      <c r="F604" s="532"/>
      <c r="G604" s="532"/>
      <c r="H604" s="532"/>
    </row>
    <row r="605" spans="1:8" ht="12.75">
      <c r="A605" s="532"/>
      <c r="B605" s="532"/>
      <c r="C605" s="532"/>
      <c r="D605" s="532"/>
      <c r="E605" s="532"/>
      <c r="F605" s="532"/>
      <c r="G605" s="532"/>
      <c r="H605" s="532"/>
    </row>
    <row r="606" spans="1:8" ht="12.75">
      <c r="A606" s="532"/>
      <c r="B606" s="532"/>
      <c r="C606" s="532"/>
      <c r="D606" s="532"/>
      <c r="E606" s="532"/>
      <c r="F606" s="532"/>
      <c r="G606" s="532"/>
      <c r="H606" s="532"/>
    </row>
    <row r="607" spans="1:8" ht="12.75">
      <c r="A607" s="532"/>
      <c r="B607" s="532"/>
      <c r="C607" s="532"/>
      <c r="D607" s="532"/>
      <c r="E607" s="532"/>
      <c r="F607" s="532"/>
      <c r="G607" s="532"/>
      <c r="H607" s="532"/>
    </row>
    <row r="608" spans="1:8" ht="12.75">
      <c r="A608" s="532"/>
      <c r="B608" s="532"/>
      <c r="C608" s="532"/>
      <c r="D608" s="532"/>
      <c r="E608" s="532"/>
      <c r="F608" s="532"/>
      <c r="G608" s="532"/>
      <c r="H608" s="532"/>
    </row>
    <row r="609" spans="1:8" ht="12.75">
      <c r="A609" s="532"/>
      <c r="B609" s="532"/>
      <c r="C609" s="532"/>
      <c r="D609" s="532"/>
      <c r="E609" s="532"/>
      <c r="F609" s="532"/>
      <c r="G609" s="532"/>
      <c r="H609" s="532"/>
    </row>
    <row r="610" spans="1:8" ht="12.75">
      <c r="A610" s="532"/>
      <c r="B610" s="532"/>
      <c r="C610" s="532"/>
      <c r="D610" s="532"/>
      <c r="E610" s="532"/>
      <c r="F610" s="532"/>
      <c r="G610" s="532"/>
      <c r="H610" s="532"/>
    </row>
    <row r="611" spans="1:8" ht="12.75">
      <c r="A611" s="532"/>
      <c r="B611" s="532"/>
      <c r="C611" s="532"/>
      <c r="D611" s="532"/>
      <c r="E611" s="532"/>
      <c r="F611" s="532"/>
      <c r="G611" s="532"/>
      <c r="H611" s="532"/>
    </row>
    <row r="612" spans="1:8" ht="12.75">
      <c r="A612" s="532"/>
      <c r="B612" s="532"/>
      <c r="C612" s="532"/>
      <c r="D612" s="532"/>
      <c r="E612" s="532"/>
      <c r="F612" s="532"/>
      <c r="G612" s="532"/>
      <c r="H612" s="532"/>
    </row>
    <row r="613" spans="1:8" ht="12.75">
      <c r="A613" s="532"/>
      <c r="B613" s="532"/>
      <c r="C613" s="532"/>
      <c r="D613" s="532"/>
      <c r="E613" s="532"/>
      <c r="F613" s="532"/>
      <c r="G613" s="532"/>
      <c r="H613" s="532"/>
    </row>
    <row r="614" spans="1:8" ht="12.75">
      <c r="A614" s="532"/>
      <c r="B614" s="532"/>
      <c r="C614" s="532"/>
      <c r="D614" s="532"/>
      <c r="E614" s="532"/>
      <c r="F614" s="532"/>
      <c r="G614" s="532"/>
      <c r="H614" s="532"/>
    </row>
    <row r="615" spans="1:8" ht="12.75">
      <c r="A615" s="532"/>
      <c r="B615" s="532"/>
      <c r="C615" s="532"/>
      <c r="D615" s="532"/>
      <c r="E615" s="532"/>
      <c r="F615" s="532"/>
      <c r="G615" s="532"/>
      <c r="H615" s="532"/>
    </row>
    <row r="616" spans="1:8" ht="12.75">
      <c r="A616" s="532"/>
      <c r="B616" s="532"/>
      <c r="C616" s="532"/>
      <c r="D616" s="532"/>
      <c r="E616" s="532"/>
      <c r="F616" s="532"/>
      <c r="G616" s="532"/>
      <c r="H616" s="532"/>
    </row>
    <row r="617" spans="1:8" ht="12.75">
      <c r="A617" s="532"/>
      <c r="B617" s="532"/>
      <c r="C617" s="532"/>
      <c r="D617" s="532"/>
      <c r="E617" s="532"/>
      <c r="F617" s="532"/>
      <c r="G617" s="532"/>
      <c r="H617" s="532"/>
    </row>
    <row r="618" spans="1:8" ht="12.75">
      <c r="A618" s="532"/>
      <c r="B618" s="532"/>
      <c r="C618" s="532"/>
      <c r="D618" s="532"/>
      <c r="E618" s="532"/>
      <c r="F618" s="532"/>
      <c r="G618" s="532"/>
      <c r="H618" s="532"/>
    </row>
    <row r="619" spans="1:8" ht="12.75">
      <c r="A619" s="532"/>
      <c r="B619" s="532"/>
      <c r="C619" s="532"/>
      <c r="D619" s="532"/>
      <c r="E619" s="532"/>
      <c r="F619" s="532"/>
      <c r="G619" s="532"/>
      <c r="H619" s="532"/>
    </row>
    <row r="620" spans="1:8" ht="12.75">
      <c r="A620" s="532"/>
      <c r="B620" s="532"/>
      <c r="C620" s="532"/>
      <c r="D620" s="532"/>
      <c r="E620" s="532"/>
      <c r="F620" s="532"/>
      <c r="G620" s="532"/>
      <c r="H620" s="532"/>
    </row>
    <row r="621" spans="1:8" ht="12.75">
      <c r="A621" s="532"/>
      <c r="B621" s="532"/>
      <c r="C621" s="532"/>
      <c r="D621" s="532"/>
      <c r="E621" s="532"/>
      <c r="F621" s="532"/>
      <c r="G621" s="532"/>
      <c r="H621" s="532"/>
    </row>
    <row r="622" spans="1:8" ht="12.75">
      <c r="A622" s="532"/>
      <c r="B622" s="532"/>
      <c r="C622" s="532"/>
      <c r="D622" s="532"/>
      <c r="E622" s="532"/>
      <c r="F622" s="532"/>
      <c r="G622" s="532"/>
      <c r="H622" s="532"/>
    </row>
    <row r="623" spans="1:8" ht="12.75">
      <c r="A623" s="532"/>
      <c r="B623" s="532"/>
      <c r="C623" s="532"/>
      <c r="D623" s="532"/>
      <c r="E623" s="532"/>
      <c r="F623" s="532"/>
      <c r="G623" s="532"/>
      <c r="H623" s="532"/>
    </row>
    <row r="624" spans="1:8" ht="12.75">
      <c r="A624" s="532"/>
      <c r="B624" s="532"/>
      <c r="C624" s="532"/>
      <c r="D624" s="532"/>
      <c r="E624" s="532"/>
      <c r="F624" s="532"/>
      <c r="G624" s="532"/>
      <c r="H624" s="532"/>
    </row>
    <row r="625" spans="1:8" ht="12.75">
      <c r="A625" s="532"/>
      <c r="B625" s="532"/>
      <c r="C625" s="532"/>
      <c r="D625" s="532"/>
      <c r="E625" s="532"/>
      <c r="F625" s="532"/>
      <c r="G625" s="532"/>
      <c r="H625" s="532"/>
    </row>
    <row r="626" spans="1:8" ht="12.75">
      <c r="A626" s="532"/>
      <c r="B626" s="532"/>
      <c r="C626" s="532"/>
      <c r="D626" s="532"/>
      <c r="E626" s="532"/>
      <c r="F626" s="532"/>
      <c r="G626" s="532"/>
      <c r="H626" s="532"/>
    </row>
    <row r="627" spans="1:8" ht="12.75">
      <c r="A627" s="532"/>
      <c r="B627" s="532"/>
      <c r="C627" s="532"/>
      <c r="D627" s="532"/>
      <c r="E627" s="532"/>
      <c r="F627" s="532"/>
      <c r="G627" s="532"/>
      <c r="H627" s="532"/>
    </row>
    <row r="628" spans="1:8" ht="12.75">
      <c r="A628" s="532"/>
      <c r="B628" s="532"/>
      <c r="C628" s="532"/>
      <c r="D628" s="532"/>
      <c r="E628" s="532"/>
      <c r="F628" s="532"/>
      <c r="G628" s="532"/>
      <c r="H628" s="532"/>
    </row>
    <row r="629" spans="1:8" ht="12.75">
      <c r="A629" s="532"/>
      <c r="B629" s="532"/>
      <c r="C629" s="532"/>
      <c r="D629" s="532"/>
      <c r="E629" s="532"/>
      <c r="F629" s="532"/>
      <c r="G629" s="532"/>
      <c r="H629" s="532"/>
    </row>
    <row r="630" spans="1:8" ht="12.75">
      <c r="A630" s="532"/>
      <c r="B630" s="532"/>
      <c r="C630" s="532"/>
      <c r="D630" s="532"/>
      <c r="E630" s="532"/>
      <c r="F630" s="532"/>
      <c r="G630" s="532"/>
      <c r="H630" s="532"/>
    </row>
    <row r="631" spans="1:8" ht="12.75">
      <c r="A631" s="532"/>
      <c r="B631" s="532"/>
      <c r="C631" s="532"/>
      <c r="D631" s="532"/>
      <c r="E631" s="532"/>
      <c r="F631" s="532"/>
      <c r="G631" s="532"/>
      <c r="H631" s="532"/>
    </row>
    <row r="632" spans="1:8" ht="12.75">
      <c r="A632" s="532"/>
      <c r="B632" s="532"/>
      <c r="C632" s="532"/>
      <c r="D632" s="532"/>
      <c r="E632" s="532"/>
      <c r="F632" s="532"/>
      <c r="G632" s="532"/>
      <c r="H632" s="532"/>
    </row>
    <row r="633" spans="1:8" ht="12.75">
      <c r="A633" s="532"/>
      <c r="B633" s="532"/>
      <c r="C633" s="532"/>
      <c r="D633" s="532"/>
      <c r="E633" s="532"/>
      <c r="F633" s="532"/>
      <c r="G633" s="532"/>
      <c r="H633" s="532"/>
    </row>
    <row r="634" spans="1:8" ht="12.75">
      <c r="A634" s="532"/>
      <c r="B634" s="532"/>
      <c r="C634" s="532"/>
      <c r="D634" s="532"/>
      <c r="E634" s="532"/>
      <c r="F634" s="532"/>
      <c r="G634" s="532"/>
      <c r="H634" s="532"/>
    </row>
    <row r="635" spans="1:8" ht="12.75">
      <c r="A635" s="532"/>
      <c r="B635" s="532"/>
      <c r="C635" s="532"/>
      <c r="D635" s="532"/>
      <c r="E635" s="532"/>
      <c r="F635" s="532"/>
      <c r="G635" s="532"/>
      <c r="H635" s="532"/>
    </row>
    <row r="636" spans="1:8" ht="12.75">
      <c r="A636" s="532"/>
      <c r="B636" s="532"/>
      <c r="C636" s="532"/>
      <c r="D636" s="532"/>
      <c r="E636" s="532"/>
      <c r="F636" s="532"/>
      <c r="G636" s="532"/>
      <c r="H636" s="532"/>
    </row>
    <row r="637" spans="1:8" ht="12.75">
      <c r="A637" s="532"/>
      <c r="B637" s="532"/>
      <c r="C637" s="532"/>
      <c r="D637" s="532"/>
      <c r="E637" s="532"/>
      <c r="F637" s="532"/>
      <c r="G637" s="532"/>
      <c r="H637" s="532"/>
    </row>
    <row r="638" spans="1:8" ht="12.75">
      <c r="A638" s="532"/>
      <c r="B638" s="532"/>
      <c r="C638" s="532"/>
      <c r="D638" s="532"/>
      <c r="E638" s="532"/>
      <c r="F638" s="532"/>
      <c r="G638" s="532"/>
      <c r="H638" s="532"/>
    </row>
    <row r="639" spans="1:8" ht="12.75">
      <c r="A639" s="532"/>
      <c r="B639" s="532"/>
      <c r="C639" s="532"/>
      <c r="D639" s="532"/>
      <c r="E639" s="532"/>
      <c r="F639" s="532"/>
      <c r="G639" s="532"/>
      <c r="H639" s="532"/>
    </row>
    <row r="640" spans="1:8" ht="12.75">
      <c r="A640" s="532"/>
      <c r="B640" s="532"/>
      <c r="C640" s="532"/>
      <c r="D640" s="532"/>
      <c r="E640" s="532"/>
      <c r="F640" s="532"/>
      <c r="G640" s="532"/>
      <c r="H640" s="532"/>
    </row>
    <row r="641" spans="1:8" ht="12.75">
      <c r="A641" s="532"/>
      <c r="B641" s="532"/>
      <c r="C641" s="532"/>
      <c r="D641" s="532"/>
      <c r="E641" s="532"/>
      <c r="F641" s="532"/>
      <c r="G641" s="532"/>
      <c r="H641" s="532"/>
    </row>
    <row r="642" spans="1:8" ht="12.75">
      <c r="A642" s="532"/>
      <c r="B642" s="532"/>
      <c r="C642" s="532"/>
      <c r="D642" s="532"/>
      <c r="E642" s="532"/>
      <c r="F642" s="532"/>
      <c r="G642" s="532"/>
      <c r="H642" s="532"/>
    </row>
    <row r="643" spans="1:8" ht="12.75">
      <c r="A643" s="532"/>
      <c r="B643" s="532"/>
      <c r="C643" s="532"/>
      <c r="D643" s="532"/>
      <c r="E643" s="532"/>
      <c r="F643" s="532"/>
      <c r="G643" s="532"/>
      <c r="H643" s="532"/>
    </row>
    <row r="644" spans="1:8" ht="12.75">
      <c r="A644" s="532"/>
      <c r="B644" s="532"/>
      <c r="C644" s="532"/>
      <c r="D644" s="532"/>
      <c r="E644" s="532"/>
      <c r="F644" s="532"/>
      <c r="G644" s="532"/>
      <c r="H644" s="532"/>
    </row>
    <row r="645" spans="1:8" ht="12.75">
      <c r="A645" s="532"/>
      <c r="B645" s="532"/>
      <c r="C645" s="532"/>
      <c r="D645" s="532"/>
      <c r="E645" s="532"/>
      <c r="F645" s="532"/>
      <c r="G645" s="532"/>
      <c r="H645" s="532"/>
    </row>
    <row r="646" spans="1:8" ht="12.75">
      <c r="A646" s="532"/>
      <c r="B646" s="532"/>
      <c r="C646" s="532"/>
      <c r="D646" s="532"/>
      <c r="E646" s="532"/>
      <c r="F646" s="532"/>
      <c r="G646" s="532"/>
      <c r="H646" s="532"/>
    </row>
    <row r="647" spans="1:8" ht="12.75">
      <c r="A647" s="532"/>
      <c r="B647" s="532"/>
      <c r="C647" s="532"/>
      <c r="D647" s="532"/>
      <c r="E647" s="532"/>
      <c r="F647" s="532"/>
      <c r="G647" s="532"/>
      <c r="H647" s="532"/>
    </row>
    <row r="648" spans="1:8" ht="12.75">
      <c r="A648" s="532"/>
      <c r="B648" s="532"/>
      <c r="C648" s="532"/>
      <c r="D648" s="532"/>
      <c r="E648" s="532"/>
      <c r="F648" s="532"/>
      <c r="G648" s="532"/>
      <c r="H648" s="532"/>
    </row>
    <row r="649" spans="1:8" ht="12.75">
      <c r="A649" s="532"/>
      <c r="B649" s="532"/>
      <c r="C649" s="532"/>
      <c r="D649" s="532"/>
      <c r="E649" s="532"/>
      <c r="F649" s="532"/>
      <c r="G649" s="532"/>
      <c r="H649" s="532"/>
    </row>
    <row r="650" spans="1:8" ht="12.75">
      <c r="A650" s="532"/>
      <c r="B650" s="532"/>
      <c r="C650" s="532"/>
      <c r="D650" s="532"/>
      <c r="E650" s="532"/>
      <c r="F650" s="532"/>
      <c r="G650" s="532"/>
      <c r="H650" s="532"/>
    </row>
    <row r="651" spans="1:8" ht="12.75">
      <c r="A651" s="532"/>
      <c r="B651" s="532"/>
      <c r="C651" s="532"/>
      <c r="D651" s="532"/>
      <c r="E651" s="532"/>
      <c r="F651" s="532"/>
      <c r="G651" s="532"/>
      <c r="H651" s="532"/>
    </row>
    <row r="652" spans="1:8" ht="12.75">
      <c r="A652" s="532"/>
      <c r="B652" s="532"/>
      <c r="C652" s="532"/>
      <c r="D652" s="532"/>
      <c r="E652" s="532"/>
      <c r="F652" s="532"/>
      <c r="G652" s="532"/>
      <c r="H652" s="532"/>
    </row>
    <row r="653" spans="1:8" ht="12.75">
      <c r="A653" s="532"/>
      <c r="B653" s="532"/>
      <c r="C653" s="532"/>
      <c r="D653" s="532"/>
      <c r="E653" s="532"/>
      <c r="F653" s="532"/>
      <c r="G653" s="532"/>
      <c r="H653" s="532"/>
    </row>
    <row r="654" spans="1:8" ht="12.75">
      <c r="A654" s="532"/>
      <c r="B654" s="532"/>
      <c r="C654" s="532"/>
      <c r="D654" s="532"/>
      <c r="E654" s="532"/>
      <c r="F654" s="532"/>
      <c r="G654" s="532"/>
      <c r="H654" s="532"/>
    </row>
    <row r="655" spans="1:8" ht="12.75">
      <c r="A655" s="532"/>
      <c r="B655" s="532"/>
      <c r="C655" s="532"/>
      <c r="D655" s="532"/>
      <c r="E655" s="532"/>
      <c r="F655" s="532"/>
      <c r="G655" s="532"/>
      <c r="H655" s="532"/>
    </row>
    <row r="656" spans="1:8" ht="12.75">
      <c r="A656" s="532"/>
      <c r="B656" s="532"/>
      <c r="C656" s="532"/>
      <c r="D656" s="532"/>
      <c r="E656" s="532"/>
      <c r="F656" s="532"/>
      <c r="G656" s="532"/>
      <c r="H656" s="532"/>
    </row>
    <row r="657" spans="1:8" ht="12.75">
      <c r="A657" s="532"/>
      <c r="B657" s="532"/>
      <c r="C657" s="532"/>
      <c r="D657" s="532"/>
      <c r="E657" s="532"/>
      <c r="F657" s="532"/>
      <c r="G657" s="532"/>
      <c r="H657" s="532"/>
    </row>
    <row r="658" spans="1:8" ht="12.75">
      <c r="A658" s="532"/>
      <c r="B658" s="532"/>
      <c r="C658" s="532"/>
      <c r="D658" s="532"/>
      <c r="E658" s="532"/>
      <c r="F658" s="532"/>
      <c r="G658" s="532"/>
      <c r="H658" s="532"/>
    </row>
    <row r="659" spans="1:8" ht="12.75">
      <c r="A659" s="532"/>
      <c r="B659" s="532"/>
      <c r="C659" s="532"/>
      <c r="D659" s="532"/>
      <c r="E659" s="532"/>
      <c r="F659" s="532"/>
      <c r="G659" s="532"/>
      <c r="H659" s="532"/>
    </row>
    <row r="660" spans="1:8" ht="12.75">
      <c r="A660" s="532"/>
      <c r="B660" s="532"/>
      <c r="C660" s="532"/>
      <c r="D660" s="532"/>
      <c r="E660" s="532"/>
      <c r="F660" s="532"/>
      <c r="G660" s="532"/>
      <c r="H660" s="532"/>
    </row>
    <row r="661" spans="1:8" ht="12.75">
      <c r="A661" s="532"/>
      <c r="B661" s="532"/>
      <c r="C661" s="532"/>
      <c r="D661" s="532"/>
      <c r="E661" s="532"/>
      <c r="F661" s="532"/>
      <c r="G661" s="532"/>
      <c r="H661" s="532"/>
    </row>
    <row r="662" spans="1:8" ht="12.75">
      <c r="A662" s="532"/>
      <c r="B662" s="532"/>
      <c r="C662" s="532"/>
      <c r="D662" s="532"/>
      <c r="E662" s="532"/>
      <c r="F662" s="532"/>
      <c r="G662" s="532"/>
      <c r="H662" s="532"/>
    </row>
    <row r="663" spans="1:8" ht="12.75">
      <c r="A663" s="532"/>
      <c r="B663" s="532"/>
      <c r="C663" s="532"/>
      <c r="D663" s="532"/>
      <c r="E663" s="532"/>
      <c r="F663" s="532"/>
      <c r="G663" s="532"/>
      <c r="H663" s="532"/>
    </row>
    <row r="664" spans="1:8" ht="12.75">
      <c r="A664" s="532"/>
      <c r="B664" s="532"/>
      <c r="C664" s="532"/>
      <c r="D664" s="532"/>
      <c r="E664" s="532"/>
      <c r="F664" s="532"/>
      <c r="G664" s="532"/>
      <c r="H664" s="532"/>
    </row>
    <row r="665" spans="1:8" ht="12.75">
      <c r="A665" s="532"/>
      <c r="B665" s="532"/>
      <c r="C665" s="532"/>
      <c r="D665" s="532"/>
      <c r="E665" s="532"/>
      <c r="F665" s="532"/>
      <c r="G665" s="532"/>
      <c r="H665" s="532"/>
    </row>
    <row r="666" spans="1:8" ht="12.75">
      <c r="A666" s="532"/>
      <c r="B666" s="532"/>
      <c r="C666" s="532"/>
      <c r="D666" s="532"/>
      <c r="E666" s="532"/>
      <c r="F666" s="532"/>
      <c r="G666" s="532"/>
      <c r="H666" s="532"/>
    </row>
    <row r="667" spans="1:8" ht="12.75">
      <c r="A667" s="532"/>
      <c r="B667" s="532"/>
      <c r="C667" s="532"/>
      <c r="D667" s="532"/>
      <c r="E667" s="532"/>
      <c r="F667" s="532"/>
      <c r="G667" s="532"/>
      <c r="H667" s="532"/>
    </row>
    <row r="668" spans="1:8" ht="12.75">
      <c r="A668" s="532"/>
      <c r="B668" s="532"/>
      <c r="C668" s="532"/>
      <c r="D668" s="532"/>
      <c r="E668" s="532"/>
      <c r="F668" s="532"/>
      <c r="G668" s="532"/>
      <c r="H668" s="532"/>
    </row>
    <row r="669" spans="1:8" ht="12.75">
      <c r="A669" s="532"/>
      <c r="B669" s="532"/>
      <c r="C669" s="532"/>
      <c r="D669" s="532"/>
      <c r="E669" s="532"/>
      <c r="F669" s="532"/>
      <c r="G669" s="532"/>
      <c r="H669" s="532"/>
    </row>
    <row r="670" spans="1:8" ht="12.75">
      <c r="A670" s="532"/>
      <c r="B670" s="532"/>
      <c r="C670" s="532"/>
      <c r="D670" s="532"/>
      <c r="E670" s="532"/>
      <c r="F670" s="532"/>
      <c r="G670" s="532"/>
      <c r="H670" s="532"/>
    </row>
    <row r="671" spans="1:8" ht="12.75">
      <c r="A671" s="532"/>
      <c r="B671" s="532"/>
      <c r="C671" s="532"/>
      <c r="D671" s="532"/>
      <c r="E671" s="532"/>
      <c r="F671" s="532"/>
      <c r="G671" s="532"/>
      <c r="H671" s="532"/>
    </row>
    <row r="672" spans="1:8" ht="12.75">
      <c r="A672" s="532"/>
      <c r="B672" s="532"/>
      <c r="C672" s="532"/>
      <c r="D672" s="532"/>
      <c r="E672" s="532"/>
      <c r="F672" s="532"/>
      <c r="G672" s="532"/>
      <c r="H672" s="532"/>
    </row>
    <row r="673" spans="1:8" ht="12.75">
      <c r="A673" s="532"/>
      <c r="B673" s="532"/>
      <c r="C673" s="532"/>
      <c r="D673" s="532"/>
      <c r="E673" s="532"/>
      <c r="F673" s="532"/>
      <c r="G673" s="532"/>
      <c r="H673" s="532"/>
    </row>
    <row r="674" spans="1:8" ht="12.75">
      <c r="A674" s="532"/>
      <c r="B674" s="532"/>
      <c r="C674" s="532"/>
      <c r="D674" s="532"/>
      <c r="E674" s="532"/>
      <c r="F674" s="532"/>
      <c r="G674" s="532"/>
      <c r="H674" s="532"/>
    </row>
    <row r="675" spans="1:8" ht="12.75">
      <c r="A675" s="532"/>
      <c r="B675" s="532"/>
      <c r="C675" s="532"/>
      <c r="D675" s="532"/>
      <c r="E675" s="532"/>
      <c r="F675" s="532"/>
      <c r="G675" s="532"/>
      <c r="H675" s="532"/>
    </row>
    <row r="676" spans="1:8" ht="12.75">
      <c r="A676" s="532"/>
      <c r="B676" s="532"/>
      <c r="C676" s="532"/>
      <c r="D676" s="532"/>
      <c r="E676" s="532"/>
      <c r="F676" s="532"/>
      <c r="G676" s="532"/>
      <c r="H676" s="532"/>
    </row>
    <row r="677" spans="1:8" ht="12.75">
      <c r="A677" s="532"/>
      <c r="B677" s="532"/>
      <c r="C677" s="532"/>
      <c r="D677" s="532"/>
      <c r="E677" s="532"/>
      <c r="F677" s="532"/>
      <c r="G677" s="532"/>
      <c r="H677" s="532"/>
    </row>
    <row r="678" spans="1:8" ht="12.75">
      <c r="A678" s="532"/>
      <c r="B678" s="532"/>
      <c r="C678" s="532"/>
      <c r="D678" s="532"/>
      <c r="E678" s="532"/>
      <c r="F678" s="532"/>
      <c r="G678" s="532"/>
      <c r="H678" s="532"/>
    </row>
    <row r="679" spans="1:8" ht="12.75">
      <c r="A679" s="532"/>
      <c r="B679" s="532"/>
      <c r="C679" s="532"/>
      <c r="D679" s="532"/>
      <c r="E679" s="532"/>
      <c r="F679" s="532"/>
      <c r="G679" s="532"/>
      <c r="H679" s="532"/>
    </row>
    <row r="680" spans="1:8" ht="12.75">
      <c r="A680" s="532"/>
      <c r="B680" s="532"/>
      <c r="C680" s="532"/>
      <c r="D680" s="532"/>
      <c r="E680" s="532"/>
      <c r="F680" s="532"/>
      <c r="G680" s="532"/>
      <c r="H680" s="532"/>
    </row>
    <row r="681" spans="1:8" ht="12.75">
      <c r="A681" s="532"/>
      <c r="B681" s="532"/>
      <c r="C681" s="532"/>
      <c r="D681" s="532"/>
      <c r="E681" s="532"/>
      <c r="F681" s="532"/>
      <c r="G681" s="532"/>
      <c r="H681" s="532"/>
    </row>
    <row r="682" spans="1:8" ht="12.75">
      <c r="A682" s="532"/>
      <c r="B682" s="532"/>
      <c r="C682" s="532"/>
      <c r="D682" s="532"/>
      <c r="E682" s="532"/>
      <c r="F682" s="532"/>
      <c r="G682" s="532"/>
      <c r="H682" s="532"/>
    </row>
    <row r="683" spans="1:8" ht="12.75">
      <c r="A683" s="532"/>
      <c r="B683" s="532"/>
      <c r="C683" s="532"/>
      <c r="D683" s="532"/>
      <c r="E683" s="532"/>
      <c r="F683" s="532"/>
      <c r="G683" s="532"/>
      <c r="H683" s="532"/>
    </row>
    <row r="684" spans="1:8" ht="12.75">
      <c r="A684" s="532"/>
      <c r="B684" s="532"/>
      <c r="C684" s="532"/>
      <c r="D684" s="532"/>
      <c r="E684" s="532"/>
      <c r="F684" s="532"/>
      <c r="G684" s="532"/>
      <c r="H684" s="532"/>
    </row>
    <row r="685" spans="1:8" ht="12.75">
      <c r="A685" s="532"/>
      <c r="B685" s="532"/>
      <c r="C685" s="532"/>
      <c r="D685" s="532"/>
      <c r="E685" s="532"/>
      <c r="F685" s="532"/>
      <c r="G685" s="532"/>
      <c r="H685" s="532"/>
    </row>
    <row r="686" spans="1:8" ht="12.75">
      <c r="A686" s="532"/>
      <c r="B686" s="532"/>
      <c r="C686" s="532"/>
      <c r="D686" s="532"/>
      <c r="E686" s="532"/>
      <c r="F686" s="532"/>
      <c r="G686" s="532"/>
      <c r="H686" s="532"/>
    </row>
    <row r="687" spans="1:8" ht="12.75">
      <c r="A687" s="532"/>
      <c r="B687" s="532"/>
      <c r="C687" s="532"/>
      <c r="D687" s="532"/>
      <c r="E687" s="532"/>
      <c r="F687" s="532"/>
      <c r="G687" s="532"/>
      <c r="H687" s="532"/>
    </row>
    <row r="688" spans="1:8" ht="12.75">
      <c r="A688" s="532"/>
      <c r="B688" s="532"/>
      <c r="C688" s="532"/>
      <c r="D688" s="532"/>
      <c r="E688" s="532"/>
      <c r="F688" s="532"/>
      <c r="G688" s="532"/>
      <c r="H688" s="532"/>
    </row>
    <row r="689" spans="1:8" ht="12.75">
      <c r="A689" s="532"/>
      <c r="B689" s="532"/>
      <c r="C689" s="532"/>
      <c r="D689" s="532"/>
      <c r="E689" s="532"/>
      <c r="F689" s="532"/>
      <c r="G689" s="532"/>
      <c r="H689" s="532"/>
    </row>
    <row r="690" spans="1:8" ht="12.75">
      <c r="A690" s="532"/>
      <c r="B690" s="532"/>
      <c r="C690" s="532"/>
      <c r="D690" s="532"/>
      <c r="E690" s="532"/>
      <c r="F690" s="532"/>
      <c r="G690" s="532"/>
      <c r="H690" s="532"/>
    </row>
    <row r="691" spans="1:8" ht="12.75">
      <c r="A691" s="532"/>
      <c r="B691" s="532"/>
      <c r="C691" s="532"/>
      <c r="D691" s="532"/>
      <c r="E691" s="532"/>
      <c r="F691" s="532"/>
      <c r="G691" s="532"/>
      <c r="H691" s="532"/>
    </row>
    <row r="692" spans="1:8" ht="12.75">
      <c r="A692" s="532"/>
      <c r="B692" s="532"/>
      <c r="C692" s="532"/>
      <c r="D692" s="532"/>
      <c r="E692" s="532"/>
      <c r="F692" s="532"/>
      <c r="G692" s="532"/>
      <c r="H692" s="532"/>
    </row>
    <row r="693" spans="1:8" ht="12.75">
      <c r="A693" s="532"/>
      <c r="B693" s="532"/>
      <c r="C693" s="532"/>
      <c r="D693" s="532"/>
      <c r="E693" s="532"/>
      <c r="F693" s="532"/>
      <c r="G693" s="532"/>
      <c r="H693" s="532"/>
    </row>
    <row r="694" spans="1:8" ht="12.75">
      <c r="A694" s="532"/>
      <c r="B694" s="532"/>
      <c r="C694" s="532"/>
      <c r="D694" s="532"/>
      <c r="E694" s="532"/>
      <c r="F694" s="532"/>
      <c r="G694" s="532"/>
      <c r="H694" s="532"/>
    </row>
    <row r="695" spans="1:8" ht="12.75">
      <c r="A695" s="532"/>
      <c r="B695" s="532"/>
      <c r="C695" s="532"/>
      <c r="D695" s="532"/>
      <c r="E695" s="532"/>
      <c r="F695" s="532"/>
      <c r="G695" s="532"/>
      <c r="H695" s="532"/>
    </row>
    <row r="696" spans="1:8" ht="12.75">
      <c r="A696" s="532"/>
      <c r="B696" s="532"/>
      <c r="C696" s="532"/>
      <c r="D696" s="532"/>
      <c r="E696" s="532"/>
      <c r="F696" s="532"/>
      <c r="G696" s="532"/>
      <c r="H696" s="532"/>
    </row>
    <row r="697" spans="1:8" ht="12.75">
      <c r="A697" s="532"/>
      <c r="B697" s="532"/>
      <c r="C697" s="532"/>
      <c r="D697" s="532"/>
      <c r="E697" s="532"/>
      <c r="F697" s="532"/>
      <c r="G697" s="532"/>
      <c r="H697" s="532"/>
    </row>
    <row r="698" spans="1:8" ht="12.75">
      <c r="A698" s="532"/>
      <c r="B698" s="532"/>
      <c r="C698" s="532"/>
      <c r="D698" s="532"/>
      <c r="E698" s="532"/>
      <c r="F698" s="532"/>
      <c r="G698" s="532"/>
      <c r="H698" s="532"/>
    </row>
    <row r="699" spans="1:8" ht="12.75">
      <c r="A699" s="532"/>
      <c r="B699" s="532"/>
      <c r="C699" s="532"/>
      <c r="D699" s="532"/>
      <c r="E699" s="532"/>
      <c r="F699" s="532"/>
      <c r="G699" s="532"/>
      <c r="H699" s="532"/>
    </row>
    <row r="700" spans="1:8" ht="12.75">
      <c r="A700" s="532"/>
      <c r="B700" s="532"/>
      <c r="C700" s="532"/>
      <c r="D700" s="532"/>
      <c r="E700" s="532"/>
      <c r="F700" s="532"/>
      <c r="G700" s="532"/>
      <c r="H700" s="532"/>
    </row>
    <row r="701" spans="1:8" ht="12.75">
      <c r="A701" s="532"/>
      <c r="B701" s="532"/>
      <c r="C701" s="532"/>
      <c r="D701" s="532"/>
      <c r="E701" s="532"/>
      <c r="F701" s="532"/>
      <c r="G701" s="532"/>
      <c r="H701" s="532"/>
    </row>
    <row r="702" spans="1:8" ht="12.75">
      <c r="A702" s="532"/>
      <c r="B702" s="532"/>
      <c r="C702" s="532"/>
      <c r="D702" s="532"/>
      <c r="E702" s="532"/>
      <c r="F702" s="532"/>
      <c r="G702" s="532"/>
      <c r="H702" s="532"/>
    </row>
    <row r="703" spans="1:8" ht="12.75">
      <c r="A703" s="532"/>
      <c r="B703" s="532"/>
      <c r="C703" s="532"/>
      <c r="D703" s="532"/>
      <c r="E703" s="532"/>
      <c r="F703" s="532"/>
      <c r="G703" s="532"/>
      <c r="H703" s="532"/>
    </row>
    <row r="704" spans="1:8" ht="12.75">
      <c r="A704" s="532"/>
      <c r="B704" s="532"/>
      <c r="C704" s="532"/>
      <c r="D704" s="532"/>
      <c r="E704" s="532"/>
      <c r="F704" s="532"/>
      <c r="G704" s="532"/>
      <c r="H704" s="532"/>
    </row>
    <row r="705" spans="1:8" ht="12.75">
      <c r="A705" s="532"/>
      <c r="B705" s="532"/>
      <c r="C705" s="532"/>
      <c r="D705" s="532"/>
      <c r="E705" s="532"/>
      <c r="F705" s="532"/>
      <c r="G705" s="532"/>
      <c r="H705" s="532"/>
    </row>
    <row r="706" spans="1:8" ht="12.75">
      <c r="A706" s="532"/>
      <c r="B706" s="532"/>
      <c r="C706" s="532"/>
      <c r="D706" s="532"/>
      <c r="E706" s="532"/>
      <c r="F706" s="532"/>
      <c r="G706" s="532"/>
      <c r="H706" s="532"/>
    </row>
    <row r="707" spans="1:8" ht="12.75">
      <c r="A707" s="532"/>
      <c r="B707" s="532"/>
      <c r="C707" s="532"/>
      <c r="D707" s="532"/>
      <c r="E707" s="532"/>
      <c r="F707" s="532"/>
      <c r="G707" s="532"/>
      <c r="H707" s="532"/>
    </row>
    <row r="708" spans="1:8" ht="12.75">
      <c r="A708" s="532"/>
      <c r="B708" s="532"/>
      <c r="C708" s="532"/>
      <c r="D708" s="532"/>
      <c r="E708" s="532"/>
      <c r="F708" s="532"/>
      <c r="G708" s="532"/>
      <c r="H708" s="532"/>
    </row>
    <row r="709" spans="1:8" ht="12.75">
      <c r="A709" s="532"/>
      <c r="B709" s="532"/>
      <c r="C709" s="532"/>
      <c r="D709" s="532"/>
      <c r="E709" s="532"/>
      <c r="F709" s="532"/>
      <c r="G709" s="532"/>
      <c r="H709" s="532"/>
    </row>
    <row r="710" spans="1:8" ht="12.75">
      <c r="A710" s="532"/>
      <c r="B710" s="532"/>
      <c r="C710" s="532"/>
      <c r="D710" s="532"/>
      <c r="E710" s="532"/>
      <c r="F710" s="532"/>
      <c r="G710" s="532"/>
      <c r="H710" s="532"/>
    </row>
    <row r="711" spans="1:8" ht="12.75">
      <c r="A711" s="532"/>
      <c r="B711" s="532"/>
      <c r="C711" s="532"/>
      <c r="D711" s="532"/>
      <c r="E711" s="532"/>
      <c r="F711" s="532"/>
      <c r="G711" s="532"/>
      <c r="H711" s="532"/>
    </row>
    <row r="712" spans="1:8" ht="12.75">
      <c r="A712" s="532"/>
      <c r="B712" s="532"/>
      <c r="C712" s="532"/>
      <c r="D712" s="532"/>
      <c r="E712" s="532"/>
      <c r="F712" s="532"/>
      <c r="G712" s="532"/>
      <c r="H712" s="532"/>
    </row>
    <row r="713" spans="1:8" ht="12.75">
      <c r="A713" s="532"/>
      <c r="B713" s="532"/>
      <c r="C713" s="532"/>
      <c r="D713" s="532"/>
      <c r="E713" s="532"/>
      <c r="F713" s="532"/>
      <c r="G713" s="532"/>
      <c r="H713" s="532"/>
    </row>
    <row r="714" spans="1:8" ht="12.75">
      <c r="A714" s="532"/>
      <c r="B714" s="532"/>
      <c r="C714" s="532"/>
      <c r="D714" s="532"/>
      <c r="E714" s="532"/>
      <c r="F714" s="532"/>
      <c r="G714" s="532"/>
      <c r="H714" s="532"/>
    </row>
    <row r="715" spans="1:8" ht="12.75">
      <c r="A715" s="532"/>
      <c r="B715" s="532"/>
      <c r="C715" s="532"/>
      <c r="D715" s="532"/>
      <c r="E715" s="532"/>
      <c r="F715" s="532"/>
      <c r="G715" s="532"/>
      <c r="H715" s="532"/>
    </row>
    <row r="716" spans="1:8" ht="12.75">
      <c r="A716" s="532"/>
      <c r="B716" s="532"/>
      <c r="C716" s="532"/>
      <c r="D716" s="532"/>
      <c r="E716" s="532"/>
      <c r="F716" s="532"/>
      <c r="G716" s="532"/>
      <c r="H716" s="532"/>
    </row>
    <row r="717" spans="1:8" ht="12.75">
      <c r="A717" s="532"/>
      <c r="B717" s="532"/>
      <c r="C717" s="532"/>
      <c r="D717" s="532"/>
      <c r="E717" s="532"/>
      <c r="F717" s="532"/>
      <c r="G717" s="532"/>
      <c r="H717" s="532"/>
    </row>
    <row r="718" spans="1:8" ht="12.75">
      <c r="A718" s="532"/>
      <c r="B718" s="532"/>
      <c r="C718" s="532"/>
      <c r="D718" s="532"/>
      <c r="E718" s="532"/>
      <c r="F718" s="532"/>
      <c r="G718" s="532"/>
      <c r="H718" s="532"/>
    </row>
    <row r="719" spans="1:8" ht="12.75">
      <c r="A719" s="532"/>
      <c r="B719" s="532"/>
      <c r="C719" s="532"/>
      <c r="D719" s="532"/>
      <c r="E719" s="532"/>
      <c r="F719" s="532"/>
      <c r="G719" s="532"/>
      <c r="H719" s="532"/>
    </row>
    <row r="720" spans="1:8" ht="12.75">
      <c r="A720" s="532"/>
      <c r="B720" s="532"/>
      <c r="C720" s="532"/>
      <c r="D720" s="532"/>
      <c r="E720" s="532"/>
      <c r="F720" s="532"/>
      <c r="G720" s="532"/>
      <c r="H720" s="532"/>
    </row>
    <row r="721" spans="1:8" ht="12.75">
      <c r="A721" s="532"/>
      <c r="B721" s="532"/>
      <c r="C721" s="532"/>
      <c r="D721" s="532"/>
      <c r="E721" s="532"/>
      <c r="F721" s="532"/>
      <c r="G721" s="532"/>
      <c r="H721" s="532"/>
    </row>
    <row r="722" spans="1:8" ht="12.75">
      <c r="A722" s="532"/>
      <c r="B722" s="532"/>
      <c r="C722" s="532"/>
      <c r="D722" s="532"/>
      <c r="E722" s="532"/>
      <c r="F722" s="532"/>
      <c r="G722" s="532"/>
      <c r="H722" s="532"/>
    </row>
    <row r="723" spans="1:8" ht="12.75">
      <c r="A723" s="532"/>
      <c r="B723" s="532"/>
      <c r="C723" s="532"/>
      <c r="D723" s="532"/>
      <c r="E723" s="532"/>
      <c r="F723" s="532"/>
      <c r="G723" s="532"/>
      <c r="H723" s="532"/>
    </row>
    <row r="724" spans="1:8" ht="12.75">
      <c r="A724" s="532"/>
      <c r="B724" s="532"/>
      <c r="C724" s="532"/>
      <c r="D724" s="532"/>
      <c r="E724" s="532"/>
      <c r="F724" s="532"/>
      <c r="G724" s="532"/>
      <c r="H724" s="532"/>
    </row>
    <row r="725" spans="1:8" ht="12.75">
      <c r="A725" s="532"/>
      <c r="B725" s="532"/>
      <c r="C725" s="532"/>
      <c r="D725" s="532"/>
      <c r="E725" s="532"/>
      <c r="F725" s="532"/>
      <c r="G725" s="532"/>
      <c r="H725" s="532"/>
    </row>
    <row r="726" spans="1:8" ht="12.75">
      <c r="A726" s="532"/>
      <c r="B726" s="532"/>
      <c r="C726" s="532"/>
      <c r="D726" s="532"/>
      <c r="E726" s="532"/>
      <c r="F726" s="532"/>
      <c r="G726" s="532"/>
      <c r="H726" s="532"/>
    </row>
    <row r="727" spans="1:8" ht="12.75">
      <c r="A727" s="532"/>
      <c r="B727" s="532"/>
      <c r="C727" s="532"/>
      <c r="D727" s="532"/>
      <c r="E727" s="532"/>
      <c r="F727" s="532"/>
      <c r="G727" s="532"/>
      <c r="H727" s="532"/>
    </row>
    <row r="728" spans="1:8" ht="12.75">
      <c r="A728" s="532"/>
      <c r="B728" s="532"/>
      <c r="C728" s="532"/>
      <c r="D728" s="532"/>
      <c r="E728" s="532"/>
      <c r="F728" s="532"/>
      <c r="G728" s="532"/>
      <c r="H728" s="532"/>
    </row>
    <row r="729" spans="1:8" ht="12.75">
      <c r="A729" s="532"/>
      <c r="B729" s="532"/>
      <c r="C729" s="532"/>
      <c r="D729" s="532"/>
      <c r="E729" s="532"/>
      <c r="F729" s="532"/>
      <c r="G729" s="532"/>
      <c r="H729" s="532"/>
    </row>
    <row r="730" spans="1:8" ht="12.75">
      <c r="A730" s="532"/>
      <c r="B730" s="532"/>
      <c r="C730" s="532"/>
      <c r="D730" s="532"/>
      <c r="E730" s="532"/>
      <c r="F730" s="532"/>
      <c r="G730" s="532"/>
      <c r="H730" s="532"/>
    </row>
    <row r="731" spans="1:8" ht="12.75">
      <c r="A731" s="532"/>
      <c r="B731" s="532"/>
      <c r="C731" s="532"/>
      <c r="D731" s="532"/>
      <c r="E731" s="532"/>
      <c r="F731" s="532"/>
      <c r="G731" s="532"/>
      <c r="H731" s="532"/>
    </row>
    <row r="732" spans="1:8" ht="12.75">
      <c r="A732" s="532"/>
      <c r="B732" s="532"/>
      <c r="C732" s="532"/>
      <c r="D732" s="532"/>
      <c r="E732" s="532"/>
      <c r="F732" s="532"/>
      <c r="G732" s="532"/>
      <c r="H732" s="532"/>
    </row>
    <row r="733" spans="1:8" ht="12.75">
      <c r="A733" s="532"/>
      <c r="B733" s="532"/>
      <c r="C733" s="532"/>
      <c r="D733" s="532"/>
      <c r="E733" s="532"/>
      <c r="F733" s="532"/>
      <c r="G733" s="532"/>
      <c r="H733" s="532"/>
    </row>
    <row r="734" spans="1:8" ht="12.75">
      <c r="A734" s="532"/>
      <c r="B734" s="532"/>
      <c r="C734" s="532"/>
      <c r="D734" s="532"/>
      <c r="E734" s="532"/>
      <c r="F734" s="532"/>
      <c r="G734" s="532"/>
      <c r="H734" s="532"/>
    </row>
    <row r="735" spans="1:8" ht="12.75">
      <c r="A735" s="532"/>
      <c r="B735" s="532"/>
      <c r="C735" s="532"/>
      <c r="D735" s="532"/>
      <c r="E735" s="532"/>
      <c r="F735" s="532"/>
      <c r="G735" s="532"/>
      <c r="H735" s="532"/>
    </row>
    <row r="736" spans="1:8" ht="12.75">
      <c r="A736" s="532"/>
      <c r="B736" s="532"/>
      <c r="C736" s="532"/>
      <c r="D736" s="532"/>
      <c r="E736" s="532"/>
      <c r="F736" s="532"/>
      <c r="G736" s="532"/>
      <c r="H736" s="532"/>
    </row>
    <row r="737" spans="1:8" ht="12.75">
      <c r="A737" s="532"/>
      <c r="B737" s="532"/>
      <c r="C737" s="532"/>
      <c r="D737" s="532"/>
      <c r="E737" s="532"/>
      <c r="F737" s="532"/>
      <c r="G737" s="532"/>
      <c r="H737" s="532"/>
    </row>
    <row r="738" spans="1:8" ht="12.75">
      <c r="A738" s="532"/>
      <c r="B738" s="532"/>
      <c r="C738" s="532"/>
      <c r="D738" s="532"/>
      <c r="E738" s="532"/>
      <c r="F738" s="532"/>
      <c r="G738" s="532"/>
      <c r="H738" s="532"/>
    </row>
    <row r="739" spans="1:8" ht="12.75">
      <c r="A739" s="532"/>
      <c r="B739" s="532"/>
      <c r="C739" s="532"/>
      <c r="D739" s="532"/>
      <c r="E739" s="532"/>
      <c r="F739" s="532"/>
      <c r="G739" s="532"/>
      <c r="H739" s="532"/>
    </row>
    <row r="740" spans="1:8" ht="12.75">
      <c r="A740" s="532"/>
      <c r="B740" s="532"/>
      <c r="C740" s="532"/>
      <c r="D740" s="532"/>
      <c r="E740" s="532"/>
      <c r="F740" s="532"/>
      <c r="G740" s="532"/>
      <c r="H740" s="532"/>
    </row>
    <row r="741" spans="1:8" ht="12.75">
      <c r="A741" s="532"/>
      <c r="B741" s="532"/>
      <c r="C741" s="532"/>
      <c r="D741" s="532"/>
      <c r="E741" s="532"/>
      <c r="F741" s="532"/>
      <c r="G741" s="532"/>
      <c r="H741" s="532"/>
    </row>
    <row r="742" spans="1:8" ht="12.75">
      <c r="A742" s="532"/>
      <c r="B742" s="532"/>
      <c r="C742" s="532"/>
      <c r="D742" s="532"/>
      <c r="E742" s="532"/>
      <c r="F742" s="532"/>
      <c r="G742" s="532"/>
      <c r="H742" s="532"/>
    </row>
    <row r="743" spans="1:8" ht="12.75">
      <c r="A743" s="532"/>
      <c r="B743" s="532"/>
      <c r="C743" s="532"/>
      <c r="D743" s="532"/>
      <c r="E743" s="532"/>
      <c r="F743" s="532"/>
      <c r="G743" s="532"/>
      <c r="H743" s="532"/>
    </row>
    <row r="744" spans="1:8" ht="12.75">
      <c r="A744" s="532"/>
      <c r="B744" s="532"/>
      <c r="C744" s="532"/>
      <c r="D744" s="532"/>
      <c r="E744" s="532"/>
      <c r="F744" s="532"/>
      <c r="G744" s="532"/>
      <c r="H744" s="532"/>
    </row>
    <row r="745" spans="1:8" ht="12.75">
      <c r="A745" s="532"/>
      <c r="B745" s="532"/>
      <c r="C745" s="532"/>
      <c r="D745" s="532"/>
      <c r="E745" s="532"/>
      <c r="F745" s="532"/>
      <c r="G745" s="532"/>
      <c r="H745" s="532"/>
    </row>
    <row r="746" spans="1:8" ht="12.75">
      <c r="A746" s="532"/>
      <c r="B746" s="532"/>
      <c r="C746" s="532"/>
      <c r="D746" s="532"/>
      <c r="E746" s="532"/>
      <c r="F746" s="532"/>
      <c r="G746" s="532"/>
      <c r="H746" s="532"/>
    </row>
    <row r="747" spans="1:8" ht="12.75">
      <c r="A747" s="532"/>
      <c r="B747" s="532"/>
      <c r="C747" s="532"/>
      <c r="D747" s="532"/>
      <c r="E747" s="532"/>
      <c r="F747" s="532"/>
      <c r="G747" s="532"/>
      <c r="H747" s="532"/>
    </row>
    <row r="748" spans="1:8" ht="12.75">
      <c r="A748" s="532"/>
      <c r="B748" s="532"/>
      <c r="C748" s="532"/>
      <c r="D748" s="532"/>
      <c r="E748" s="532"/>
      <c r="F748" s="532"/>
      <c r="G748" s="532"/>
      <c r="H748" s="532"/>
    </row>
    <row r="749" spans="1:8" ht="12.75">
      <c r="A749" s="532"/>
      <c r="B749" s="532"/>
      <c r="C749" s="532"/>
      <c r="D749" s="532"/>
      <c r="E749" s="532"/>
      <c r="F749" s="532"/>
      <c r="G749" s="532"/>
      <c r="H749" s="532"/>
    </row>
    <row r="750" spans="1:8" ht="12.75">
      <c r="A750" s="532"/>
      <c r="B750" s="532"/>
      <c r="C750" s="532"/>
      <c r="D750" s="532"/>
      <c r="E750" s="532"/>
      <c r="F750" s="532"/>
      <c r="G750" s="532"/>
      <c r="H750" s="532"/>
    </row>
    <row r="751" spans="1:8" ht="12.75">
      <c r="A751" s="532"/>
      <c r="B751" s="532"/>
      <c r="C751" s="532"/>
      <c r="D751" s="532"/>
      <c r="E751" s="532"/>
      <c r="F751" s="532"/>
      <c r="G751" s="532"/>
      <c r="H751" s="532"/>
    </row>
    <row r="752" spans="1:8" ht="12.75">
      <c r="A752" s="532"/>
      <c r="B752" s="532"/>
      <c r="C752" s="532"/>
      <c r="D752" s="532"/>
      <c r="E752" s="532"/>
      <c r="F752" s="532"/>
      <c r="G752" s="532"/>
      <c r="H752" s="532"/>
    </row>
    <row r="753" spans="1:8" ht="12.75">
      <c r="A753" s="532"/>
      <c r="B753" s="532"/>
      <c r="C753" s="532"/>
      <c r="D753" s="532"/>
      <c r="E753" s="532"/>
      <c r="F753" s="532"/>
      <c r="G753" s="532"/>
      <c r="H753" s="532"/>
    </row>
    <row r="754" spans="1:8" ht="12.75">
      <c r="A754" s="532"/>
      <c r="B754" s="532"/>
      <c r="C754" s="532"/>
      <c r="D754" s="532"/>
      <c r="E754" s="532"/>
      <c r="F754" s="532"/>
      <c r="G754" s="532"/>
      <c r="H754" s="532"/>
    </row>
    <row r="755" spans="1:8" ht="12.75">
      <c r="A755" s="532"/>
      <c r="B755" s="532"/>
      <c r="C755" s="532"/>
      <c r="D755" s="532"/>
      <c r="E755" s="532"/>
      <c r="F755" s="532"/>
      <c r="G755" s="532"/>
      <c r="H755" s="532"/>
    </row>
    <row r="756" spans="1:8" ht="12.75">
      <c r="A756" s="532"/>
      <c r="B756" s="532"/>
      <c r="C756" s="532"/>
      <c r="D756" s="532"/>
      <c r="E756" s="532"/>
      <c r="F756" s="532"/>
      <c r="G756" s="532"/>
      <c r="H756" s="532"/>
    </row>
    <row r="757" spans="1:8" ht="12.75">
      <c r="A757" s="532"/>
      <c r="B757" s="532"/>
      <c r="C757" s="532"/>
      <c r="D757" s="532"/>
      <c r="E757" s="532"/>
      <c r="F757" s="532"/>
      <c r="G757" s="532"/>
      <c r="H757" s="532"/>
    </row>
    <row r="758" spans="1:8" ht="12.75">
      <c r="A758" s="532"/>
      <c r="B758" s="532"/>
      <c r="C758" s="532"/>
      <c r="D758" s="532"/>
      <c r="E758" s="532"/>
      <c r="F758" s="532"/>
      <c r="G758" s="532"/>
      <c r="H758" s="532"/>
    </row>
    <row r="759" spans="1:8" ht="12.75">
      <c r="A759" s="532"/>
      <c r="B759" s="532"/>
      <c r="C759" s="532"/>
      <c r="D759" s="532"/>
      <c r="E759" s="532"/>
      <c r="F759" s="532"/>
      <c r="G759" s="532"/>
      <c r="H759" s="532"/>
    </row>
    <row r="760" spans="1:8" ht="12.75">
      <c r="A760" s="532"/>
      <c r="B760" s="532"/>
      <c r="C760" s="532"/>
      <c r="D760" s="532"/>
      <c r="E760" s="532"/>
      <c r="F760" s="532"/>
      <c r="G760" s="532"/>
      <c r="H760" s="532"/>
    </row>
    <row r="761" spans="1:8" ht="12.75">
      <c r="A761" s="532"/>
      <c r="B761" s="532"/>
      <c r="C761" s="532"/>
      <c r="D761" s="532"/>
      <c r="E761" s="532"/>
      <c r="F761" s="532"/>
      <c r="G761" s="532"/>
      <c r="H761" s="532"/>
    </row>
    <row r="762" spans="1:8" ht="12.75">
      <c r="A762" s="532"/>
      <c r="B762" s="532"/>
      <c r="C762" s="532"/>
      <c r="D762" s="532"/>
      <c r="E762" s="532"/>
      <c r="F762" s="532"/>
      <c r="G762" s="532"/>
      <c r="H762" s="532"/>
    </row>
    <row r="763" spans="1:8" ht="12.75">
      <c r="A763" s="532"/>
      <c r="B763" s="532"/>
      <c r="C763" s="532"/>
      <c r="D763" s="532"/>
      <c r="E763" s="532"/>
      <c r="F763" s="532"/>
      <c r="G763" s="532"/>
      <c r="H763" s="532"/>
    </row>
    <row r="764" spans="1:8" ht="12.75">
      <c r="A764" s="532"/>
      <c r="B764" s="532"/>
      <c r="C764" s="532"/>
      <c r="D764" s="532"/>
      <c r="E764" s="532"/>
      <c r="F764" s="532"/>
      <c r="G764" s="532"/>
      <c r="H764" s="532"/>
    </row>
    <row r="765" spans="1:8" ht="12.75">
      <c r="A765" s="532"/>
      <c r="B765" s="532"/>
      <c r="C765" s="532"/>
      <c r="D765" s="532"/>
      <c r="E765" s="532"/>
      <c r="F765" s="532"/>
      <c r="G765" s="532"/>
      <c r="H765" s="532"/>
    </row>
    <row r="766" spans="1:8" ht="12.75">
      <c r="A766" s="532"/>
      <c r="B766" s="532"/>
      <c r="C766" s="532"/>
      <c r="D766" s="532"/>
      <c r="E766" s="532"/>
      <c r="F766" s="532"/>
      <c r="G766" s="532"/>
      <c r="H766" s="532"/>
    </row>
    <row r="767" spans="1:8" ht="12.75">
      <c r="A767" s="532"/>
      <c r="B767" s="532"/>
      <c r="C767" s="532"/>
      <c r="D767" s="532"/>
      <c r="E767" s="532"/>
      <c r="F767" s="532"/>
      <c r="G767" s="532"/>
      <c r="H767" s="532"/>
    </row>
    <row r="768" spans="1:8" ht="12.75">
      <c r="A768" s="532"/>
      <c r="B768" s="532"/>
      <c r="C768" s="532"/>
      <c r="D768" s="532"/>
      <c r="E768" s="532"/>
      <c r="F768" s="532"/>
      <c r="G768" s="532"/>
      <c r="H768" s="532"/>
    </row>
    <row r="769" spans="1:8" ht="12.75">
      <c r="A769" s="532"/>
      <c r="B769" s="532"/>
      <c r="C769" s="532"/>
      <c r="D769" s="532"/>
      <c r="E769" s="532"/>
      <c r="F769" s="532"/>
      <c r="G769" s="532"/>
      <c r="H769" s="532"/>
    </row>
    <row r="770" spans="1:8" ht="12.75">
      <c r="A770" s="532"/>
      <c r="B770" s="532"/>
      <c r="C770" s="532"/>
      <c r="D770" s="532"/>
      <c r="E770" s="532"/>
      <c r="F770" s="532"/>
      <c r="G770" s="532"/>
      <c r="H770" s="532"/>
    </row>
    <row r="771" spans="1:8" ht="12.75">
      <c r="A771" s="532"/>
      <c r="B771" s="532"/>
      <c r="C771" s="532"/>
      <c r="D771" s="532"/>
      <c r="E771" s="532"/>
      <c r="F771" s="532"/>
      <c r="G771" s="532"/>
      <c r="H771" s="532"/>
    </row>
    <row r="772" spans="1:8" ht="12.75">
      <c r="A772" s="532"/>
      <c r="B772" s="532"/>
      <c r="C772" s="532"/>
      <c r="D772" s="532"/>
      <c r="E772" s="532"/>
      <c r="F772" s="532"/>
      <c r="G772" s="532"/>
      <c r="H772" s="532"/>
    </row>
    <row r="773" spans="1:8" ht="12.75">
      <c r="A773" s="532"/>
      <c r="B773" s="532"/>
      <c r="C773" s="532"/>
      <c r="D773" s="532"/>
      <c r="E773" s="532"/>
      <c r="F773" s="532"/>
      <c r="G773" s="532"/>
      <c r="H773" s="532"/>
    </row>
    <row r="774" spans="1:8" ht="12.75">
      <c r="A774" s="532"/>
      <c r="B774" s="532"/>
      <c r="C774" s="532"/>
      <c r="D774" s="532"/>
      <c r="E774" s="532"/>
      <c r="F774" s="532"/>
      <c r="G774" s="532"/>
      <c r="H774" s="532"/>
    </row>
    <row r="775" spans="1:8" ht="12.75">
      <c r="A775" s="532"/>
      <c r="B775" s="532"/>
      <c r="C775" s="532"/>
      <c r="D775" s="532"/>
      <c r="E775" s="532"/>
      <c r="F775" s="532"/>
      <c r="G775" s="532"/>
      <c r="H775" s="532"/>
    </row>
    <row r="776" spans="1:8" ht="12.75">
      <c r="A776" s="532"/>
      <c r="B776" s="532"/>
      <c r="C776" s="532"/>
      <c r="D776" s="532"/>
      <c r="E776" s="532"/>
      <c r="F776" s="532"/>
      <c r="G776" s="532"/>
      <c r="H776" s="532"/>
    </row>
    <row r="777" spans="1:8" ht="12.75">
      <c r="A777" s="532"/>
      <c r="B777" s="532"/>
      <c r="C777" s="532"/>
      <c r="D777" s="532"/>
      <c r="E777" s="532"/>
      <c r="F777" s="532"/>
      <c r="G777" s="532"/>
      <c r="H777" s="532"/>
    </row>
    <row r="778" spans="1:8" ht="12.75">
      <c r="A778" s="532"/>
      <c r="B778" s="532"/>
      <c r="C778" s="532"/>
      <c r="D778" s="532"/>
      <c r="E778" s="532"/>
      <c r="F778" s="532"/>
      <c r="G778" s="532"/>
      <c r="H778" s="532"/>
    </row>
    <row r="779" spans="1:8" ht="12.75">
      <c r="A779" s="532"/>
      <c r="B779" s="532"/>
      <c r="C779" s="532"/>
      <c r="D779" s="532"/>
      <c r="E779" s="532"/>
      <c r="F779" s="532"/>
      <c r="G779" s="532"/>
      <c r="H779" s="532"/>
    </row>
    <row r="780" spans="1:8" ht="12.75">
      <c r="A780" s="532"/>
      <c r="B780" s="532"/>
      <c r="C780" s="532"/>
      <c r="D780" s="532"/>
      <c r="E780" s="532"/>
      <c r="F780" s="532"/>
      <c r="G780" s="532"/>
      <c r="H780" s="532"/>
    </row>
    <row r="781" spans="1:8" ht="12.75">
      <c r="A781" s="532"/>
      <c r="B781" s="532"/>
      <c r="C781" s="532"/>
      <c r="D781" s="532"/>
      <c r="E781" s="532"/>
      <c r="F781" s="532"/>
      <c r="G781" s="532"/>
      <c r="H781" s="532"/>
    </row>
    <row r="782" spans="1:8" ht="12.75">
      <c r="A782" s="532"/>
      <c r="B782" s="532"/>
      <c r="C782" s="532"/>
      <c r="D782" s="532"/>
      <c r="E782" s="532"/>
      <c r="F782" s="532"/>
      <c r="G782" s="532"/>
      <c r="H782" s="532"/>
    </row>
    <row r="783" spans="1:8" ht="12.75">
      <c r="A783" s="532"/>
      <c r="B783" s="532"/>
      <c r="C783" s="532"/>
      <c r="D783" s="532"/>
      <c r="E783" s="532"/>
      <c r="F783" s="532"/>
      <c r="G783" s="532"/>
      <c r="H783" s="532"/>
    </row>
    <row r="784" spans="1:8" ht="12.75">
      <c r="A784" s="532"/>
      <c r="B784" s="532"/>
      <c r="C784" s="532"/>
      <c r="D784" s="532"/>
      <c r="E784" s="532"/>
      <c r="F784" s="532"/>
      <c r="G784" s="532"/>
      <c r="H784" s="532"/>
    </row>
    <row r="785" spans="1:8" ht="12.75">
      <c r="A785" s="532"/>
      <c r="B785" s="532"/>
      <c r="C785" s="532"/>
      <c r="D785" s="532"/>
      <c r="E785" s="532"/>
      <c r="F785" s="532"/>
      <c r="G785" s="532"/>
      <c r="H785" s="532"/>
    </row>
    <row r="786" spans="1:8" ht="12.75">
      <c r="A786" s="532"/>
      <c r="B786" s="532"/>
      <c r="C786" s="532"/>
      <c r="D786" s="532"/>
      <c r="E786" s="532"/>
      <c r="F786" s="532"/>
      <c r="G786" s="532"/>
      <c r="H786" s="532"/>
    </row>
    <row r="787" spans="1:8" ht="12.75">
      <c r="A787" s="532"/>
      <c r="B787" s="532"/>
      <c r="C787" s="532"/>
      <c r="D787" s="532"/>
      <c r="E787" s="532"/>
      <c r="F787" s="532"/>
      <c r="G787" s="532"/>
      <c r="H787" s="532"/>
    </row>
    <row r="788" spans="1:8" ht="12.75">
      <c r="A788" s="532"/>
      <c r="B788" s="532"/>
      <c r="C788" s="532"/>
      <c r="D788" s="532"/>
      <c r="E788" s="532"/>
      <c r="F788" s="532"/>
      <c r="G788" s="532"/>
      <c r="H788" s="532"/>
    </row>
    <row r="789" spans="1:8" ht="12.75">
      <c r="A789" s="532"/>
      <c r="B789" s="532"/>
      <c r="C789" s="532"/>
      <c r="D789" s="532"/>
      <c r="E789" s="532"/>
      <c r="F789" s="532"/>
      <c r="G789" s="532"/>
      <c r="H789" s="532"/>
    </row>
    <row r="790" spans="1:8" ht="12.75">
      <c r="A790" s="532"/>
      <c r="B790" s="532"/>
      <c r="C790" s="532"/>
      <c r="D790" s="532"/>
      <c r="E790" s="532"/>
      <c r="F790" s="532"/>
      <c r="G790" s="532"/>
      <c r="H790" s="532"/>
    </row>
    <row r="791" spans="1:8" ht="12.75">
      <c r="A791" s="532"/>
      <c r="B791" s="532"/>
      <c r="C791" s="532"/>
      <c r="D791" s="532"/>
      <c r="E791" s="532"/>
      <c r="F791" s="532"/>
      <c r="G791" s="532"/>
      <c r="H791" s="532"/>
    </row>
    <row r="792" spans="1:8" ht="12.75">
      <c r="A792" s="532"/>
      <c r="B792" s="532"/>
      <c r="C792" s="532"/>
      <c r="D792" s="532"/>
      <c r="E792" s="532"/>
      <c r="F792" s="532"/>
      <c r="G792" s="532"/>
      <c r="H792" s="532"/>
    </row>
    <row r="793" spans="1:8" ht="12.75">
      <c r="A793" s="532"/>
      <c r="B793" s="532"/>
      <c r="C793" s="532"/>
      <c r="D793" s="532"/>
      <c r="E793" s="532"/>
      <c r="F793" s="532"/>
      <c r="G793" s="532"/>
      <c r="H793" s="532"/>
    </row>
    <row r="794" spans="1:8" ht="12.75">
      <c r="A794" s="532"/>
      <c r="B794" s="532"/>
      <c r="C794" s="532"/>
      <c r="D794" s="532"/>
      <c r="E794" s="532"/>
      <c r="F794" s="532"/>
      <c r="G794" s="532"/>
      <c r="H794" s="532"/>
    </row>
    <row r="795" spans="1:8" ht="12.75">
      <c r="A795" s="532"/>
      <c r="B795" s="532"/>
      <c r="C795" s="532"/>
      <c r="D795" s="532"/>
      <c r="E795" s="532"/>
      <c r="F795" s="532"/>
      <c r="G795" s="532"/>
      <c r="H795" s="532"/>
    </row>
    <row r="796" spans="1:8" ht="12.75">
      <c r="A796" s="532"/>
      <c r="B796" s="532"/>
      <c r="C796" s="532"/>
      <c r="D796" s="532"/>
      <c r="E796" s="532"/>
      <c r="F796" s="532"/>
      <c r="G796" s="532"/>
      <c r="H796" s="532"/>
    </row>
    <row r="797" spans="1:8" ht="12.75">
      <c r="A797" s="532"/>
      <c r="B797" s="532"/>
      <c r="C797" s="532"/>
      <c r="D797" s="532"/>
      <c r="E797" s="532"/>
      <c r="F797" s="532"/>
      <c r="G797" s="532"/>
      <c r="H797" s="532"/>
    </row>
    <row r="798" spans="1:8" ht="12.75">
      <c r="A798" s="532"/>
      <c r="B798" s="532"/>
      <c r="C798" s="532"/>
      <c r="D798" s="532"/>
      <c r="E798" s="532"/>
      <c r="F798" s="532"/>
      <c r="G798" s="532"/>
      <c r="H798" s="532"/>
    </row>
    <row r="799" spans="1:8" ht="12.75">
      <c r="A799" s="532"/>
      <c r="B799" s="532"/>
      <c r="C799" s="532"/>
      <c r="D799" s="532"/>
      <c r="E799" s="532"/>
      <c r="F799" s="532"/>
      <c r="G799" s="532"/>
      <c r="H799" s="532"/>
    </row>
    <row r="800" spans="1:8" ht="12.75">
      <c r="A800" s="532"/>
      <c r="B800" s="532"/>
      <c r="C800" s="532"/>
      <c r="D800" s="532"/>
      <c r="E800" s="532"/>
      <c r="F800" s="532"/>
      <c r="G800" s="532"/>
      <c r="H800" s="532"/>
    </row>
    <row r="801" spans="1:8" ht="12.75">
      <c r="A801" s="532"/>
      <c r="B801" s="532"/>
      <c r="C801" s="532"/>
      <c r="D801" s="532"/>
      <c r="E801" s="532"/>
      <c r="F801" s="532"/>
      <c r="G801" s="532"/>
      <c r="H801" s="532"/>
    </row>
    <row r="802" spans="1:8" ht="12.75">
      <c r="A802" s="532"/>
      <c r="B802" s="532"/>
      <c r="C802" s="532"/>
      <c r="D802" s="532"/>
      <c r="E802" s="532"/>
      <c r="F802" s="532"/>
      <c r="G802" s="532"/>
      <c r="H802" s="532"/>
    </row>
    <row r="803" spans="1:8" ht="12.75">
      <c r="A803" s="532"/>
      <c r="B803" s="532"/>
      <c r="C803" s="532"/>
      <c r="D803" s="532"/>
      <c r="E803" s="532"/>
      <c r="F803" s="532"/>
      <c r="G803" s="532"/>
      <c r="H803" s="532"/>
    </row>
    <row r="804" spans="1:8" ht="12.75">
      <c r="A804" s="532"/>
      <c r="B804" s="532"/>
      <c r="C804" s="532"/>
      <c r="D804" s="532"/>
      <c r="E804" s="532"/>
      <c r="F804" s="532"/>
      <c r="G804" s="532"/>
      <c r="H804" s="532"/>
    </row>
    <row r="805" spans="1:8" ht="12.75">
      <c r="A805" s="532"/>
      <c r="B805" s="532"/>
      <c r="C805" s="532"/>
      <c r="D805" s="532"/>
      <c r="E805" s="532"/>
      <c r="F805" s="532"/>
      <c r="G805" s="532"/>
      <c r="H805" s="532"/>
    </row>
    <row r="806" spans="1:8" ht="12.75">
      <c r="A806" s="532"/>
      <c r="B806" s="532"/>
      <c r="C806" s="532"/>
      <c r="D806" s="532"/>
      <c r="E806" s="532"/>
      <c r="F806" s="532"/>
      <c r="G806" s="532"/>
      <c r="H806" s="532"/>
    </row>
    <row r="807" spans="1:8" ht="12.75">
      <c r="A807" s="532"/>
      <c r="B807" s="532"/>
      <c r="C807" s="532"/>
      <c r="D807" s="532"/>
      <c r="E807" s="532"/>
      <c r="F807" s="532"/>
      <c r="G807" s="532"/>
      <c r="H807" s="532"/>
    </row>
    <row r="808" spans="1:8" ht="12.75">
      <c r="A808" s="532"/>
      <c r="B808" s="532"/>
      <c r="C808" s="532"/>
      <c r="D808" s="532"/>
      <c r="E808" s="532"/>
      <c r="F808" s="532"/>
      <c r="G808" s="532"/>
      <c r="H808" s="532"/>
    </row>
    <row r="809" spans="1:8" ht="12.75">
      <c r="A809" s="532"/>
      <c r="B809" s="532"/>
      <c r="C809" s="532"/>
      <c r="D809" s="532"/>
      <c r="E809" s="532"/>
      <c r="F809" s="532"/>
      <c r="G809" s="532"/>
      <c r="H809" s="532"/>
    </row>
    <row r="810" spans="1:8" ht="12.75">
      <c r="A810" s="532"/>
      <c r="B810" s="532"/>
      <c r="C810" s="532"/>
      <c r="D810" s="532"/>
      <c r="E810" s="532"/>
      <c r="F810" s="532"/>
      <c r="G810" s="532"/>
      <c r="H810" s="532"/>
    </row>
    <row r="811" spans="1:8" ht="12.75">
      <c r="A811" s="532"/>
      <c r="B811" s="532"/>
      <c r="C811" s="532"/>
      <c r="D811" s="532"/>
      <c r="E811" s="532"/>
      <c r="F811" s="532"/>
      <c r="G811" s="532"/>
      <c r="H811" s="532"/>
    </row>
    <row r="812" spans="1:8" ht="12.75">
      <c r="A812" s="532"/>
      <c r="B812" s="532"/>
      <c r="C812" s="532"/>
      <c r="D812" s="532"/>
      <c r="E812" s="532"/>
      <c r="F812" s="532"/>
      <c r="G812" s="532"/>
      <c r="H812" s="532"/>
    </row>
    <row r="813" spans="1:8" ht="12.75">
      <c r="A813" s="532"/>
      <c r="B813" s="532"/>
      <c r="C813" s="532"/>
      <c r="D813" s="532"/>
      <c r="E813" s="532"/>
      <c r="F813" s="532"/>
      <c r="G813" s="532"/>
      <c r="H813" s="532"/>
    </row>
    <row r="814" spans="1:8" ht="12.75">
      <c r="A814" s="532"/>
      <c r="B814" s="532"/>
      <c r="C814" s="532"/>
      <c r="D814" s="532"/>
      <c r="E814" s="532"/>
      <c r="F814" s="532"/>
      <c r="G814" s="532"/>
      <c r="H814" s="532"/>
    </row>
    <row r="815" spans="1:8" ht="12.75">
      <c r="A815" s="532"/>
      <c r="B815" s="532"/>
      <c r="C815" s="532"/>
      <c r="D815" s="532"/>
      <c r="E815" s="532"/>
      <c r="F815" s="532"/>
      <c r="G815" s="532"/>
      <c r="H815" s="532"/>
    </row>
    <row r="816" spans="1:8" ht="12.75">
      <c r="A816" s="532"/>
      <c r="B816" s="532"/>
      <c r="C816" s="532"/>
      <c r="D816" s="532"/>
      <c r="E816" s="532"/>
      <c r="F816" s="532"/>
      <c r="G816" s="532"/>
      <c r="H816" s="532"/>
    </row>
    <row r="817" spans="1:8" ht="12.75">
      <c r="A817" s="532"/>
      <c r="B817" s="532"/>
      <c r="C817" s="532"/>
      <c r="D817" s="532"/>
      <c r="E817" s="532"/>
      <c r="F817" s="532"/>
      <c r="G817" s="532"/>
      <c r="H817" s="532"/>
    </row>
    <row r="818" spans="1:8" ht="12.75">
      <c r="A818" s="532"/>
      <c r="B818" s="532"/>
      <c r="C818" s="532"/>
      <c r="D818" s="532"/>
      <c r="E818" s="532"/>
      <c r="F818" s="532"/>
      <c r="G818" s="532"/>
      <c r="H818" s="532"/>
    </row>
    <row r="819" spans="1:8" ht="12.75">
      <c r="A819" s="532"/>
      <c r="B819" s="532"/>
      <c r="C819" s="532"/>
      <c r="D819" s="532"/>
      <c r="E819" s="532"/>
      <c r="F819" s="532"/>
      <c r="G819" s="532"/>
      <c r="H819" s="532"/>
    </row>
    <row r="820" spans="1:8" ht="12.75">
      <c r="A820" s="532"/>
      <c r="B820" s="532"/>
      <c r="C820" s="532"/>
      <c r="D820" s="532"/>
      <c r="E820" s="532"/>
      <c r="F820" s="532"/>
      <c r="G820" s="532"/>
      <c r="H820" s="532"/>
    </row>
    <row r="821" spans="1:8" ht="12.75">
      <c r="A821" s="532"/>
      <c r="B821" s="532"/>
      <c r="C821" s="532"/>
      <c r="D821" s="532"/>
      <c r="E821" s="532"/>
      <c r="F821" s="532"/>
      <c r="G821" s="532"/>
      <c r="H821" s="532"/>
    </row>
    <row r="822" spans="1:8" ht="12.75">
      <c r="A822" s="532"/>
      <c r="B822" s="532"/>
      <c r="C822" s="532"/>
      <c r="D822" s="532"/>
      <c r="E822" s="532"/>
      <c r="F822" s="532"/>
      <c r="G822" s="532"/>
      <c r="H822" s="532"/>
    </row>
    <row r="823" spans="1:8" ht="12.75">
      <c r="A823" s="532"/>
      <c r="B823" s="532"/>
      <c r="C823" s="532"/>
      <c r="D823" s="532"/>
      <c r="E823" s="532"/>
      <c r="F823" s="532"/>
      <c r="G823" s="532"/>
      <c r="H823" s="532"/>
    </row>
    <row r="824" spans="1:8" ht="12.75">
      <c r="A824" s="532"/>
      <c r="B824" s="532"/>
      <c r="C824" s="532"/>
      <c r="D824" s="532"/>
      <c r="E824" s="532"/>
      <c r="F824" s="532"/>
      <c r="G824" s="532"/>
      <c r="H824" s="532"/>
    </row>
    <row r="825" spans="1:8" ht="12.75">
      <c r="A825" s="532"/>
      <c r="B825" s="532"/>
      <c r="C825" s="532"/>
      <c r="D825" s="532"/>
      <c r="E825" s="532"/>
      <c r="F825" s="532"/>
      <c r="G825" s="532"/>
      <c r="H825" s="532"/>
    </row>
    <row r="826" spans="1:8" ht="12.75">
      <c r="A826" s="532"/>
      <c r="B826" s="532"/>
      <c r="C826" s="532"/>
      <c r="D826" s="532"/>
      <c r="E826" s="532"/>
      <c r="F826" s="532"/>
      <c r="G826" s="532"/>
      <c r="H826" s="532"/>
    </row>
    <row r="827" spans="1:8" ht="12.75">
      <c r="A827" s="532"/>
      <c r="B827" s="532"/>
      <c r="C827" s="532"/>
      <c r="D827" s="532"/>
      <c r="E827" s="532"/>
      <c r="F827" s="532"/>
      <c r="G827" s="532"/>
      <c r="H827" s="532"/>
    </row>
    <row r="828" spans="1:8" ht="12.75">
      <c r="A828" s="532"/>
      <c r="B828" s="532"/>
      <c r="C828" s="532"/>
      <c r="D828" s="532"/>
      <c r="E828" s="532"/>
      <c r="F828" s="532"/>
      <c r="G828" s="532"/>
      <c r="H828" s="532"/>
    </row>
    <row r="829" spans="1:8" ht="12.75">
      <c r="A829" s="532"/>
      <c r="B829" s="532"/>
      <c r="C829" s="532"/>
      <c r="D829" s="532"/>
      <c r="E829" s="532"/>
      <c r="F829" s="532"/>
      <c r="G829" s="532"/>
      <c r="H829" s="532"/>
    </row>
    <row r="830" spans="1:8" ht="12.75">
      <c r="A830" s="532"/>
      <c r="B830" s="532"/>
      <c r="C830" s="532"/>
      <c r="D830" s="532"/>
      <c r="E830" s="532"/>
      <c r="F830" s="532"/>
      <c r="G830" s="532"/>
      <c r="H830" s="532"/>
    </row>
    <row r="831" spans="1:8" ht="12.75">
      <c r="A831" s="532"/>
      <c r="B831" s="532"/>
      <c r="C831" s="532"/>
      <c r="D831" s="532"/>
      <c r="E831" s="532"/>
      <c r="F831" s="532"/>
      <c r="G831" s="532"/>
      <c r="H831" s="532"/>
    </row>
    <row r="832" spans="1:8" ht="12.75">
      <c r="A832" s="532"/>
      <c r="B832" s="532"/>
      <c r="C832" s="532"/>
      <c r="D832" s="532"/>
      <c r="E832" s="532"/>
      <c r="F832" s="532"/>
      <c r="G832" s="532"/>
      <c r="H832" s="532"/>
    </row>
    <row r="833" spans="1:8" ht="12.75">
      <c r="A833" s="532"/>
      <c r="B833" s="532"/>
      <c r="C833" s="532"/>
      <c r="D833" s="532"/>
      <c r="E833" s="532"/>
      <c r="F833" s="532"/>
      <c r="G833" s="532"/>
      <c r="H833" s="532"/>
    </row>
    <row r="834" spans="1:8" ht="12.75">
      <c r="A834" s="532"/>
      <c r="B834" s="532"/>
      <c r="C834" s="532"/>
      <c r="D834" s="532"/>
      <c r="E834" s="532"/>
      <c r="F834" s="532"/>
      <c r="G834" s="532"/>
      <c r="H834" s="532"/>
    </row>
    <row r="835" spans="1:8" ht="12.75">
      <c r="A835" s="532"/>
      <c r="B835" s="532"/>
      <c r="C835" s="532"/>
      <c r="D835" s="532"/>
      <c r="E835" s="532"/>
      <c r="F835" s="532"/>
      <c r="G835" s="532"/>
      <c r="H835" s="532"/>
    </row>
    <row r="836" spans="1:8" ht="12.75">
      <c r="A836" s="532"/>
      <c r="B836" s="532"/>
      <c r="C836" s="532"/>
      <c r="D836" s="532"/>
      <c r="E836" s="532"/>
      <c r="F836" s="532"/>
      <c r="G836" s="532"/>
      <c r="H836" s="532"/>
    </row>
    <row r="837" spans="1:8" ht="12.75">
      <c r="A837" s="532"/>
      <c r="B837" s="532"/>
      <c r="C837" s="532"/>
      <c r="D837" s="532"/>
      <c r="E837" s="532"/>
      <c r="F837" s="532"/>
      <c r="G837" s="532"/>
      <c r="H837" s="532"/>
    </row>
    <row r="838" spans="1:8" ht="12.75">
      <c r="A838" s="532"/>
      <c r="B838" s="532"/>
      <c r="C838" s="532"/>
      <c r="D838" s="532"/>
      <c r="E838" s="532"/>
      <c r="F838" s="532"/>
      <c r="G838" s="532"/>
      <c r="H838" s="532"/>
    </row>
    <row r="839" spans="1:8" ht="12.75">
      <c r="A839" s="532"/>
      <c r="B839" s="532"/>
      <c r="C839" s="532"/>
      <c r="D839" s="532"/>
      <c r="E839" s="532"/>
      <c r="F839" s="532"/>
      <c r="G839" s="532"/>
      <c r="H839" s="532"/>
    </row>
    <row r="840" spans="1:8" ht="12.75">
      <c r="A840" s="532"/>
      <c r="B840" s="532"/>
      <c r="C840" s="532"/>
      <c r="D840" s="532"/>
      <c r="E840" s="532"/>
      <c r="F840" s="532"/>
      <c r="G840" s="532"/>
      <c r="H840" s="532"/>
    </row>
    <row r="841" spans="1:8" ht="12.75">
      <c r="A841" s="532"/>
      <c r="B841" s="532"/>
      <c r="C841" s="532"/>
      <c r="D841" s="532"/>
      <c r="E841" s="532"/>
      <c r="F841" s="532"/>
      <c r="G841" s="532"/>
      <c r="H841" s="532"/>
    </row>
    <row r="842" spans="1:8" ht="12.75">
      <c r="A842" s="532"/>
      <c r="B842" s="532"/>
      <c r="C842" s="532"/>
      <c r="D842" s="532"/>
      <c r="E842" s="532"/>
      <c r="F842" s="532"/>
      <c r="G842" s="532"/>
      <c r="H842" s="532"/>
    </row>
    <row r="843" spans="1:8" ht="12.75">
      <c r="A843" s="532"/>
      <c r="B843" s="532"/>
      <c r="C843" s="532"/>
      <c r="D843" s="532"/>
      <c r="E843" s="532"/>
      <c r="F843" s="532"/>
      <c r="G843" s="532"/>
      <c r="H843" s="532"/>
    </row>
    <row r="844" spans="1:8" ht="12.75">
      <c r="A844" s="532"/>
      <c r="B844" s="532"/>
      <c r="C844" s="532"/>
      <c r="D844" s="532"/>
      <c r="E844" s="532"/>
      <c r="F844" s="532"/>
      <c r="G844" s="532"/>
      <c r="H844" s="532"/>
    </row>
    <row r="845" spans="1:8" ht="12.75">
      <c r="A845" s="532"/>
      <c r="B845" s="532"/>
      <c r="C845" s="532"/>
      <c r="D845" s="532"/>
      <c r="E845" s="532"/>
      <c r="F845" s="532"/>
      <c r="G845" s="532"/>
      <c r="H845" s="532"/>
    </row>
    <row r="846" spans="1:8" ht="12.75">
      <c r="A846" s="532"/>
      <c r="B846" s="532"/>
      <c r="C846" s="532"/>
      <c r="D846" s="532"/>
      <c r="E846" s="532"/>
      <c r="F846" s="532"/>
      <c r="G846" s="532"/>
      <c r="H846" s="532"/>
    </row>
    <row r="847" spans="1:8" ht="12.75">
      <c r="A847" s="532"/>
      <c r="B847" s="532"/>
      <c r="C847" s="532"/>
      <c r="D847" s="532"/>
      <c r="E847" s="532"/>
      <c r="F847" s="532"/>
      <c r="G847" s="532"/>
      <c r="H847" s="532"/>
    </row>
    <row r="848" spans="1:8" ht="12.75">
      <c r="A848" s="532"/>
      <c r="B848" s="532"/>
      <c r="C848" s="532"/>
      <c r="D848" s="532"/>
      <c r="E848" s="532"/>
      <c r="F848" s="532"/>
      <c r="G848" s="532"/>
      <c r="H848" s="532"/>
    </row>
    <row r="849" spans="1:8" ht="12.75">
      <c r="A849" s="532"/>
      <c r="B849" s="532"/>
      <c r="C849" s="532"/>
      <c r="D849" s="532"/>
      <c r="E849" s="532"/>
      <c r="F849" s="532"/>
      <c r="G849" s="532"/>
      <c r="H849" s="532"/>
    </row>
    <row r="850" spans="1:8" ht="12.75">
      <c r="A850" s="532"/>
      <c r="B850" s="532"/>
      <c r="C850" s="532"/>
      <c r="D850" s="532"/>
      <c r="E850" s="532"/>
      <c r="F850" s="532"/>
      <c r="G850" s="532"/>
      <c r="H850" s="532"/>
    </row>
    <row r="851" spans="1:8" ht="12.75">
      <c r="A851" s="532"/>
      <c r="B851" s="532"/>
      <c r="C851" s="532"/>
      <c r="D851" s="532"/>
      <c r="E851" s="532"/>
      <c r="F851" s="532"/>
      <c r="G851" s="532"/>
      <c r="H851" s="532"/>
    </row>
    <row r="852" spans="1:8" ht="12.75">
      <c r="A852" s="532"/>
      <c r="B852" s="532"/>
      <c r="C852" s="532"/>
      <c r="D852" s="532"/>
      <c r="E852" s="532"/>
      <c r="F852" s="532"/>
      <c r="G852" s="532"/>
      <c r="H852" s="532"/>
    </row>
    <row r="853" spans="1:8" ht="12.75">
      <c r="A853" s="532"/>
      <c r="B853" s="532"/>
      <c r="C853" s="532"/>
      <c r="D853" s="532"/>
      <c r="E853" s="532"/>
      <c r="F853" s="532"/>
      <c r="G853" s="532"/>
      <c r="H853" s="532"/>
    </row>
    <row r="854" spans="1:8" ht="12.75">
      <c r="A854" s="532"/>
      <c r="B854" s="532"/>
      <c r="C854" s="532"/>
      <c r="D854" s="532"/>
      <c r="E854" s="532"/>
      <c r="F854" s="532"/>
      <c r="G854" s="532"/>
      <c r="H854" s="532"/>
    </row>
    <row r="855" spans="1:8" ht="12.75">
      <c r="A855" s="532"/>
      <c r="B855" s="532"/>
      <c r="C855" s="532"/>
      <c r="D855" s="532"/>
      <c r="E855" s="532"/>
      <c r="F855" s="532"/>
      <c r="G855" s="532"/>
      <c r="H855" s="532"/>
    </row>
    <row r="856" spans="1:8" ht="12.75">
      <c r="A856" s="532"/>
      <c r="B856" s="532"/>
      <c r="C856" s="532"/>
      <c r="D856" s="532"/>
      <c r="E856" s="532"/>
      <c r="F856" s="532"/>
      <c r="G856" s="532"/>
      <c r="H856" s="532"/>
    </row>
    <row r="857" spans="1:8" ht="12.75">
      <c r="A857" s="532"/>
      <c r="B857" s="532"/>
      <c r="C857" s="532"/>
      <c r="D857" s="532"/>
      <c r="E857" s="532"/>
      <c r="F857" s="532"/>
      <c r="G857" s="532"/>
      <c r="H857" s="532"/>
    </row>
    <row r="858" spans="1:8" ht="12.75">
      <c r="A858" s="532"/>
      <c r="B858" s="532"/>
      <c r="C858" s="532"/>
      <c r="D858" s="532"/>
      <c r="E858" s="532"/>
      <c r="F858" s="532"/>
      <c r="G858" s="532"/>
      <c r="H858" s="532"/>
    </row>
    <row r="859" spans="1:8" ht="12.75">
      <c r="A859" s="532"/>
      <c r="B859" s="532"/>
      <c r="C859" s="532"/>
      <c r="D859" s="532"/>
      <c r="E859" s="532"/>
      <c r="F859" s="532"/>
      <c r="G859" s="532"/>
      <c r="H859" s="532"/>
    </row>
    <row r="860" spans="1:8" ht="12.75">
      <c r="A860" s="532"/>
      <c r="B860" s="532"/>
      <c r="C860" s="532"/>
      <c r="D860" s="532"/>
      <c r="E860" s="532"/>
      <c r="F860" s="532"/>
      <c r="G860" s="532"/>
      <c r="H860" s="532"/>
    </row>
    <row r="861" spans="1:8" ht="12.75">
      <c r="A861" s="532"/>
      <c r="B861" s="532"/>
      <c r="C861" s="532"/>
      <c r="D861" s="532"/>
      <c r="E861" s="532"/>
      <c r="F861" s="532"/>
      <c r="G861" s="532"/>
      <c r="H861" s="532"/>
    </row>
    <row r="862" spans="1:8" ht="12.75">
      <c r="A862" s="532"/>
      <c r="B862" s="532"/>
      <c r="C862" s="532"/>
      <c r="D862" s="532"/>
      <c r="E862" s="532"/>
      <c r="F862" s="532"/>
      <c r="G862" s="532"/>
      <c r="H862" s="532"/>
    </row>
    <row r="863" spans="1:8" ht="12.75">
      <c r="A863" s="532"/>
      <c r="B863" s="532"/>
      <c r="C863" s="532"/>
      <c r="D863" s="532"/>
      <c r="E863" s="532"/>
      <c r="F863" s="532"/>
      <c r="G863" s="532"/>
      <c r="H863" s="532"/>
    </row>
    <row r="864" spans="1:8" ht="12.75">
      <c r="A864" s="532"/>
      <c r="B864" s="532"/>
      <c r="C864" s="532"/>
      <c r="D864" s="532"/>
      <c r="E864" s="532"/>
      <c r="F864" s="532"/>
      <c r="G864" s="532"/>
      <c r="H864" s="532"/>
    </row>
    <row r="865" spans="1:8" ht="12.75">
      <c r="A865" s="532"/>
      <c r="B865" s="532"/>
      <c r="C865" s="532"/>
      <c r="D865" s="532"/>
      <c r="E865" s="532"/>
      <c r="F865" s="532"/>
      <c r="G865" s="532"/>
      <c r="H865" s="532"/>
    </row>
    <row r="866" spans="1:8" ht="12.75">
      <c r="A866" s="532"/>
      <c r="B866" s="532"/>
      <c r="C866" s="532"/>
      <c r="D866" s="532"/>
      <c r="E866" s="532"/>
      <c r="F866" s="532"/>
      <c r="G866" s="532"/>
      <c r="H866" s="532"/>
    </row>
    <row r="867" spans="1:8" ht="12.75">
      <c r="A867" s="532"/>
      <c r="B867" s="532"/>
      <c r="C867" s="532"/>
      <c r="D867" s="532"/>
      <c r="E867" s="532"/>
      <c r="F867" s="532"/>
      <c r="G867" s="532"/>
      <c r="H867" s="532"/>
    </row>
    <row r="868" spans="1:8" ht="12.75">
      <c r="A868" s="532"/>
      <c r="B868" s="532"/>
      <c r="C868" s="532"/>
      <c r="D868" s="532"/>
      <c r="E868" s="532"/>
      <c r="F868" s="532"/>
      <c r="G868" s="532"/>
      <c r="H868" s="532"/>
    </row>
    <row r="869" spans="1:8" ht="12.75">
      <c r="A869" s="532"/>
      <c r="B869" s="532"/>
      <c r="C869" s="532"/>
      <c r="D869" s="532"/>
      <c r="E869" s="532"/>
      <c r="F869" s="532"/>
      <c r="G869" s="532"/>
      <c r="H869" s="532"/>
    </row>
    <row r="870" spans="1:8" ht="12.75">
      <c r="A870" s="532"/>
      <c r="B870" s="532"/>
      <c r="C870" s="532"/>
      <c r="D870" s="532"/>
      <c r="E870" s="532"/>
      <c r="F870" s="532"/>
      <c r="G870" s="532"/>
      <c r="H870" s="532"/>
    </row>
    <row r="871" spans="1:8" ht="12.75">
      <c r="A871" s="532"/>
      <c r="B871" s="532"/>
      <c r="C871" s="532"/>
      <c r="D871" s="532"/>
      <c r="E871" s="532"/>
      <c r="F871" s="532"/>
      <c r="G871" s="532"/>
      <c r="H871" s="532"/>
    </row>
    <row r="872" spans="1:8" ht="12.75">
      <c r="A872" s="532"/>
      <c r="B872" s="532"/>
      <c r="C872" s="532"/>
      <c r="D872" s="532"/>
      <c r="E872" s="532"/>
      <c r="F872" s="532"/>
      <c r="G872" s="532"/>
      <c r="H872" s="532"/>
    </row>
    <row r="873" spans="1:8" ht="12.75">
      <c r="A873" s="532"/>
      <c r="B873" s="532"/>
      <c r="C873" s="532"/>
      <c r="D873" s="532"/>
      <c r="E873" s="532"/>
      <c r="F873" s="532"/>
      <c r="G873" s="532"/>
      <c r="H873" s="532"/>
    </row>
    <row r="874" spans="1:8" ht="12.75">
      <c r="A874" s="532"/>
      <c r="B874" s="532"/>
      <c r="C874" s="532"/>
      <c r="D874" s="532"/>
      <c r="E874" s="532"/>
      <c r="F874" s="532"/>
      <c r="G874" s="532"/>
      <c r="H874" s="532"/>
    </row>
    <row r="875" spans="1:8" ht="12.75">
      <c r="A875" s="532"/>
      <c r="B875" s="532"/>
      <c r="C875" s="532"/>
      <c r="D875" s="532"/>
      <c r="E875" s="532"/>
      <c r="F875" s="532"/>
      <c r="G875" s="532"/>
      <c r="H875" s="532"/>
    </row>
    <row r="876" spans="1:8" ht="12.75">
      <c r="A876" s="532"/>
      <c r="B876" s="532"/>
      <c r="C876" s="532"/>
      <c r="D876" s="532"/>
      <c r="E876" s="532"/>
      <c r="F876" s="532"/>
      <c r="G876" s="532"/>
      <c r="H876" s="532"/>
    </row>
    <row r="877" spans="1:8" ht="12.75">
      <c r="A877" s="532"/>
      <c r="B877" s="532"/>
      <c r="C877" s="532"/>
      <c r="D877" s="532"/>
      <c r="E877" s="532"/>
      <c r="F877" s="532"/>
      <c r="G877" s="532"/>
      <c r="H877" s="532"/>
    </row>
    <row r="878" spans="1:8" ht="12.75">
      <c r="A878" s="532"/>
      <c r="B878" s="532"/>
      <c r="C878" s="532"/>
      <c r="D878" s="532"/>
      <c r="E878" s="532"/>
      <c r="F878" s="532"/>
      <c r="G878" s="532"/>
      <c r="H878" s="532"/>
    </row>
    <row r="879" spans="1:8" ht="12.75">
      <c r="A879" s="532"/>
      <c r="B879" s="532"/>
      <c r="C879" s="532"/>
      <c r="D879" s="532"/>
      <c r="E879" s="532"/>
      <c r="F879" s="532"/>
      <c r="G879" s="532"/>
      <c r="H879" s="532"/>
    </row>
    <row r="880" spans="1:8" ht="12.75">
      <c r="A880" s="532"/>
      <c r="B880" s="532"/>
      <c r="C880" s="532"/>
      <c r="D880" s="532"/>
      <c r="E880" s="532"/>
      <c r="F880" s="532"/>
      <c r="G880" s="532"/>
      <c r="H880" s="532"/>
    </row>
    <row r="881" spans="1:8" ht="12.75">
      <c r="A881" s="532"/>
      <c r="B881" s="532"/>
      <c r="C881" s="532"/>
      <c r="D881" s="532"/>
      <c r="E881" s="532"/>
      <c r="F881" s="532"/>
      <c r="G881" s="532"/>
      <c r="H881" s="532"/>
    </row>
    <row r="882" spans="1:8" ht="12.75">
      <c r="A882" s="532"/>
      <c r="B882" s="532"/>
      <c r="C882" s="532"/>
      <c r="D882" s="532"/>
      <c r="E882" s="532"/>
      <c r="F882" s="532"/>
      <c r="G882" s="532"/>
      <c r="H882" s="532"/>
    </row>
    <row r="883" spans="1:8" ht="12.75">
      <c r="A883" s="532"/>
      <c r="B883" s="532"/>
      <c r="C883" s="532"/>
      <c r="D883" s="532"/>
      <c r="E883" s="532"/>
      <c r="F883" s="532"/>
      <c r="G883" s="532"/>
      <c r="H883" s="532"/>
    </row>
    <row r="884" spans="1:8" ht="12.75">
      <c r="A884" s="532"/>
      <c r="B884" s="532"/>
      <c r="C884" s="532"/>
      <c r="D884" s="532"/>
      <c r="E884" s="532"/>
      <c r="F884" s="532"/>
      <c r="G884" s="532"/>
      <c r="H884" s="532"/>
    </row>
    <row r="885" spans="1:8" ht="12.75">
      <c r="A885" s="532"/>
      <c r="B885" s="532"/>
      <c r="C885" s="532"/>
      <c r="D885" s="532"/>
      <c r="E885" s="532"/>
      <c r="F885" s="532"/>
      <c r="G885" s="532"/>
      <c r="H885" s="532"/>
    </row>
    <row r="886" spans="1:8" ht="12.75">
      <c r="A886" s="532"/>
      <c r="B886" s="532"/>
      <c r="C886" s="532"/>
      <c r="D886" s="532"/>
      <c r="E886" s="532"/>
      <c r="F886" s="532"/>
      <c r="G886" s="532"/>
      <c r="H886" s="532"/>
    </row>
    <row r="887" spans="1:8" ht="12.75">
      <c r="A887" s="532"/>
      <c r="B887" s="532"/>
      <c r="C887" s="532"/>
      <c r="D887" s="532"/>
      <c r="E887" s="532"/>
      <c r="F887" s="532"/>
      <c r="G887" s="532"/>
      <c r="H887" s="532"/>
    </row>
    <row r="888" spans="1:8" ht="12.75">
      <c r="A888" s="532"/>
      <c r="B888" s="532"/>
      <c r="C888" s="532"/>
      <c r="D888" s="532"/>
      <c r="E888" s="532"/>
      <c r="F888" s="532"/>
      <c r="G888" s="532"/>
      <c r="H888" s="532"/>
    </row>
    <row r="889" spans="1:8" ht="12.75">
      <c r="A889" s="532"/>
      <c r="B889" s="532"/>
      <c r="C889" s="532"/>
      <c r="D889" s="532"/>
      <c r="E889" s="532"/>
      <c r="F889" s="532"/>
      <c r="G889" s="532"/>
      <c r="H889" s="532"/>
    </row>
    <row r="890" spans="1:8" ht="12.75">
      <c r="A890" s="532"/>
      <c r="B890" s="532"/>
      <c r="C890" s="532"/>
      <c r="D890" s="532"/>
      <c r="E890" s="532"/>
      <c r="F890" s="532"/>
      <c r="G890" s="532"/>
      <c r="H890" s="532"/>
    </row>
    <row r="891" spans="1:8" ht="12.75">
      <c r="A891" s="532"/>
      <c r="B891" s="532"/>
      <c r="C891" s="532"/>
      <c r="D891" s="532"/>
      <c r="E891" s="532"/>
      <c r="F891" s="532"/>
      <c r="G891" s="532"/>
      <c r="H891" s="532"/>
    </row>
    <row r="892" spans="1:8" ht="12.75">
      <c r="A892" s="532"/>
      <c r="B892" s="532"/>
      <c r="C892" s="532"/>
      <c r="D892" s="532"/>
      <c r="E892" s="532"/>
      <c r="F892" s="532"/>
      <c r="G892" s="532"/>
      <c r="H892" s="532"/>
    </row>
    <row r="893" spans="1:8" ht="12.75">
      <c r="A893" s="532"/>
      <c r="B893" s="532"/>
      <c r="C893" s="532"/>
      <c r="D893" s="532"/>
      <c r="E893" s="532"/>
      <c r="F893" s="532"/>
      <c r="G893" s="532"/>
      <c r="H893" s="532"/>
    </row>
    <row r="894" spans="1:8" ht="12.75">
      <c r="A894" s="532"/>
      <c r="B894" s="532"/>
      <c r="C894" s="532"/>
      <c r="D894" s="532"/>
      <c r="E894" s="532"/>
      <c r="F894" s="532"/>
      <c r="G894" s="532"/>
      <c r="H894" s="532"/>
    </row>
    <row r="895" spans="1:8" ht="12.75">
      <c r="A895" s="532"/>
      <c r="B895" s="532"/>
      <c r="C895" s="532"/>
      <c r="D895" s="532"/>
      <c r="E895" s="532"/>
      <c r="F895" s="532"/>
      <c r="G895" s="532"/>
      <c r="H895" s="532"/>
    </row>
    <row r="896" spans="1:8" ht="12.75">
      <c r="A896" s="532"/>
      <c r="B896" s="532"/>
      <c r="C896" s="532"/>
      <c r="D896" s="532"/>
      <c r="E896" s="532"/>
      <c r="F896" s="532"/>
      <c r="G896" s="532"/>
      <c r="H896" s="532"/>
    </row>
    <row r="897" spans="1:8" ht="12.75">
      <c r="A897" s="532"/>
      <c r="B897" s="532"/>
      <c r="C897" s="532"/>
      <c r="D897" s="532"/>
      <c r="E897" s="532"/>
      <c r="F897" s="532"/>
      <c r="G897" s="532"/>
      <c r="H897" s="532"/>
    </row>
    <row r="898" spans="1:8" ht="12.75">
      <c r="A898" s="532"/>
      <c r="B898" s="532"/>
      <c r="C898" s="532"/>
      <c r="D898" s="532"/>
      <c r="E898" s="532"/>
      <c r="F898" s="532"/>
      <c r="G898" s="532"/>
      <c r="H898" s="532"/>
    </row>
    <row r="899" spans="1:8" ht="12.75">
      <c r="A899" s="532"/>
      <c r="B899" s="532"/>
      <c r="C899" s="532"/>
      <c r="D899" s="532"/>
      <c r="E899" s="532"/>
      <c r="F899" s="532"/>
      <c r="G899" s="532"/>
      <c r="H899" s="532"/>
    </row>
    <row r="900" spans="1:8" ht="12.75">
      <c r="A900" s="532"/>
      <c r="B900" s="532"/>
      <c r="C900" s="532"/>
      <c r="D900" s="532"/>
      <c r="E900" s="532"/>
      <c r="F900" s="532"/>
      <c r="G900" s="532"/>
      <c r="H900" s="532"/>
    </row>
    <row r="901" spans="1:8" ht="12.75">
      <c r="A901" s="532"/>
      <c r="B901" s="532"/>
      <c r="C901" s="532"/>
      <c r="D901" s="532"/>
      <c r="E901" s="532"/>
      <c r="F901" s="532"/>
      <c r="G901" s="532"/>
      <c r="H901" s="532"/>
    </row>
    <row r="902" spans="1:8" ht="12.75">
      <c r="A902" s="532"/>
      <c r="B902" s="532"/>
      <c r="C902" s="532"/>
      <c r="D902" s="532"/>
      <c r="E902" s="532"/>
      <c r="F902" s="532"/>
      <c r="G902" s="532"/>
      <c r="H902" s="532"/>
    </row>
    <row r="903" spans="1:8" ht="12.75">
      <c r="A903" s="532"/>
      <c r="B903" s="532"/>
      <c r="C903" s="532"/>
      <c r="D903" s="532"/>
      <c r="E903" s="532"/>
      <c r="F903" s="532"/>
      <c r="G903" s="532"/>
      <c r="H903" s="532"/>
    </row>
    <row r="904" spans="1:8" ht="12.75">
      <c r="A904" s="532"/>
      <c r="B904" s="532"/>
      <c r="C904" s="532"/>
      <c r="D904" s="532"/>
      <c r="E904" s="532"/>
      <c r="F904" s="532"/>
      <c r="G904" s="532"/>
      <c r="H904" s="532"/>
    </row>
    <row r="905" spans="1:8" ht="12.75">
      <c r="A905" s="532"/>
      <c r="B905" s="532"/>
      <c r="C905" s="532"/>
      <c r="D905" s="532"/>
      <c r="E905" s="532"/>
      <c r="F905" s="532"/>
      <c r="G905" s="532"/>
      <c r="H905" s="532"/>
    </row>
    <row r="906" spans="1:8" ht="12.75">
      <c r="A906" s="532"/>
      <c r="B906" s="532"/>
      <c r="C906" s="532"/>
      <c r="D906" s="532"/>
      <c r="E906" s="532"/>
      <c r="F906" s="532"/>
      <c r="G906" s="532"/>
      <c r="H906" s="532"/>
    </row>
    <row r="907" spans="1:8" ht="12.75">
      <c r="A907" s="532"/>
      <c r="B907" s="532"/>
      <c r="C907" s="532"/>
      <c r="D907" s="532"/>
      <c r="E907" s="532"/>
      <c r="F907" s="532"/>
      <c r="G907" s="532"/>
      <c r="H907" s="532"/>
    </row>
    <row r="908" spans="1:8" ht="12.75">
      <c r="A908" s="532"/>
      <c r="B908" s="532"/>
      <c r="C908" s="532"/>
      <c r="D908" s="532"/>
      <c r="E908" s="532"/>
      <c r="F908" s="532"/>
      <c r="G908" s="532"/>
      <c r="H908" s="532"/>
    </row>
    <row r="909" spans="1:8" ht="12.75">
      <c r="A909" s="532"/>
      <c r="B909" s="532"/>
      <c r="C909" s="532"/>
      <c r="D909" s="532"/>
      <c r="E909" s="532"/>
      <c r="F909" s="532"/>
      <c r="G909" s="532"/>
      <c r="H909" s="532"/>
    </row>
    <row r="910" spans="1:8" ht="12.75">
      <c r="A910" s="532"/>
      <c r="B910" s="532"/>
      <c r="C910" s="532"/>
      <c r="D910" s="532"/>
      <c r="E910" s="532"/>
      <c r="F910" s="532"/>
      <c r="G910" s="532"/>
      <c r="H910" s="532"/>
    </row>
    <row r="911" spans="1:8" ht="12.75">
      <c r="A911" s="532"/>
      <c r="B911" s="532"/>
      <c r="C911" s="532"/>
      <c r="D911" s="532"/>
      <c r="E911" s="532"/>
      <c r="F911" s="532"/>
      <c r="G911" s="532"/>
      <c r="H911" s="532"/>
    </row>
    <row r="912" spans="1:8" ht="12.75">
      <c r="A912" s="532"/>
      <c r="B912" s="532"/>
      <c r="C912" s="532"/>
      <c r="D912" s="532"/>
      <c r="E912" s="532"/>
      <c r="F912" s="532"/>
      <c r="G912" s="532"/>
      <c r="H912" s="532"/>
    </row>
    <row r="913" spans="1:8" ht="12.75">
      <c r="A913" s="532"/>
      <c r="B913" s="532"/>
      <c r="C913" s="532"/>
      <c r="D913" s="532"/>
      <c r="E913" s="532"/>
      <c r="F913" s="532"/>
      <c r="G913" s="532"/>
      <c r="H913" s="532"/>
    </row>
    <row r="914" spans="1:8" ht="12.75">
      <c r="A914" s="532"/>
      <c r="B914" s="532"/>
      <c r="C914" s="532"/>
      <c r="D914" s="532"/>
      <c r="E914" s="532"/>
      <c r="F914" s="532"/>
      <c r="G914" s="532"/>
      <c r="H914" s="532"/>
    </row>
    <row r="915" spans="1:8" ht="12.75">
      <c r="A915" s="532"/>
      <c r="B915" s="532"/>
      <c r="C915" s="532"/>
      <c r="D915" s="532"/>
      <c r="E915" s="532"/>
      <c r="F915" s="532"/>
      <c r="G915" s="532"/>
      <c r="H915" s="532"/>
    </row>
    <row r="916" spans="1:8" ht="12.75">
      <c r="A916" s="532"/>
      <c r="B916" s="532"/>
      <c r="C916" s="532"/>
      <c r="D916" s="532"/>
      <c r="E916" s="532"/>
      <c r="F916" s="532"/>
      <c r="G916" s="532"/>
      <c r="H916" s="532"/>
    </row>
    <row r="917" spans="1:8" ht="12.75">
      <c r="A917" s="532"/>
      <c r="B917" s="532"/>
      <c r="C917" s="532"/>
      <c r="D917" s="532"/>
      <c r="E917" s="532"/>
      <c r="F917" s="532"/>
      <c r="G917" s="532"/>
      <c r="H917" s="532"/>
    </row>
    <row r="918" spans="1:8" ht="12.75">
      <c r="A918" s="532"/>
      <c r="B918" s="532"/>
      <c r="C918" s="532"/>
      <c r="D918" s="532"/>
      <c r="E918" s="532"/>
      <c r="F918" s="532"/>
      <c r="G918" s="532"/>
      <c r="H918" s="532"/>
    </row>
    <row r="919" spans="1:8" ht="12.75">
      <c r="A919" s="532"/>
      <c r="B919" s="532"/>
      <c r="C919" s="532"/>
      <c r="D919" s="532"/>
      <c r="E919" s="532"/>
      <c r="F919" s="532"/>
      <c r="G919" s="532"/>
      <c r="H919" s="532"/>
    </row>
    <row r="920" spans="1:8" ht="12.75">
      <c r="A920" s="532"/>
      <c r="B920" s="532"/>
      <c r="C920" s="532"/>
      <c r="D920" s="532"/>
      <c r="E920" s="532"/>
      <c r="F920" s="532"/>
      <c r="G920" s="532"/>
      <c r="H920" s="532"/>
    </row>
    <row r="921" spans="1:8" ht="12.75">
      <c r="A921" s="532"/>
      <c r="B921" s="532"/>
      <c r="C921" s="532"/>
      <c r="D921" s="532"/>
      <c r="E921" s="532"/>
      <c r="F921" s="532"/>
      <c r="G921" s="532"/>
      <c r="H921" s="532"/>
    </row>
    <row r="922" spans="1:8" ht="12.75">
      <c r="A922" s="532"/>
      <c r="B922" s="532"/>
      <c r="C922" s="532"/>
      <c r="D922" s="532"/>
      <c r="E922" s="532"/>
      <c r="F922" s="532"/>
      <c r="G922" s="532"/>
      <c r="H922" s="532"/>
    </row>
    <row r="923" spans="1:8" ht="12.75">
      <c r="A923" s="532"/>
      <c r="B923" s="532"/>
      <c r="C923" s="532"/>
      <c r="D923" s="532"/>
      <c r="E923" s="532"/>
      <c r="F923" s="532"/>
      <c r="G923" s="532"/>
      <c r="H923" s="532"/>
    </row>
    <row r="924" spans="1:8" ht="12.75">
      <c r="A924" s="532"/>
      <c r="B924" s="532"/>
      <c r="C924" s="532"/>
      <c r="D924" s="532"/>
      <c r="E924" s="532"/>
      <c r="F924" s="532"/>
      <c r="G924" s="532"/>
      <c r="H924" s="532"/>
    </row>
    <row r="925" spans="1:8" ht="12.75">
      <c r="A925" s="532"/>
      <c r="B925" s="532"/>
      <c r="C925" s="532"/>
      <c r="D925" s="532"/>
      <c r="E925" s="532"/>
      <c r="F925" s="532"/>
      <c r="G925" s="532"/>
      <c r="H925" s="532"/>
    </row>
    <row r="926" spans="1:8" ht="12.75">
      <c r="A926" s="532"/>
      <c r="B926" s="532"/>
      <c r="C926" s="532"/>
      <c r="D926" s="532"/>
      <c r="E926" s="532"/>
      <c r="F926" s="532"/>
      <c r="G926" s="532"/>
      <c r="H926" s="532"/>
    </row>
    <row r="927" spans="1:8" ht="12.75">
      <c r="A927" s="532"/>
      <c r="B927" s="532"/>
      <c r="C927" s="532"/>
      <c r="D927" s="532"/>
      <c r="E927" s="532"/>
      <c r="F927" s="532"/>
      <c r="G927" s="532"/>
      <c r="H927" s="532"/>
    </row>
    <row r="928" spans="1:8" ht="12.75">
      <c r="A928" s="532"/>
      <c r="B928" s="532"/>
      <c r="C928" s="532"/>
      <c r="D928" s="532"/>
      <c r="E928" s="532"/>
      <c r="F928" s="532"/>
      <c r="G928" s="532"/>
      <c r="H928" s="532"/>
    </row>
    <row r="929" spans="1:8" ht="12.75">
      <c r="A929" s="532"/>
      <c r="B929" s="532"/>
      <c r="C929" s="532"/>
      <c r="D929" s="532"/>
      <c r="E929" s="532"/>
      <c r="F929" s="532"/>
      <c r="G929" s="532"/>
      <c r="H929" s="532"/>
    </row>
    <row r="930" spans="1:8" ht="12.75">
      <c r="A930" s="532"/>
      <c r="B930" s="532"/>
      <c r="C930" s="532"/>
      <c r="D930" s="532"/>
      <c r="E930" s="532"/>
      <c r="F930" s="532"/>
      <c r="G930" s="532"/>
      <c r="H930" s="532"/>
    </row>
    <row r="931" spans="1:8" ht="12.75">
      <c r="A931" s="532"/>
      <c r="B931" s="532"/>
      <c r="C931" s="532"/>
      <c r="D931" s="532"/>
      <c r="E931" s="532"/>
      <c r="F931" s="532"/>
      <c r="G931" s="532"/>
      <c r="H931" s="532"/>
    </row>
  </sheetData>
  <mergeCells count="14">
    <mergeCell ref="A47:A63"/>
    <mergeCell ref="A66:C66"/>
    <mergeCell ref="A67:A83"/>
    <mergeCell ref="A4:C4"/>
    <mergeCell ref="A5:A23"/>
    <mergeCell ref="A26:C26"/>
    <mergeCell ref="A27:A43"/>
    <mergeCell ref="A46:C46"/>
    <mergeCell ref="B23:C23"/>
    <mergeCell ref="B22:C22"/>
    <mergeCell ref="B21:C21"/>
    <mergeCell ref="B43:C43"/>
    <mergeCell ref="B63:C63"/>
    <mergeCell ref="B83:C83"/>
  </mergeCells>
  <phoneticPr fontId="63" type="noConversion"/>
  <conditionalFormatting sqref="D67:X82">
    <cfRule type="colorScale" priority="1">
      <colorScale>
        <cfvo type="formula" val="0"/>
        <cfvo type="formula" val="3"/>
        <cfvo type="formula" val="10"/>
        <color rgb="FF6D9EEB"/>
        <color rgb="FFFFFFFF"/>
        <color rgb="FFE0666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99A9D"/>
    <outlinePr summaryBelow="0" summaryRight="0"/>
  </sheetPr>
  <dimension ref="A1:AD113"/>
  <sheetViews>
    <sheetView workbookViewId="0"/>
  </sheetViews>
  <sheetFormatPr defaultColWidth="14.42578125" defaultRowHeight="15.75" customHeight="1" outlineLevelRow="1"/>
  <cols>
    <col min="2" max="5" width="14.42578125" hidden="1"/>
    <col min="9" max="17" width="14.42578125" hidden="1"/>
    <col min="23" max="23" width="16.140625" customWidth="1"/>
  </cols>
  <sheetData>
    <row r="1" spans="1:30" ht="12.75">
      <c r="A1" s="57"/>
      <c r="B1" s="58"/>
      <c r="C1" s="58"/>
      <c r="D1" s="58"/>
      <c r="E1" s="58"/>
      <c r="F1" s="58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30" ht="15">
      <c r="A2" s="57"/>
      <c r="B2" s="60"/>
      <c r="C2" s="60"/>
      <c r="D2" s="60"/>
      <c r="E2" s="60"/>
      <c r="F2" s="626" t="s">
        <v>81</v>
      </c>
      <c r="G2" s="579"/>
      <c r="H2" s="579"/>
      <c r="I2" s="579"/>
      <c r="J2" s="579"/>
      <c r="K2" s="59"/>
      <c r="L2" s="59"/>
      <c r="M2" s="82"/>
      <c r="N2" s="59"/>
      <c r="O2" s="82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30">
      <c r="A3" s="57"/>
      <c r="B3" s="61"/>
      <c r="C3" s="61"/>
      <c r="D3" s="61"/>
      <c r="E3" s="61"/>
      <c r="F3" s="61"/>
      <c r="G3" s="62"/>
      <c r="H3" s="62"/>
      <c r="I3" s="59"/>
      <c r="J3" s="59"/>
      <c r="K3" s="59"/>
      <c r="L3" s="59"/>
      <c r="M3" s="82"/>
      <c r="N3" s="59"/>
      <c r="O3" s="82"/>
      <c r="P3" s="59"/>
      <c r="Q3" s="59"/>
      <c r="R3" s="59"/>
      <c r="S3" s="59"/>
      <c r="T3" s="81"/>
      <c r="U3" s="81"/>
      <c r="V3" s="81"/>
      <c r="W3" s="81"/>
      <c r="X3" s="81"/>
      <c r="Y3" s="81"/>
      <c r="Z3" s="81"/>
    </row>
    <row r="4" spans="1:30">
      <c r="A4" s="57"/>
      <c r="B4" s="61"/>
      <c r="C4" s="61"/>
      <c r="D4" s="61"/>
      <c r="E4" s="61"/>
      <c r="F4" s="62"/>
      <c r="G4" s="62"/>
      <c r="H4" s="200" t="s">
        <v>162</v>
      </c>
      <c r="I4" s="107" t="s">
        <v>163</v>
      </c>
      <c r="J4" s="59"/>
      <c r="K4" s="59"/>
      <c r="L4" s="59"/>
      <c r="M4" s="62"/>
      <c r="N4" s="201"/>
      <c r="O4" s="202"/>
      <c r="P4" s="201"/>
      <c r="Q4" s="202"/>
      <c r="R4" s="201"/>
      <c r="S4" s="203"/>
      <c r="T4" s="201"/>
      <c r="U4" s="201"/>
      <c r="V4" s="201"/>
      <c r="W4" s="201"/>
      <c r="X4" s="201"/>
      <c r="Y4" s="201"/>
      <c r="Z4" s="59"/>
    </row>
    <row r="5" spans="1:30">
      <c r="A5" s="58"/>
      <c r="B5" s="61"/>
      <c r="C5" s="61"/>
      <c r="D5" s="61"/>
      <c r="E5" s="61"/>
      <c r="F5" s="627" t="s">
        <v>100</v>
      </c>
      <c r="G5" s="594"/>
      <c r="H5" s="594"/>
      <c r="I5" s="82" t="s">
        <v>164</v>
      </c>
      <c r="J5" s="82" t="s">
        <v>108</v>
      </c>
      <c r="K5" s="204" t="s">
        <v>109</v>
      </c>
      <c r="L5" s="204" t="s">
        <v>165</v>
      </c>
      <c r="M5" s="204" t="s">
        <v>166</v>
      </c>
      <c r="N5" s="204" t="s">
        <v>167</v>
      </c>
      <c r="O5" s="204" t="s">
        <v>101</v>
      </c>
      <c r="P5" s="204" t="s">
        <v>102</v>
      </c>
      <c r="Q5" s="204" t="s">
        <v>103</v>
      </c>
      <c r="R5" s="204" t="s">
        <v>104</v>
      </c>
      <c r="S5" s="204" t="s">
        <v>105</v>
      </c>
      <c r="T5" s="204" t="s">
        <v>106</v>
      </c>
      <c r="U5" s="82" t="s">
        <v>164</v>
      </c>
      <c r="V5" s="82" t="s">
        <v>108</v>
      </c>
      <c r="W5" s="204" t="s">
        <v>109</v>
      </c>
      <c r="X5" s="204" t="s">
        <v>165</v>
      </c>
      <c r="Y5" s="204" t="s">
        <v>166</v>
      </c>
      <c r="Z5" s="204"/>
    </row>
    <row r="6" spans="1:30">
      <c r="A6" s="59" t="s">
        <v>168</v>
      </c>
      <c r="B6" s="61"/>
      <c r="C6" s="61"/>
      <c r="D6" s="61"/>
      <c r="E6" s="61"/>
      <c r="F6" s="628" t="s">
        <v>0</v>
      </c>
      <c r="G6" s="581"/>
      <c r="H6" s="581"/>
      <c r="I6" s="205" t="s">
        <v>12</v>
      </c>
      <c r="J6" s="205" t="s">
        <v>1</v>
      </c>
      <c r="K6" s="205" t="s">
        <v>2</v>
      </c>
      <c r="L6" s="205" t="s">
        <v>3</v>
      </c>
      <c r="M6" s="205" t="s">
        <v>4</v>
      </c>
      <c r="N6" s="205" t="s">
        <v>5</v>
      </c>
      <c r="O6" s="205" t="s">
        <v>6</v>
      </c>
      <c r="P6" s="76" t="s">
        <v>7</v>
      </c>
      <c r="Q6" s="76" t="s">
        <v>8</v>
      </c>
      <c r="R6" s="76" t="s">
        <v>9</v>
      </c>
      <c r="S6" s="188" t="s">
        <v>10</v>
      </c>
      <c r="T6" s="206" t="s">
        <v>11</v>
      </c>
      <c r="U6" s="76" t="s">
        <v>12</v>
      </c>
      <c r="V6" s="205" t="s">
        <v>1</v>
      </c>
      <c r="W6" s="206" t="s">
        <v>2</v>
      </c>
      <c r="X6" s="205" t="s">
        <v>3</v>
      </c>
      <c r="Y6" s="205" t="s">
        <v>4</v>
      </c>
      <c r="Z6" s="205" t="s">
        <v>5</v>
      </c>
      <c r="AA6" s="205" t="s">
        <v>6</v>
      </c>
      <c r="AB6" s="76" t="s">
        <v>7</v>
      </c>
      <c r="AC6" s="76" t="s">
        <v>8</v>
      </c>
      <c r="AD6" s="76" t="s">
        <v>9</v>
      </c>
    </row>
    <row r="7" spans="1:30">
      <c r="A7" s="57"/>
      <c r="B7" s="61"/>
      <c r="C7" s="61"/>
      <c r="D7" s="61"/>
      <c r="E7" s="61"/>
      <c r="F7" s="629" t="s">
        <v>15</v>
      </c>
      <c r="G7" s="630" t="s">
        <v>14</v>
      </c>
      <c r="H7" s="189" t="s">
        <v>82</v>
      </c>
      <c r="I7" s="98">
        <v>3372</v>
      </c>
      <c r="J7" s="98">
        <v>3510</v>
      </c>
      <c r="K7" s="66"/>
      <c r="L7" s="66"/>
      <c r="M7" s="66"/>
      <c r="N7" s="207">
        <v>1620</v>
      </c>
      <c r="O7" s="198"/>
      <c r="P7" s="208"/>
      <c r="Q7" s="67"/>
      <c r="R7" s="208"/>
      <c r="S7" s="209"/>
      <c r="T7" s="210"/>
      <c r="U7" s="67"/>
      <c r="V7" s="66"/>
      <c r="W7" s="65"/>
      <c r="X7" s="211"/>
      <c r="Y7" s="212">
        <v>2160</v>
      </c>
      <c r="Z7" s="212"/>
      <c r="AA7" s="212"/>
      <c r="AB7" s="212"/>
      <c r="AC7" s="66"/>
      <c r="AD7" s="66"/>
    </row>
    <row r="8" spans="1:30">
      <c r="A8" s="57"/>
      <c r="B8" s="61"/>
      <c r="C8" s="61"/>
      <c r="D8" s="61"/>
      <c r="E8" s="61"/>
      <c r="F8" s="584"/>
      <c r="G8" s="586"/>
      <c r="H8" s="190">
        <v>1</v>
      </c>
      <c r="I8" s="98">
        <v>2604</v>
      </c>
      <c r="J8" s="98">
        <v>2700</v>
      </c>
      <c r="K8" s="66"/>
      <c r="L8" s="66"/>
      <c r="M8" s="66"/>
      <c r="N8" s="207">
        <v>1350</v>
      </c>
      <c r="O8" s="198"/>
      <c r="P8" s="208"/>
      <c r="Q8" s="13"/>
      <c r="R8" s="213">
        <v>5670</v>
      </c>
      <c r="S8" s="214">
        <v>5130</v>
      </c>
      <c r="T8" s="215"/>
      <c r="U8" s="67"/>
      <c r="V8" s="66"/>
      <c r="W8" s="65"/>
      <c r="X8" s="211"/>
      <c r="Y8" s="212"/>
      <c r="Z8" s="212"/>
      <c r="AA8" s="212"/>
      <c r="AB8" s="212"/>
      <c r="AC8" s="66"/>
      <c r="AD8" s="66"/>
    </row>
    <row r="9" spans="1:30">
      <c r="A9" s="57"/>
      <c r="B9" s="61"/>
      <c r="C9" s="61"/>
      <c r="D9" s="61"/>
      <c r="E9" s="61"/>
      <c r="F9" s="584"/>
      <c r="G9" s="586"/>
      <c r="H9" s="190">
        <v>2</v>
      </c>
      <c r="I9" s="98">
        <v>4404</v>
      </c>
      <c r="J9" s="98">
        <v>4320</v>
      </c>
      <c r="K9" s="66"/>
      <c r="L9" s="66"/>
      <c r="M9" s="66"/>
      <c r="N9" s="207">
        <v>2430</v>
      </c>
      <c r="O9" s="198"/>
      <c r="P9" s="208"/>
      <c r="Q9" s="67"/>
      <c r="R9" s="208"/>
      <c r="S9" s="209"/>
      <c r="T9" s="216">
        <v>5130</v>
      </c>
      <c r="U9" s="208"/>
      <c r="V9" s="66">
        <v>5940</v>
      </c>
      <c r="W9" s="65"/>
      <c r="X9" s="211"/>
      <c r="Y9" s="212">
        <v>3780</v>
      </c>
      <c r="Z9" s="212"/>
      <c r="AA9" s="212"/>
      <c r="AB9" s="212"/>
      <c r="AC9" s="66"/>
      <c r="AD9" s="66"/>
    </row>
    <row r="10" spans="1:30">
      <c r="A10" s="57"/>
      <c r="B10" s="61"/>
      <c r="C10" s="61"/>
      <c r="D10" s="61"/>
      <c r="E10" s="61"/>
      <c r="F10" s="584"/>
      <c r="G10" s="587"/>
      <c r="H10" s="191">
        <v>3</v>
      </c>
      <c r="I10" s="98">
        <v>810</v>
      </c>
      <c r="J10" s="98">
        <v>810</v>
      </c>
      <c r="K10" s="66"/>
      <c r="L10" s="66"/>
      <c r="M10" s="66"/>
      <c r="N10" s="207">
        <v>540</v>
      </c>
      <c r="O10" s="198"/>
      <c r="P10" s="208"/>
      <c r="Q10" s="217"/>
      <c r="R10" s="218"/>
      <c r="S10" s="214">
        <v>810</v>
      </c>
      <c r="T10" s="216">
        <v>810</v>
      </c>
      <c r="U10" s="208"/>
      <c r="V10" s="66"/>
      <c r="W10" s="65"/>
      <c r="X10" s="211"/>
      <c r="Y10" s="212"/>
      <c r="Z10" s="212"/>
      <c r="AA10" s="212"/>
      <c r="AB10" s="212"/>
      <c r="AC10" s="66"/>
      <c r="AD10" s="66"/>
    </row>
    <row r="11" spans="1:30">
      <c r="A11" s="57"/>
      <c r="B11" s="61"/>
      <c r="C11" s="61"/>
      <c r="D11" s="61"/>
      <c r="E11" s="61"/>
      <c r="F11" s="584"/>
      <c r="G11" s="631" t="s">
        <v>16</v>
      </c>
      <c r="H11" s="192" t="s">
        <v>82</v>
      </c>
      <c r="I11" s="98">
        <v>2688</v>
      </c>
      <c r="J11" s="98">
        <v>7296</v>
      </c>
      <c r="K11" s="66"/>
      <c r="L11" s="98">
        <v>14592</v>
      </c>
      <c r="M11" s="98">
        <v>9216</v>
      </c>
      <c r="N11" s="198"/>
      <c r="O11" s="207">
        <v>19200</v>
      </c>
      <c r="P11" s="208"/>
      <c r="Q11" s="67"/>
      <c r="R11" s="208"/>
      <c r="S11" s="219">
        <v>4992</v>
      </c>
      <c r="T11" s="220">
        <f>5760+1920+9532</f>
        <v>17212</v>
      </c>
      <c r="U11" s="221">
        <f>7680</f>
        <v>7680</v>
      </c>
      <c r="V11" s="66">
        <f>3456+3840</f>
        <v>7296</v>
      </c>
      <c r="W11" s="65"/>
      <c r="X11" s="211"/>
      <c r="Y11" s="212">
        <v>2688</v>
      </c>
      <c r="Z11" s="212"/>
      <c r="AA11" s="212"/>
      <c r="AB11" s="212"/>
      <c r="AC11" s="66"/>
      <c r="AD11" s="66"/>
    </row>
    <row r="12" spans="1:30">
      <c r="A12" s="57"/>
      <c r="B12" s="61"/>
      <c r="C12" s="61"/>
      <c r="D12" s="61"/>
      <c r="E12" s="61"/>
      <c r="F12" s="584"/>
      <c r="G12" s="586"/>
      <c r="H12" s="192">
        <v>1</v>
      </c>
      <c r="I12" s="98">
        <v>2688</v>
      </c>
      <c r="J12" s="98">
        <v>7296</v>
      </c>
      <c r="K12" s="98">
        <v>6912</v>
      </c>
      <c r="L12" s="66"/>
      <c r="M12" s="98">
        <v>8448</v>
      </c>
      <c r="N12" s="198"/>
      <c r="O12" s="207">
        <v>26496</v>
      </c>
      <c r="P12" s="208"/>
      <c r="Q12" s="222">
        <v>16128</v>
      </c>
      <c r="R12" s="208"/>
      <c r="S12" s="219">
        <v>3456</v>
      </c>
      <c r="T12" s="220">
        <f>9600+5576</f>
        <v>15176</v>
      </c>
      <c r="U12" s="221">
        <f>8832+8832</f>
        <v>17664</v>
      </c>
      <c r="V12" s="66">
        <f>4992+9984</f>
        <v>14976</v>
      </c>
      <c r="W12" s="66">
        <v>9984</v>
      </c>
      <c r="X12" s="211"/>
      <c r="Y12" s="212">
        <v>15360</v>
      </c>
      <c r="Z12" s="212"/>
      <c r="AA12" s="212"/>
      <c r="AB12" s="212"/>
      <c r="AC12" s="66"/>
      <c r="AD12" s="66"/>
    </row>
    <row r="13" spans="1:30">
      <c r="A13" s="57"/>
      <c r="B13" s="61"/>
      <c r="C13" s="61"/>
      <c r="D13" s="61"/>
      <c r="E13" s="61"/>
      <c r="F13" s="584"/>
      <c r="G13" s="586"/>
      <c r="H13" s="192">
        <v>2</v>
      </c>
      <c r="I13" s="223">
        <v>3072</v>
      </c>
      <c r="J13" s="98">
        <v>9984</v>
      </c>
      <c r="K13" s="98">
        <v>18432</v>
      </c>
      <c r="L13" s="98">
        <v>19200</v>
      </c>
      <c r="M13" s="98">
        <v>16128</v>
      </c>
      <c r="N13" s="198"/>
      <c r="O13" s="207">
        <v>31488</v>
      </c>
      <c r="P13" s="208"/>
      <c r="Q13" s="67"/>
      <c r="R13" s="208"/>
      <c r="S13" s="209"/>
      <c r="T13" s="220"/>
      <c r="U13" s="67"/>
      <c r="V13" s="66">
        <v>11520</v>
      </c>
      <c r="W13" s="66">
        <v>21504</v>
      </c>
      <c r="X13" s="211"/>
      <c r="Y13" s="212">
        <v>14592</v>
      </c>
      <c r="Z13" s="212"/>
      <c r="AA13" s="212"/>
      <c r="AB13" s="212"/>
      <c r="AC13" s="66"/>
      <c r="AD13" s="66"/>
    </row>
    <row r="14" spans="1:30">
      <c r="A14" s="57"/>
      <c r="B14" s="61"/>
      <c r="C14" s="61"/>
      <c r="D14" s="61"/>
      <c r="E14" s="61"/>
      <c r="F14" s="584"/>
      <c r="G14" s="587"/>
      <c r="H14" s="193" t="s">
        <v>169</v>
      </c>
      <c r="I14" s="98">
        <v>2688</v>
      </c>
      <c r="J14" s="98">
        <v>7296</v>
      </c>
      <c r="K14" s="98">
        <v>6912</v>
      </c>
      <c r="L14" s="66"/>
      <c r="M14" s="98">
        <v>8448</v>
      </c>
      <c r="N14" s="198"/>
      <c r="O14" s="198"/>
      <c r="P14" s="224">
        <f>1863+1536</f>
        <v>3399</v>
      </c>
      <c r="Q14" s="225">
        <v>1920</v>
      </c>
      <c r="R14" s="208"/>
      <c r="S14" s="64"/>
      <c r="T14" s="65">
        <v>1196</v>
      </c>
      <c r="U14" s="67"/>
      <c r="V14" s="66"/>
      <c r="W14" s="66">
        <v>2304</v>
      </c>
      <c r="X14" s="211"/>
      <c r="Y14" s="212">
        <v>1152</v>
      </c>
      <c r="Z14" s="212"/>
      <c r="AA14" s="212"/>
      <c r="AB14" s="212"/>
      <c r="AC14" s="66"/>
      <c r="AD14" s="66"/>
    </row>
    <row r="15" spans="1:30">
      <c r="A15" s="199"/>
      <c r="B15" s="61"/>
      <c r="C15" s="61"/>
      <c r="D15" s="61"/>
      <c r="E15" s="61"/>
      <c r="F15" s="584"/>
      <c r="G15" s="632"/>
      <c r="H15" s="194" t="s">
        <v>90</v>
      </c>
      <c r="I15" s="72"/>
      <c r="J15" s="72"/>
      <c r="K15" s="72"/>
      <c r="L15" s="72"/>
      <c r="M15" s="72"/>
      <c r="N15" s="72"/>
      <c r="O15" s="72"/>
      <c r="P15" s="224">
        <v>1008</v>
      </c>
      <c r="Q15" s="69"/>
      <c r="R15" s="69"/>
      <c r="S15" s="70"/>
      <c r="T15" s="71"/>
      <c r="U15" s="69"/>
      <c r="V15" s="73">
        <v>3024</v>
      </c>
      <c r="W15" s="71"/>
      <c r="X15" s="226"/>
      <c r="Y15" s="227">
        <v>2016</v>
      </c>
      <c r="Z15" s="227"/>
      <c r="AA15" s="227"/>
      <c r="AB15" s="227"/>
      <c r="AC15" s="72"/>
      <c r="AD15" s="72"/>
    </row>
    <row r="16" spans="1:30">
      <c r="A16" s="199"/>
      <c r="B16" s="61"/>
      <c r="C16" s="61"/>
      <c r="D16" s="61"/>
      <c r="E16" s="61"/>
      <c r="F16" s="584"/>
      <c r="G16" s="587"/>
      <c r="H16" s="195" t="s">
        <v>91</v>
      </c>
      <c r="I16" s="72"/>
      <c r="J16" s="72"/>
      <c r="K16" s="72"/>
      <c r="L16" s="72"/>
      <c r="M16" s="72"/>
      <c r="N16" s="72"/>
      <c r="O16" s="72"/>
      <c r="P16" s="224">
        <v>1008</v>
      </c>
      <c r="Q16" s="69"/>
      <c r="R16" s="69"/>
      <c r="S16" s="70"/>
      <c r="T16" s="71"/>
      <c r="U16" s="69"/>
      <c r="V16" s="73">
        <v>1008</v>
      </c>
      <c r="W16" s="71"/>
      <c r="X16" s="228"/>
      <c r="Y16" s="227"/>
      <c r="Z16" s="227"/>
      <c r="AA16" s="227"/>
      <c r="AB16" s="227"/>
      <c r="AC16" s="72"/>
      <c r="AD16" s="72"/>
    </row>
    <row r="17" spans="1:30">
      <c r="A17" s="199"/>
      <c r="B17" s="61"/>
      <c r="C17" s="61"/>
      <c r="D17" s="61"/>
      <c r="E17" s="61"/>
      <c r="F17" s="584"/>
      <c r="G17" s="633" t="s">
        <v>18</v>
      </c>
      <c r="H17" s="634"/>
      <c r="I17" s="79">
        <f t="shared" ref="I17:M17" si="0">SUM(I7:I13)</f>
        <v>19638</v>
      </c>
      <c r="J17" s="79">
        <f t="shared" si="0"/>
        <v>35916</v>
      </c>
      <c r="K17" s="79">
        <f t="shared" si="0"/>
        <v>25344</v>
      </c>
      <c r="L17" s="79">
        <f t="shared" si="0"/>
        <v>33792</v>
      </c>
      <c r="M17" s="79">
        <f t="shared" si="0"/>
        <v>33792</v>
      </c>
      <c r="N17" s="79">
        <f t="shared" ref="N17:O17" si="1">SUM(N7:N14)</f>
        <v>5940</v>
      </c>
      <c r="O17" s="79">
        <f t="shared" si="1"/>
        <v>77184</v>
      </c>
      <c r="P17" s="77">
        <f t="shared" ref="P17:AD17" si="2">SUM(P7:P16)</f>
        <v>5415</v>
      </c>
      <c r="Q17" s="77">
        <f t="shared" si="2"/>
        <v>18048</v>
      </c>
      <c r="R17" s="77">
        <f t="shared" si="2"/>
        <v>5670</v>
      </c>
      <c r="S17" s="78">
        <f t="shared" si="2"/>
        <v>14388</v>
      </c>
      <c r="T17" s="196">
        <f t="shared" si="2"/>
        <v>39524</v>
      </c>
      <c r="U17" s="77">
        <f t="shared" si="2"/>
        <v>25344</v>
      </c>
      <c r="V17" s="79">
        <f t="shared" si="2"/>
        <v>43764</v>
      </c>
      <c r="W17" s="196">
        <f t="shared" si="2"/>
        <v>33792</v>
      </c>
      <c r="X17" s="77">
        <f t="shared" si="2"/>
        <v>0</v>
      </c>
      <c r="Y17" s="77">
        <f t="shared" si="2"/>
        <v>41748</v>
      </c>
      <c r="Z17" s="77">
        <f t="shared" si="2"/>
        <v>0</v>
      </c>
      <c r="AA17" s="77">
        <f t="shared" si="2"/>
        <v>0</v>
      </c>
      <c r="AB17" s="77">
        <f t="shared" si="2"/>
        <v>0</v>
      </c>
      <c r="AC17" s="77">
        <f t="shared" si="2"/>
        <v>0</v>
      </c>
      <c r="AD17" s="77">
        <f t="shared" si="2"/>
        <v>0</v>
      </c>
    </row>
    <row r="18" spans="1:30">
      <c r="A18" s="199"/>
      <c r="B18" s="61"/>
      <c r="C18" s="61"/>
      <c r="D18" s="61"/>
      <c r="E18" s="61"/>
      <c r="F18" s="584"/>
      <c r="G18" s="633" t="s">
        <v>19</v>
      </c>
      <c r="H18" s="634"/>
      <c r="I18" s="79"/>
      <c r="J18" s="79"/>
      <c r="K18" s="79"/>
      <c r="L18" s="79"/>
      <c r="M18" s="79"/>
      <c r="N18" s="79"/>
      <c r="O18" s="79"/>
      <c r="P18" s="77"/>
      <c r="Q18" s="77" t="e">
        <f t="shared" ref="Q18:U18" si="3">#REF!</f>
        <v>#REF!</v>
      </c>
      <c r="R18" s="77" t="e">
        <f t="shared" si="3"/>
        <v>#REF!</v>
      </c>
      <c r="S18" s="78" t="e">
        <f t="shared" si="3"/>
        <v>#REF!</v>
      </c>
      <c r="T18" s="196" t="e">
        <f t="shared" si="3"/>
        <v>#REF!</v>
      </c>
      <c r="U18" s="77" t="e">
        <f t="shared" si="3"/>
        <v>#REF!</v>
      </c>
      <c r="V18" s="79" t="s">
        <v>484</v>
      </c>
      <c r="W18" s="196" t="s">
        <v>484</v>
      </c>
      <c r="X18" s="77" t="s">
        <v>484</v>
      </c>
      <c r="Y18" s="77" t="s">
        <v>484</v>
      </c>
      <c r="Z18" s="77" t="s">
        <v>484</v>
      </c>
      <c r="AA18" s="77" t="s">
        <v>484</v>
      </c>
      <c r="AB18" s="77" t="s">
        <v>484</v>
      </c>
      <c r="AC18" s="77" t="s">
        <v>484</v>
      </c>
      <c r="AD18" s="77" t="s">
        <v>484</v>
      </c>
    </row>
    <row r="19" spans="1:30">
      <c r="A19" s="199"/>
      <c r="B19" s="61"/>
      <c r="C19" s="61"/>
      <c r="D19" s="61"/>
      <c r="E19" s="61"/>
      <c r="F19" s="597"/>
      <c r="G19" s="633" t="s">
        <v>20</v>
      </c>
      <c r="H19" s="634"/>
      <c r="I19" s="79"/>
      <c r="J19" s="79"/>
      <c r="K19" s="79"/>
      <c r="L19" s="79"/>
      <c r="M19" s="79"/>
      <c r="N19" s="79"/>
      <c r="O19" s="79"/>
      <c r="P19" s="77"/>
      <c r="Q19" s="77" t="e">
        <f t="shared" ref="Q19:AD19" si="4">Q18*1456.78</f>
        <v>#REF!</v>
      </c>
      <c r="R19" s="77" t="e">
        <f t="shared" si="4"/>
        <v>#REF!</v>
      </c>
      <c r="S19" s="80" t="e">
        <f t="shared" si="4"/>
        <v>#REF!</v>
      </c>
      <c r="T19" s="196" t="e">
        <f t="shared" si="4"/>
        <v>#REF!</v>
      </c>
      <c r="U19" s="77" t="e">
        <f t="shared" si="4"/>
        <v>#REF!</v>
      </c>
      <c r="V19" s="77" t="e">
        <f t="shared" si="4"/>
        <v>#VALUE!</v>
      </c>
      <c r="W19" s="77" t="e">
        <f t="shared" si="4"/>
        <v>#VALUE!</v>
      </c>
      <c r="X19" s="77" t="e">
        <f t="shared" si="4"/>
        <v>#VALUE!</v>
      </c>
      <c r="Y19" s="77" t="e">
        <f t="shared" si="4"/>
        <v>#VALUE!</v>
      </c>
      <c r="Z19" s="77" t="e">
        <f t="shared" si="4"/>
        <v>#VALUE!</v>
      </c>
      <c r="AA19" s="77" t="e">
        <f t="shared" si="4"/>
        <v>#VALUE!</v>
      </c>
      <c r="AB19" s="77" t="e">
        <f t="shared" si="4"/>
        <v>#VALUE!</v>
      </c>
      <c r="AC19" s="77" t="e">
        <f t="shared" si="4"/>
        <v>#VALUE!</v>
      </c>
      <c r="AD19" s="77" t="e">
        <f t="shared" si="4"/>
        <v>#VALUE!</v>
      </c>
    </row>
    <row r="20" spans="1:30">
      <c r="A20" s="199"/>
      <c r="B20" s="61"/>
      <c r="C20" s="61"/>
      <c r="D20" s="61"/>
      <c r="E20" s="61"/>
      <c r="F20" s="81"/>
      <c r="G20" s="82"/>
      <c r="H20" s="8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229"/>
      <c r="X20" s="62"/>
      <c r="Y20" s="62"/>
      <c r="Z20" s="62"/>
    </row>
    <row r="21" spans="1:30">
      <c r="A21" s="199"/>
      <c r="B21" s="61"/>
      <c r="C21" s="61"/>
      <c r="D21" s="61"/>
      <c r="E21" s="61"/>
      <c r="F21" s="81"/>
      <c r="G21" s="82"/>
      <c r="H21" s="82"/>
      <c r="I21" s="230" t="s">
        <v>170</v>
      </c>
      <c r="J21" s="230" t="s">
        <v>170</v>
      </c>
      <c r="K21" s="230" t="s">
        <v>170</v>
      </c>
      <c r="L21" s="230" t="s">
        <v>170</v>
      </c>
      <c r="M21" s="230" t="s">
        <v>170</v>
      </c>
      <c r="N21" s="230" t="s">
        <v>170</v>
      </c>
      <c r="O21" s="230" t="s">
        <v>170</v>
      </c>
      <c r="P21" s="230" t="s">
        <v>170</v>
      </c>
      <c r="Q21" s="230" t="s">
        <v>170</v>
      </c>
      <c r="R21" s="230" t="s">
        <v>170</v>
      </c>
      <c r="S21" s="230" t="s">
        <v>22</v>
      </c>
      <c r="T21" s="230" t="s">
        <v>22</v>
      </c>
      <c r="U21" s="230" t="s">
        <v>22</v>
      </c>
      <c r="V21" s="230" t="s">
        <v>22</v>
      </c>
      <c r="W21" s="230" t="s">
        <v>22</v>
      </c>
      <c r="X21" s="230" t="s">
        <v>22</v>
      </c>
      <c r="Y21" s="230" t="s">
        <v>22</v>
      </c>
      <c r="Z21" s="230" t="s">
        <v>22</v>
      </c>
    </row>
    <row r="22" spans="1:30" outlineLevel="1">
      <c r="A22" s="57"/>
      <c r="B22" s="61"/>
      <c r="C22" s="61"/>
      <c r="D22" s="61"/>
      <c r="E22" s="61"/>
      <c r="F22" s="635" t="s">
        <v>23</v>
      </c>
      <c r="G22" s="581"/>
      <c r="H22" s="581"/>
      <c r="I22" s="86" t="s">
        <v>12</v>
      </c>
      <c r="J22" s="86" t="s">
        <v>1</v>
      </c>
      <c r="K22" s="86" t="s">
        <v>2</v>
      </c>
      <c r="L22" s="86" t="s">
        <v>3</v>
      </c>
      <c r="M22" s="86" t="s">
        <v>4</v>
      </c>
      <c r="N22" s="86" t="s">
        <v>5</v>
      </c>
      <c r="O22" s="86" t="s">
        <v>6</v>
      </c>
      <c r="P22" s="89" t="s">
        <v>7</v>
      </c>
      <c r="Q22" s="89" t="s">
        <v>8</v>
      </c>
      <c r="R22" s="89" t="s">
        <v>9</v>
      </c>
      <c r="S22" s="87" t="s">
        <v>10</v>
      </c>
      <c r="T22" s="231" t="s">
        <v>108</v>
      </c>
      <c r="U22" s="89" t="s">
        <v>12</v>
      </c>
      <c r="V22" s="86" t="s">
        <v>1</v>
      </c>
      <c r="W22" s="231" t="s">
        <v>2</v>
      </c>
      <c r="X22" s="86" t="s">
        <v>3</v>
      </c>
      <c r="Y22" s="86" t="s">
        <v>4</v>
      </c>
      <c r="Z22" s="86" t="s">
        <v>5</v>
      </c>
      <c r="AA22" s="86" t="s">
        <v>6</v>
      </c>
      <c r="AB22" s="86" t="s">
        <v>7</v>
      </c>
      <c r="AC22" s="86" t="s">
        <v>8</v>
      </c>
      <c r="AD22" s="86" t="s">
        <v>9</v>
      </c>
    </row>
    <row r="23" spans="1:30" outlineLevel="1">
      <c r="A23" s="57"/>
      <c r="B23" s="61"/>
      <c r="C23" s="61"/>
      <c r="D23" s="61"/>
      <c r="E23" s="61"/>
      <c r="F23" s="636" t="s">
        <v>24</v>
      </c>
      <c r="G23" s="630" t="s">
        <v>14</v>
      </c>
      <c r="H23" s="189" t="s">
        <v>82</v>
      </c>
      <c r="I23" s="232">
        <v>6</v>
      </c>
      <c r="J23" s="232">
        <v>88</v>
      </c>
      <c r="K23" s="232">
        <v>67</v>
      </c>
      <c r="L23" s="232">
        <v>150</v>
      </c>
      <c r="M23" s="232">
        <v>250</v>
      </c>
      <c r="N23" s="232">
        <v>377</v>
      </c>
      <c r="O23" s="232">
        <v>342</v>
      </c>
      <c r="P23" s="233">
        <v>302</v>
      </c>
      <c r="Q23" s="13">
        <v>565</v>
      </c>
      <c r="R23" s="13">
        <v>470</v>
      </c>
      <c r="S23" s="14">
        <v>711</v>
      </c>
      <c r="T23" s="234">
        <v>534</v>
      </c>
      <c r="U23" s="235">
        <v>550</v>
      </c>
      <c r="V23" s="235">
        <v>644</v>
      </c>
      <c r="W23" s="235">
        <v>663</v>
      </c>
      <c r="X23" s="235">
        <v>682</v>
      </c>
      <c r="Y23" s="235">
        <v>699</v>
      </c>
      <c r="Z23" s="235">
        <v>720</v>
      </c>
      <c r="AA23" s="235">
        <v>742</v>
      </c>
      <c r="AB23" s="235">
        <v>764</v>
      </c>
      <c r="AC23" s="235">
        <v>795</v>
      </c>
      <c r="AD23" s="235">
        <v>819</v>
      </c>
    </row>
    <row r="24" spans="1:30" outlineLevel="1">
      <c r="A24" s="57"/>
      <c r="B24" s="61"/>
      <c r="C24" s="61"/>
      <c r="D24" s="61"/>
      <c r="E24" s="61"/>
      <c r="F24" s="584"/>
      <c r="G24" s="586"/>
      <c r="H24" s="190">
        <v>1</v>
      </c>
      <c r="I24" s="232">
        <v>22</v>
      </c>
      <c r="J24" s="232">
        <v>138</v>
      </c>
      <c r="K24" s="232">
        <v>316</v>
      </c>
      <c r="L24" s="232">
        <v>832</v>
      </c>
      <c r="M24" s="88">
        <v>1229</v>
      </c>
      <c r="N24" s="88">
        <v>1014</v>
      </c>
      <c r="O24" s="232">
        <v>933</v>
      </c>
      <c r="P24" s="233">
        <v>743</v>
      </c>
      <c r="Q24" s="13">
        <v>744</v>
      </c>
      <c r="R24" s="13">
        <v>700</v>
      </c>
      <c r="S24" s="99">
        <v>711</v>
      </c>
      <c r="T24" s="236">
        <v>587</v>
      </c>
      <c r="U24" s="237">
        <v>590</v>
      </c>
      <c r="V24" s="237">
        <v>677</v>
      </c>
      <c r="W24" s="237">
        <v>688</v>
      </c>
      <c r="X24" s="237">
        <v>701</v>
      </c>
      <c r="Y24" s="237">
        <v>721</v>
      </c>
      <c r="Z24" s="237">
        <v>743</v>
      </c>
      <c r="AA24" s="237">
        <v>765</v>
      </c>
      <c r="AB24" s="237">
        <v>788</v>
      </c>
      <c r="AC24" s="237">
        <v>820</v>
      </c>
      <c r="AD24" s="237">
        <v>844</v>
      </c>
    </row>
    <row r="25" spans="1:30" outlineLevel="1">
      <c r="A25" s="57"/>
      <c r="B25" s="61"/>
      <c r="C25" s="61"/>
      <c r="D25" s="61"/>
      <c r="E25" s="61"/>
      <c r="F25" s="584"/>
      <c r="G25" s="586"/>
      <c r="H25" s="190">
        <v>2</v>
      </c>
      <c r="I25" s="232">
        <v>10</v>
      </c>
      <c r="J25" s="232">
        <v>68</v>
      </c>
      <c r="K25" s="232">
        <v>161</v>
      </c>
      <c r="L25" s="232">
        <v>275</v>
      </c>
      <c r="M25" s="232">
        <v>761</v>
      </c>
      <c r="N25" s="232">
        <v>743</v>
      </c>
      <c r="O25" s="88">
        <v>1467</v>
      </c>
      <c r="P25" s="233">
        <v>1179</v>
      </c>
      <c r="Q25" s="13">
        <v>1336</v>
      </c>
      <c r="R25" s="13">
        <v>1178</v>
      </c>
      <c r="S25" s="14">
        <v>1026</v>
      </c>
      <c r="T25" s="236">
        <v>1584</v>
      </c>
      <c r="U25" s="237">
        <v>1616</v>
      </c>
      <c r="V25" s="237">
        <v>1874</v>
      </c>
      <c r="W25" s="237">
        <v>1911</v>
      </c>
      <c r="X25" s="237">
        <v>1966</v>
      </c>
      <c r="Y25" s="237">
        <v>2023</v>
      </c>
      <c r="Z25" s="237">
        <v>2084</v>
      </c>
      <c r="AA25" s="237">
        <v>2146</v>
      </c>
      <c r="AB25" s="237">
        <v>2253</v>
      </c>
      <c r="AC25" s="237">
        <v>2411</v>
      </c>
      <c r="AD25" s="237">
        <v>2652</v>
      </c>
    </row>
    <row r="26" spans="1:30" outlineLevel="1">
      <c r="A26" s="57"/>
      <c r="B26" s="61"/>
      <c r="C26" s="61"/>
      <c r="D26" s="61"/>
      <c r="E26" s="61"/>
      <c r="F26" s="584"/>
      <c r="G26" s="587"/>
      <c r="H26" s="191">
        <v>3</v>
      </c>
      <c r="I26" s="232">
        <v>0</v>
      </c>
      <c r="J26" s="232">
        <v>4</v>
      </c>
      <c r="K26" s="232">
        <v>8</v>
      </c>
      <c r="L26" s="232">
        <v>24</v>
      </c>
      <c r="M26" s="232">
        <v>232</v>
      </c>
      <c r="N26" s="232">
        <v>207</v>
      </c>
      <c r="O26" s="232">
        <v>358</v>
      </c>
      <c r="P26" s="233">
        <v>105</v>
      </c>
      <c r="Q26" s="13">
        <v>86</v>
      </c>
      <c r="R26" s="13">
        <v>94</v>
      </c>
      <c r="S26" s="99">
        <v>86</v>
      </c>
      <c r="T26" s="236">
        <v>88</v>
      </c>
      <c r="U26" s="237">
        <v>91</v>
      </c>
      <c r="V26" s="237">
        <v>107</v>
      </c>
      <c r="W26" s="237">
        <v>110</v>
      </c>
      <c r="X26" s="237">
        <v>113</v>
      </c>
      <c r="Y26" s="237">
        <v>116</v>
      </c>
      <c r="Z26" s="237">
        <v>120</v>
      </c>
      <c r="AA26" s="237">
        <v>123</v>
      </c>
      <c r="AB26" s="237">
        <v>132</v>
      </c>
      <c r="AC26" s="237">
        <v>145</v>
      </c>
      <c r="AD26" s="237">
        <v>154</v>
      </c>
    </row>
    <row r="27" spans="1:30" outlineLevel="1">
      <c r="A27" s="57"/>
      <c r="B27" s="61"/>
      <c r="C27" s="61"/>
      <c r="D27" s="61"/>
      <c r="E27" s="61"/>
      <c r="F27" s="584"/>
      <c r="G27" s="631" t="s">
        <v>16</v>
      </c>
      <c r="H27" s="192" t="s">
        <v>82</v>
      </c>
      <c r="I27" s="232">
        <v>184</v>
      </c>
      <c r="J27" s="88">
        <v>1248</v>
      </c>
      <c r="K27" s="88">
        <v>1712</v>
      </c>
      <c r="L27" s="88">
        <v>2254</v>
      </c>
      <c r="M27" s="88">
        <v>3248</v>
      </c>
      <c r="N27" s="88">
        <v>4757</v>
      </c>
      <c r="O27" s="88">
        <v>3703</v>
      </c>
      <c r="P27" s="233">
        <v>5085</v>
      </c>
      <c r="Q27" s="13">
        <v>4611</v>
      </c>
      <c r="R27" s="13">
        <v>5026</v>
      </c>
      <c r="S27" s="99">
        <v>4541</v>
      </c>
      <c r="T27" s="236">
        <v>4923</v>
      </c>
      <c r="U27" s="237">
        <v>5071</v>
      </c>
      <c r="V27" s="237">
        <v>6598</v>
      </c>
      <c r="W27" s="237">
        <v>6790</v>
      </c>
      <c r="X27" s="237">
        <v>6988</v>
      </c>
      <c r="Y27" s="237">
        <v>7169</v>
      </c>
      <c r="Z27" s="237">
        <v>7384</v>
      </c>
      <c r="AA27" s="237">
        <v>7605</v>
      </c>
      <c r="AB27" s="237">
        <v>7833</v>
      </c>
      <c r="AC27" s="237">
        <v>8303</v>
      </c>
      <c r="AD27" s="237">
        <v>8718</v>
      </c>
    </row>
    <row r="28" spans="1:30" outlineLevel="1">
      <c r="A28" s="57"/>
      <c r="B28" s="61"/>
      <c r="C28" s="61"/>
      <c r="D28" s="61"/>
      <c r="E28" s="61"/>
      <c r="F28" s="584"/>
      <c r="G28" s="586"/>
      <c r="H28" s="192">
        <v>1</v>
      </c>
      <c r="I28" s="232">
        <v>258</v>
      </c>
      <c r="J28" s="88">
        <v>1350</v>
      </c>
      <c r="K28" s="88">
        <v>1896</v>
      </c>
      <c r="L28" s="88">
        <v>4155</v>
      </c>
      <c r="M28" s="88">
        <v>5197</v>
      </c>
      <c r="N28" s="88">
        <v>6023</v>
      </c>
      <c r="O28" s="88">
        <v>5139</v>
      </c>
      <c r="P28" s="233">
        <v>7077</v>
      </c>
      <c r="Q28" s="13">
        <v>6977</v>
      </c>
      <c r="R28" s="13">
        <v>8068</v>
      </c>
      <c r="S28" s="99">
        <v>7701</v>
      </c>
      <c r="T28" s="236">
        <v>7876</v>
      </c>
      <c r="U28" s="237">
        <v>8113</v>
      </c>
      <c r="V28" s="237">
        <v>10555</v>
      </c>
      <c r="W28" s="237">
        <v>10863</v>
      </c>
      <c r="X28" s="237">
        <v>11179</v>
      </c>
      <c r="Y28" s="237">
        <v>11469</v>
      </c>
      <c r="Z28" s="237">
        <v>11813</v>
      </c>
      <c r="AA28" s="237">
        <v>12167</v>
      </c>
      <c r="AB28" s="237">
        <v>12532</v>
      </c>
      <c r="AC28" s="237">
        <v>13284</v>
      </c>
      <c r="AD28" s="237">
        <v>13948</v>
      </c>
    </row>
    <row r="29" spans="1:30" outlineLevel="1">
      <c r="A29" s="57"/>
      <c r="B29" s="61"/>
      <c r="C29" s="61"/>
      <c r="D29" s="61"/>
      <c r="E29" s="61"/>
      <c r="F29" s="584"/>
      <c r="G29" s="586"/>
      <c r="H29" s="192">
        <v>2</v>
      </c>
      <c r="I29" s="238">
        <v>110</v>
      </c>
      <c r="J29" s="232">
        <v>460</v>
      </c>
      <c r="K29" s="232">
        <v>691</v>
      </c>
      <c r="L29" s="88">
        <v>1132</v>
      </c>
      <c r="M29" s="88">
        <v>2328</v>
      </c>
      <c r="N29" s="88">
        <v>2898</v>
      </c>
      <c r="O29" s="88">
        <v>3723</v>
      </c>
      <c r="P29" s="233">
        <v>8699</v>
      </c>
      <c r="Q29" s="13">
        <v>11723</v>
      </c>
      <c r="R29" s="13">
        <v>11363</v>
      </c>
      <c r="S29" s="14">
        <v>6506</v>
      </c>
      <c r="T29" s="236">
        <v>8354</v>
      </c>
      <c r="U29" s="237">
        <v>8605</v>
      </c>
      <c r="V29" s="237">
        <v>11196</v>
      </c>
      <c r="W29" s="237">
        <v>11522</v>
      </c>
      <c r="X29" s="237">
        <v>11857</v>
      </c>
      <c r="Y29" s="237">
        <v>12166</v>
      </c>
      <c r="Z29" s="237">
        <v>12530</v>
      </c>
      <c r="AA29" s="237">
        <v>12906</v>
      </c>
      <c r="AB29" s="237">
        <v>13294</v>
      </c>
      <c r="AC29" s="237">
        <v>13692</v>
      </c>
      <c r="AD29" s="237">
        <v>14103</v>
      </c>
    </row>
    <row r="30" spans="1:30" outlineLevel="1">
      <c r="A30" s="57"/>
      <c r="B30" s="61"/>
      <c r="C30" s="61"/>
      <c r="D30" s="61"/>
      <c r="E30" s="61"/>
      <c r="F30" s="584"/>
      <c r="G30" s="587"/>
      <c r="H30" s="193" t="s">
        <v>169</v>
      </c>
      <c r="I30" s="232"/>
      <c r="J30" s="232"/>
      <c r="K30" s="232"/>
      <c r="L30" s="88"/>
      <c r="M30" s="88"/>
      <c r="N30" s="88"/>
      <c r="O30" s="88"/>
      <c r="P30" s="233">
        <v>27</v>
      </c>
      <c r="Q30" s="13">
        <v>400</v>
      </c>
      <c r="R30" s="13">
        <v>335</v>
      </c>
      <c r="S30" s="14">
        <v>446</v>
      </c>
      <c r="T30" s="236">
        <v>466</v>
      </c>
      <c r="U30" s="237">
        <v>513</v>
      </c>
      <c r="V30" s="237">
        <v>713</v>
      </c>
      <c r="W30" s="237">
        <v>727</v>
      </c>
      <c r="X30" s="237">
        <v>742</v>
      </c>
      <c r="Y30" s="237">
        <v>756</v>
      </c>
      <c r="Z30" s="237">
        <v>772</v>
      </c>
      <c r="AA30" s="237">
        <v>787</v>
      </c>
      <c r="AB30" s="237">
        <v>803</v>
      </c>
      <c r="AC30" s="237">
        <v>819</v>
      </c>
      <c r="AD30" s="237">
        <v>835</v>
      </c>
    </row>
    <row r="31" spans="1:30" outlineLevel="1">
      <c r="A31" s="57"/>
      <c r="B31" s="61"/>
      <c r="C31" s="61"/>
      <c r="D31" s="61"/>
      <c r="E31" s="61"/>
      <c r="F31" s="584"/>
      <c r="G31" s="632"/>
      <c r="H31" s="194" t="s">
        <v>90</v>
      </c>
      <c r="I31" s="72"/>
      <c r="J31" s="72"/>
      <c r="K31" s="72"/>
      <c r="L31" s="72"/>
      <c r="M31" s="72"/>
      <c r="N31" s="72"/>
      <c r="O31" s="72"/>
      <c r="P31" s="69">
        <v>116</v>
      </c>
      <c r="Q31" s="239">
        <v>274</v>
      </c>
      <c r="R31" s="13">
        <v>260</v>
      </c>
      <c r="S31" s="14">
        <v>317</v>
      </c>
      <c r="T31" s="236">
        <v>332</v>
      </c>
      <c r="U31" s="237">
        <v>365</v>
      </c>
      <c r="V31" s="237">
        <v>506</v>
      </c>
      <c r="W31" s="237">
        <v>517</v>
      </c>
      <c r="X31" s="237">
        <v>527</v>
      </c>
      <c r="Y31" s="237">
        <v>537</v>
      </c>
      <c r="Z31" s="237">
        <v>548</v>
      </c>
      <c r="AA31" s="237">
        <v>559</v>
      </c>
      <c r="AB31" s="237">
        <v>570</v>
      </c>
      <c r="AC31" s="237">
        <v>582</v>
      </c>
      <c r="AD31" s="237">
        <v>593</v>
      </c>
    </row>
    <row r="32" spans="1:30" outlineLevel="1">
      <c r="A32" s="57"/>
      <c r="B32" s="61"/>
      <c r="C32" s="61"/>
      <c r="D32" s="61"/>
      <c r="E32" s="61"/>
      <c r="F32" s="584"/>
      <c r="G32" s="587"/>
      <c r="H32" s="195" t="s">
        <v>91</v>
      </c>
      <c r="I32" s="72"/>
      <c r="J32" s="72"/>
      <c r="K32" s="72"/>
      <c r="L32" s="72"/>
      <c r="M32" s="72"/>
      <c r="N32" s="72"/>
      <c r="O32" s="72"/>
      <c r="P32" s="69">
        <v>26</v>
      </c>
      <c r="Q32" s="239">
        <v>106</v>
      </c>
      <c r="R32" s="13">
        <v>86</v>
      </c>
      <c r="S32" s="14">
        <v>120</v>
      </c>
      <c r="T32" s="236">
        <v>125</v>
      </c>
      <c r="U32" s="237">
        <v>138</v>
      </c>
      <c r="V32" s="237">
        <v>192</v>
      </c>
      <c r="W32" s="237">
        <v>196</v>
      </c>
      <c r="X32" s="237">
        <v>200</v>
      </c>
      <c r="Y32" s="237">
        <v>204</v>
      </c>
      <c r="Z32" s="237">
        <v>208</v>
      </c>
      <c r="AA32" s="237">
        <v>212</v>
      </c>
      <c r="AB32" s="237">
        <v>216</v>
      </c>
      <c r="AC32" s="237">
        <v>221</v>
      </c>
      <c r="AD32" s="237">
        <v>225</v>
      </c>
    </row>
    <row r="33" spans="1:30" outlineLevel="1">
      <c r="A33" s="57"/>
      <c r="B33" s="61"/>
      <c r="C33" s="61"/>
      <c r="D33" s="61"/>
      <c r="E33" s="61"/>
      <c r="F33" s="240"/>
      <c r="G33" s="640" t="s">
        <v>18</v>
      </c>
      <c r="H33" s="634"/>
      <c r="I33" s="92">
        <f t="shared" ref="I33:O33" si="5">SUM(I23:I29)</f>
        <v>590</v>
      </c>
      <c r="J33" s="92">
        <f t="shared" si="5"/>
        <v>3356</v>
      </c>
      <c r="K33" s="92">
        <f t="shared" si="5"/>
        <v>4851</v>
      </c>
      <c r="L33" s="92">
        <f t="shared" si="5"/>
        <v>8822</v>
      </c>
      <c r="M33" s="92">
        <f t="shared" si="5"/>
        <v>13245</v>
      </c>
      <c r="N33" s="92">
        <f t="shared" si="5"/>
        <v>16019</v>
      </c>
      <c r="O33" s="92">
        <f t="shared" si="5"/>
        <v>15665</v>
      </c>
      <c r="P33" s="90">
        <f t="shared" ref="P33:AD33" si="6">SUM(P23:P32)</f>
        <v>23359</v>
      </c>
      <c r="Q33" s="90">
        <f t="shared" si="6"/>
        <v>26822</v>
      </c>
      <c r="R33" s="90">
        <f t="shared" si="6"/>
        <v>27580</v>
      </c>
      <c r="S33" s="91">
        <f t="shared" si="6"/>
        <v>22165</v>
      </c>
      <c r="T33" s="241">
        <f t="shared" si="6"/>
        <v>24869</v>
      </c>
      <c r="U33" s="90">
        <f t="shared" si="6"/>
        <v>25652</v>
      </c>
      <c r="V33" s="92">
        <f t="shared" si="6"/>
        <v>33062</v>
      </c>
      <c r="W33" s="241">
        <f t="shared" si="6"/>
        <v>33987</v>
      </c>
      <c r="X33" s="90">
        <f t="shared" si="6"/>
        <v>34955</v>
      </c>
      <c r="Y33" s="90">
        <f t="shared" si="6"/>
        <v>35860</v>
      </c>
      <c r="Z33" s="90">
        <f t="shared" si="6"/>
        <v>36922</v>
      </c>
      <c r="AA33" s="90">
        <f t="shared" si="6"/>
        <v>38012</v>
      </c>
      <c r="AB33" s="90">
        <f t="shared" si="6"/>
        <v>39185</v>
      </c>
      <c r="AC33" s="90">
        <f t="shared" si="6"/>
        <v>41072</v>
      </c>
      <c r="AD33" s="90">
        <f t="shared" si="6"/>
        <v>42891</v>
      </c>
    </row>
    <row r="34" spans="1:30" collapsed="1">
      <c r="A34" s="93"/>
      <c r="B34" s="61"/>
      <c r="C34" s="61"/>
      <c r="D34" s="61"/>
      <c r="E34" s="61"/>
      <c r="F34" s="93"/>
      <c r="G34" s="93"/>
      <c r="H34" s="93"/>
      <c r="I34" s="93"/>
      <c r="J34" s="242"/>
      <c r="K34" s="243"/>
      <c r="L34" s="243"/>
      <c r="M34" s="243"/>
      <c r="N34" s="243"/>
      <c r="O34" s="243"/>
      <c r="P34" s="243"/>
      <c r="Q34" s="243"/>
    </row>
    <row r="35" spans="1:30" ht="12.75" hidden="1" outlineLevel="1">
      <c r="A35" s="244"/>
      <c r="B35" s="57"/>
      <c r="C35" s="57"/>
      <c r="D35" s="57"/>
      <c r="E35" s="57"/>
      <c r="F35" s="641"/>
      <c r="G35" s="581"/>
      <c r="H35" s="581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6"/>
      <c r="V35" s="245"/>
      <c r="W35" s="105"/>
      <c r="X35" s="95"/>
      <c r="Y35" s="95"/>
      <c r="Z35" s="82"/>
    </row>
    <row r="36" spans="1:30" ht="12.75" hidden="1" outlineLevel="1">
      <c r="A36" s="57"/>
      <c r="B36" s="57"/>
      <c r="C36" s="57"/>
      <c r="D36" s="57"/>
      <c r="E36" s="57"/>
      <c r="F36" s="637"/>
      <c r="G36" s="642"/>
      <c r="H36" s="189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13"/>
      <c r="V36" s="16"/>
      <c r="W36" s="15"/>
      <c r="X36" s="88"/>
      <c r="Y36" s="88"/>
      <c r="Z36" s="59"/>
    </row>
    <row r="37" spans="1:30" ht="12.75" hidden="1" outlineLevel="1">
      <c r="A37" s="57"/>
      <c r="B37" s="57"/>
      <c r="C37" s="57"/>
      <c r="D37" s="57"/>
      <c r="E37" s="57"/>
      <c r="F37" s="584"/>
      <c r="G37" s="586"/>
      <c r="H37" s="190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13"/>
      <c r="V37" s="16"/>
      <c r="W37" s="15"/>
      <c r="X37" s="88"/>
      <c r="Y37" s="88"/>
      <c r="Z37" s="59"/>
    </row>
    <row r="38" spans="1:30" ht="12.75" hidden="1" outlineLevel="1">
      <c r="A38" s="57"/>
      <c r="B38" s="57"/>
      <c r="C38" s="57"/>
      <c r="D38" s="57"/>
      <c r="E38" s="57"/>
      <c r="F38" s="584"/>
      <c r="G38" s="586"/>
      <c r="H38" s="190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13"/>
      <c r="V38" s="16"/>
      <c r="W38" s="15"/>
      <c r="X38" s="88"/>
      <c r="Y38" s="88"/>
      <c r="Z38" s="59"/>
    </row>
    <row r="39" spans="1:30" ht="12.75" hidden="1" outlineLevel="1">
      <c r="A39" s="57"/>
      <c r="B39" s="57"/>
      <c r="C39" s="57"/>
      <c r="D39" s="57"/>
      <c r="E39" s="57"/>
      <c r="F39" s="584"/>
      <c r="G39" s="586"/>
      <c r="H39" s="190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13"/>
      <c r="V39" s="16"/>
      <c r="W39" s="15"/>
      <c r="X39" s="88"/>
      <c r="Y39" s="88"/>
      <c r="Z39" s="59"/>
    </row>
    <row r="40" spans="1:30" ht="12.75" hidden="1" outlineLevel="1">
      <c r="A40" s="57"/>
      <c r="B40" s="57"/>
      <c r="C40" s="57"/>
      <c r="D40" s="57"/>
      <c r="E40" s="57"/>
      <c r="F40" s="584"/>
      <c r="G40" s="643"/>
      <c r="H40" s="246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13"/>
      <c r="V40" s="16"/>
      <c r="W40" s="15"/>
      <c r="X40" s="88"/>
      <c r="Y40" s="88"/>
      <c r="Z40" s="59"/>
    </row>
    <row r="41" spans="1:30" ht="12.75" hidden="1" outlineLevel="1">
      <c r="A41" s="57"/>
      <c r="B41" s="57"/>
      <c r="C41" s="57"/>
      <c r="D41" s="57"/>
      <c r="E41" s="57"/>
      <c r="F41" s="584"/>
      <c r="G41" s="586"/>
      <c r="H41" s="192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13"/>
      <c r="V41" s="16"/>
      <c r="W41" s="15"/>
      <c r="X41" s="88"/>
      <c r="Y41" s="88"/>
      <c r="Z41" s="59"/>
    </row>
    <row r="42" spans="1:30" ht="12.75" hidden="1" outlineLevel="1">
      <c r="A42" s="57"/>
      <c r="B42" s="57"/>
      <c r="C42" s="57"/>
      <c r="D42" s="57"/>
      <c r="E42" s="57"/>
      <c r="F42" s="584"/>
      <c r="G42" s="587"/>
      <c r="H42" s="247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13"/>
      <c r="V42" s="16"/>
      <c r="W42" s="15"/>
      <c r="X42" s="88"/>
      <c r="Y42" s="88"/>
      <c r="Z42" s="59"/>
    </row>
    <row r="43" spans="1:30" hidden="1" outlineLevel="1">
      <c r="A43" s="57"/>
      <c r="B43" s="61"/>
      <c r="C43" s="61"/>
      <c r="D43" s="61"/>
      <c r="E43" s="57"/>
      <c r="F43" s="248"/>
      <c r="G43" s="644"/>
      <c r="H43" s="590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0"/>
      <c r="V43" s="249"/>
      <c r="W43" s="102"/>
      <c r="X43" s="103"/>
      <c r="Y43" s="103"/>
      <c r="Z43" s="62"/>
    </row>
    <row r="44" spans="1:30" hidden="1" outlineLevel="1">
      <c r="A44" s="250"/>
      <c r="B44" s="61"/>
      <c r="C44" s="61"/>
      <c r="D44" s="61"/>
      <c r="E44" s="61"/>
      <c r="F44" s="94"/>
      <c r="G44" s="645"/>
      <c r="H44" s="579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93"/>
    </row>
    <row r="45" spans="1:30" hidden="1" outlineLevel="1">
      <c r="A45" s="244"/>
      <c r="B45" s="57"/>
      <c r="C45" s="57"/>
      <c r="D45" s="57"/>
      <c r="E45" s="61"/>
      <c r="F45" s="641"/>
      <c r="G45" s="581"/>
      <c r="H45" s="581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6"/>
      <c r="V45" s="245"/>
      <c r="W45" s="105"/>
      <c r="X45" s="95"/>
      <c r="Y45" s="95"/>
      <c r="Z45" s="82"/>
    </row>
    <row r="46" spans="1:30" hidden="1" outlineLevel="1">
      <c r="A46" s="57"/>
      <c r="B46" s="57"/>
      <c r="C46" s="57"/>
      <c r="D46" s="57"/>
      <c r="E46" s="61"/>
      <c r="F46" s="637"/>
      <c r="G46" s="642"/>
      <c r="H46" s="189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13"/>
      <c r="V46" s="16"/>
      <c r="W46" s="15"/>
      <c r="X46" s="88"/>
      <c r="Y46" s="88"/>
      <c r="Z46" s="59"/>
    </row>
    <row r="47" spans="1:30" hidden="1" outlineLevel="1">
      <c r="A47" s="57"/>
      <c r="B47" s="57"/>
      <c r="C47" s="57"/>
      <c r="D47" s="57"/>
      <c r="E47" s="61"/>
      <c r="F47" s="584"/>
      <c r="G47" s="586"/>
      <c r="H47" s="190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13"/>
      <c r="V47" s="16"/>
      <c r="W47" s="15"/>
      <c r="X47" s="88"/>
      <c r="Y47" s="88"/>
      <c r="Z47" s="59"/>
    </row>
    <row r="48" spans="1:30" hidden="1" outlineLevel="1">
      <c r="A48" s="57"/>
      <c r="B48" s="57"/>
      <c r="C48" s="57"/>
      <c r="D48" s="57"/>
      <c r="E48" s="61"/>
      <c r="F48" s="584"/>
      <c r="G48" s="586"/>
      <c r="H48" s="190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13"/>
      <c r="V48" s="16"/>
      <c r="W48" s="15"/>
      <c r="X48" s="88"/>
      <c r="Y48" s="88"/>
      <c r="Z48" s="59"/>
    </row>
    <row r="49" spans="1:30" hidden="1" outlineLevel="1">
      <c r="A49" s="57"/>
      <c r="B49" s="57"/>
      <c r="C49" s="57"/>
      <c r="D49" s="57"/>
      <c r="E49" s="61"/>
      <c r="F49" s="584"/>
      <c r="G49" s="586"/>
      <c r="H49" s="190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13"/>
      <c r="V49" s="16"/>
      <c r="W49" s="15"/>
      <c r="X49" s="88"/>
      <c r="Y49" s="88"/>
      <c r="Z49" s="59"/>
    </row>
    <row r="50" spans="1:30" hidden="1" outlineLevel="1">
      <c r="A50" s="57"/>
      <c r="B50" s="57"/>
      <c r="C50" s="57"/>
      <c r="D50" s="57"/>
      <c r="E50" s="61"/>
      <c r="F50" s="584"/>
      <c r="G50" s="643"/>
      <c r="H50" s="246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13"/>
      <c r="V50" s="16"/>
      <c r="W50" s="15"/>
      <c r="X50" s="88"/>
      <c r="Y50" s="88"/>
      <c r="Z50" s="59"/>
    </row>
    <row r="51" spans="1:30" hidden="1" outlineLevel="1">
      <c r="A51" s="57"/>
      <c r="B51" s="57"/>
      <c r="C51" s="57"/>
      <c r="D51" s="57"/>
      <c r="E51" s="61"/>
      <c r="F51" s="584"/>
      <c r="G51" s="586"/>
      <c r="H51" s="192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13"/>
      <c r="V51" s="16"/>
      <c r="W51" s="15"/>
      <c r="X51" s="88"/>
      <c r="Y51" s="88"/>
      <c r="Z51" s="59"/>
    </row>
    <row r="52" spans="1:30" hidden="1" outlineLevel="1">
      <c r="A52" s="57"/>
      <c r="B52" s="57"/>
      <c r="C52" s="57"/>
      <c r="D52" s="57"/>
      <c r="E52" s="61"/>
      <c r="F52" s="584"/>
      <c r="G52" s="587"/>
      <c r="H52" s="247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13"/>
      <c r="V52" s="16"/>
      <c r="W52" s="15"/>
      <c r="X52" s="88"/>
      <c r="Y52" s="88"/>
      <c r="Z52" s="59"/>
    </row>
    <row r="53" spans="1:30" hidden="1" outlineLevel="1">
      <c r="A53" s="57"/>
      <c r="B53" s="61"/>
      <c r="C53" s="61"/>
      <c r="D53" s="61"/>
      <c r="E53" s="61"/>
      <c r="F53" s="248"/>
      <c r="G53" s="644"/>
      <c r="H53" s="590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0"/>
      <c r="V53" s="249"/>
      <c r="W53" s="102"/>
      <c r="X53" s="103"/>
      <c r="Y53" s="103"/>
      <c r="Z53" s="62"/>
    </row>
    <row r="54" spans="1:30" ht="12.75" hidden="1" outlineLevel="1"/>
    <row r="55" spans="1:30" collapsed="1">
      <c r="A55" s="250"/>
      <c r="B55" s="61"/>
      <c r="C55" s="61"/>
      <c r="D55" s="61"/>
      <c r="E55" s="61"/>
      <c r="F55" s="94"/>
      <c r="G55" s="645"/>
      <c r="H55" s="579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</row>
    <row r="56" spans="1:30" hidden="1" outlineLevel="1">
      <c r="A56" s="244" t="s">
        <v>114</v>
      </c>
      <c r="B56" s="57" t="s">
        <v>171</v>
      </c>
      <c r="C56" s="57" t="s">
        <v>172</v>
      </c>
      <c r="D56" s="57" t="s">
        <v>116</v>
      </c>
      <c r="E56" s="61"/>
      <c r="F56" s="641" t="s">
        <v>97</v>
      </c>
      <c r="G56" s="581"/>
      <c r="H56" s="581"/>
      <c r="I56" s="95" t="s">
        <v>12</v>
      </c>
      <c r="J56" s="95" t="s">
        <v>1</v>
      </c>
      <c r="K56" s="95" t="s">
        <v>2</v>
      </c>
      <c r="L56" s="95" t="s">
        <v>3</v>
      </c>
      <c r="M56" s="95" t="s">
        <v>4</v>
      </c>
      <c r="N56" s="95" t="s">
        <v>5</v>
      </c>
      <c r="O56" s="96" t="s">
        <v>6</v>
      </c>
      <c r="P56" s="96" t="s">
        <v>7</v>
      </c>
      <c r="Q56" s="96" t="s">
        <v>8</v>
      </c>
      <c r="R56" s="96" t="s">
        <v>9</v>
      </c>
      <c r="S56" s="97" t="s">
        <v>10</v>
      </c>
      <c r="T56" s="105" t="s">
        <v>108</v>
      </c>
      <c r="U56" s="96" t="s">
        <v>12</v>
      </c>
      <c r="V56" s="95" t="s">
        <v>1</v>
      </c>
      <c r="W56" s="105" t="s">
        <v>2</v>
      </c>
      <c r="X56" s="105" t="s">
        <v>3</v>
      </c>
      <c r="Y56" s="95" t="s">
        <v>4</v>
      </c>
      <c r="Z56" s="95" t="s">
        <v>5</v>
      </c>
      <c r="AA56" s="95" t="s">
        <v>6</v>
      </c>
      <c r="AB56" s="95" t="s">
        <v>7</v>
      </c>
      <c r="AC56" s="95" t="s">
        <v>8</v>
      </c>
      <c r="AD56" s="95" t="s">
        <v>9</v>
      </c>
    </row>
    <row r="57" spans="1:30" ht="14.25" hidden="1" outlineLevel="1">
      <c r="A57" s="57" t="e">
        <f t="shared" ref="A57:A63" si="7">B57+C57-D57</f>
        <v>#VALUE!</v>
      </c>
      <c r="B57" s="57" t="s">
        <v>483</v>
      </c>
      <c r="C57" s="57">
        <f>SUMIF(직구재고!B:B,E57,직구재고!J:J)</f>
        <v>5344</v>
      </c>
      <c r="D57" s="57"/>
      <c r="E57" s="252">
        <v>4056631001202</v>
      </c>
      <c r="F57" s="638" t="s">
        <v>97</v>
      </c>
      <c r="G57" s="630" t="s">
        <v>14</v>
      </c>
      <c r="H57" s="189" t="s">
        <v>82</v>
      </c>
      <c r="I57" s="88">
        <f t="shared" ref="I57:I63" si="8">I7-I23</f>
        <v>3366</v>
      </c>
      <c r="J57" s="88">
        <f t="shared" ref="J57:O57" si="9">I57+J7-J23</f>
        <v>6788</v>
      </c>
      <c r="K57" s="88">
        <f t="shared" si="9"/>
        <v>6721</v>
      </c>
      <c r="L57" s="88">
        <f t="shared" si="9"/>
        <v>6571</v>
      </c>
      <c r="M57" s="88">
        <f t="shared" si="9"/>
        <v>6321</v>
      </c>
      <c r="N57" s="88">
        <f t="shared" si="9"/>
        <v>7564</v>
      </c>
      <c r="O57" s="13">
        <f t="shared" si="9"/>
        <v>7222</v>
      </c>
      <c r="P57" s="13">
        <v>6997</v>
      </c>
      <c r="Q57" s="13">
        <f t="shared" ref="Q57:Q59" si="10">P57+Q7-Q23</f>
        <v>6432</v>
      </c>
      <c r="R57" s="13">
        <v>5958</v>
      </c>
      <c r="S57" s="14">
        <f t="shared" ref="S57:U57" si="11">R57+S7-S23</f>
        <v>5247</v>
      </c>
      <c r="T57" s="15">
        <f t="shared" si="11"/>
        <v>4713</v>
      </c>
      <c r="U57" s="13">
        <f t="shared" si="11"/>
        <v>4163</v>
      </c>
      <c r="V57" s="98">
        <v>1600</v>
      </c>
      <c r="W57" s="15">
        <f t="shared" ref="W57:AD57" si="12">V57+W7-W23</f>
        <v>937</v>
      </c>
      <c r="X57" s="15">
        <f t="shared" si="12"/>
        <v>255</v>
      </c>
      <c r="Y57" s="88">
        <f t="shared" si="12"/>
        <v>1716</v>
      </c>
      <c r="Z57" s="88">
        <f t="shared" si="12"/>
        <v>996</v>
      </c>
      <c r="AA57" s="88">
        <f t="shared" si="12"/>
        <v>254</v>
      </c>
      <c r="AB57" s="88">
        <f t="shared" si="12"/>
        <v>-510</v>
      </c>
      <c r="AC57" s="88">
        <f t="shared" si="12"/>
        <v>-1305</v>
      </c>
      <c r="AD57" s="88">
        <f t="shared" si="12"/>
        <v>-2124</v>
      </c>
    </row>
    <row r="58" spans="1:30" ht="14.25" hidden="1" outlineLevel="1">
      <c r="A58" s="57" t="e">
        <f t="shared" si="7"/>
        <v>#VALUE!</v>
      </c>
      <c r="B58" s="57" t="s">
        <v>483</v>
      </c>
      <c r="C58" s="57">
        <f>SUMIF(직구재고!B:B,E58,직구재고!J:J)</f>
        <v>10474</v>
      </c>
      <c r="D58" s="57"/>
      <c r="E58" s="252">
        <v>4056631001226</v>
      </c>
      <c r="F58" s="584"/>
      <c r="G58" s="586"/>
      <c r="H58" s="190">
        <v>1</v>
      </c>
      <c r="I58" s="88">
        <f t="shared" si="8"/>
        <v>2582</v>
      </c>
      <c r="J58" s="88">
        <f t="shared" ref="J58:O58" si="13">I58+J8-J24</f>
        <v>5144</v>
      </c>
      <c r="K58" s="88">
        <f t="shared" si="13"/>
        <v>4828</v>
      </c>
      <c r="L58" s="88">
        <f t="shared" si="13"/>
        <v>3996</v>
      </c>
      <c r="M58" s="88">
        <f t="shared" si="13"/>
        <v>2767</v>
      </c>
      <c r="N58" s="88">
        <f t="shared" si="13"/>
        <v>3103</v>
      </c>
      <c r="O58" s="13">
        <f t="shared" si="13"/>
        <v>2170</v>
      </c>
      <c r="P58" s="13">
        <v>1763</v>
      </c>
      <c r="Q58" s="13">
        <f t="shared" si="10"/>
        <v>1019</v>
      </c>
      <c r="R58" s="13">
        <v>6001</v>
      </c>
      <c r="S58" s="14">
        <f t="shared" ref="S58:AD58" si="14">R58+S8-S24</f>
        <v>10420</v>
      </c>
      <c r="T58" s="15">
        <f t="shared" si="14"/>
        <v>9833</v>
      </c>
      <c r="U58" s="13">
        <f t="shared" si="14"/>
        <v>9243</v>
      </c>
      <c r="V58" s="88">
        <f t="shared" si="14"/>
        <v>8566</v>
      </c>
      <c r="W58" s="15">
        <f t="shared" si="14"/>
        <v>7878</v>
      </c>
      <c r="X58" s="15">
        <f t="shared" si="14"/>
        <v>7177</v>
      </c>
      <c r="Y58" s="88">
        <f t="shared" si="14"/>
        <v>6456</v>
      </c>
      <c r="Z58" s="88">
        <f t="shared" si="14"/>
        <v>5713</v>
      </c>
      <c r="AA58" s="88">
        <f t="shared" si="14"/>
        <v>4948</v>
      </c>
      <c r="AB58" s="88">
        <f t="shared" si="14"/>
        <v>4160</v>
      </c>
      <c r="AC58" s="88">
        <f t="shared" si="14"/>
        <v>3340</v>
      </c>
      <c r="AD58" s="88">
        <f t="shared" si="14"/>
        <v>2496</v>
      </c>
    </row>
    <row r="59" spans="1:30" ht="14.25" hidden="1" outlineLevel="1">
      <c r="A59" s="57" t="e">
        <f t="shared" si="7"/>
        <v>#VALUE!</v>
      </c>
      <c r="B59" s="57" t="s">
        <v>483</v>
      </c>
      <c r="C59" s="57">
        <f>SUMIF(직구재고!B:B,E59,직구재고!J:J)</f>
        <v>3709</v>
      </c>
      <c r="D59" s="57"/>
      <c r="E59" s="252">
        <v>4056631001240</v>
      </c>
      <c r="F59" s="584"/>
      <c r="G59" s="586"/>
      <c r="H59" s="190">
        <v>2</v>
      </c>
      <c r="I59" s="88">
        <f t="shared" si="8"/>
        <v>4394</v>
      </c>
      <c r="J59" s="88">
        <f t="shared" ref="J59:O59" si="15">I59+J9-J25</f>
        <v>8646</v>
      </c>
      <c r="K59" s="88">
        <f t="shared" si="15"/>
        <v>8485</v>
      </c>
      <c r="L59" s="88">
        <f t="shared" si="15"/>
        <v>8210</v>
      </c>
      <c r="M59" s="88">
        <f t="shared" si="15"/>
        <v>7449</v>
      </c>
      <c r="N59" s="88">
        <f t="shared" si="15"/>
        <v>9136</v>
      </c>
      <c r="O59" s="13">
        <f t="shared" si="15"/>
        <v>7669</v>
      </c>
      <c r="P59" s="13">
        <v>7279</v>
      </c>
      <c r="Q59" s="13">
        <f t="shared" si="10"/>
        <v>5943</v>
      </c>
      <c r="R59" s="13">
        <v>4737</v>
      </c>
      <c r="S59" s="14">
        <f t="shared" ref="S59:AD59" si="16">R59+S9-S25</f>
        <v>3711</v>
      </c>
      <c r="T59" s="15">
        <f t="shared" si="16"/>
        <v>7257</v>
      </c>
      <c r="U59" s="13">
        <f t="shared" si="16"/>
        <v>5641</v>
      </c>
      <c r="V59" s="88">
        <f t="shared" si="16"/>
        <v>9707</v>
      </c>
      <c r="W59" s="15">
        <f t="shared" si="16"/>
        <v>7796</v>
      </c>
      <c r="X59" s="15">
        <f t="shared" si="16"/>
        <v>5830</v>
      </c>
      <c r="Y59" s="88">
        <f t="shared" si="16"/>
        <v>7587</v>
      </c>
      <c r="Z59" s="88">
        <f t="shared" si="16"/>
        <v>5503</v>
      </c>
      <c r="AA59" s="88">
        <f t="shared" si="16"/>
        <v>3357</v>
      </c>
      <c r="AB59" s="88">
        <f t="shared" si="16"/>
        <v>1104</v>
      </c>
      <c r="AC59" s="88">
        <f t="shared" si="16"/>
        <v>-1307</v>
      </c>
      <c r="AD59" s="88">
        <f t="shared" si="16"/>
        <v>-3959</v>
      </c>
    </row>
    <row r="60" spans="1:30" ht="14.25" hidden="1" outlineLevel="1">
      <c r="A60" s="57" t="e">
        <f t="shared" si="7"/>
        <v>#VALUE!</v>
      </c>
      <c r="B60" s="57" t="s">
        <v>483</v>
      </c>
      <c r="C60" s="57">
        <f>SUMIF(직구재고!B:B,E60,직구재고!J:J)</f>
        <v>2808</v>
      </c>
      <c r="D60" s="57"/>
      <c r="E60" s="252">
        <v>4056631001264</v>
      </c>
      <c r="F60" s="584"/>
      <c r="G60" s="586"/>
      <c r="H60" s="190">
        <v>3</v>
      </c>
      <c r="I60" s="88">
        <f t="shared" si="8"/>
        <v>810</v>
      </c>
      <c r="J60" s="88">
        <f t="shared" ref="J60:O60" si="17">I60+J10-J26</f>
        <v>1616</v>
      </c>
      <c r="K60" s="88">
        <f t="shared" si="17"/>
        <v>1608</v>
      </c>
      <c r="L60" s="88">
        <f t="shared" si="17"/>
        <v>1584</v>
      </c>
      <c r="M60" s="88">
        <f t="shared" si="17"/>
        <v>1352</v>
      </c>
      <c r="N60" s="88">
        <f t="shared" si="17"/>
        <v>1685</v>
      </c>
      <c r="O60" s="13">
        <f t="shared" si="17"/>
        <v>1327</v>
      </c>
      <c r="P60" s="13">
        <v>1488</v>
      </c>
      <c r="Q60" s="13">
        <f>P60+Q9-Q26</f>
        <v>1402</v>
      </c>
      <c r="R60" s="13">
        <v>1308</v>
      </c>
      <c r="S60" s="14">
        <f t="shared" ref="S60:AD60" si="18">R60+S10-S26</f>
        <v>2032</v>
      </c>
      <c r="T60" s="15">
        <f t="shared" si="18"/>
        <v>2754</v>
      </c>
      <c r="U60" s="13">
        <f t="shared" si="18"/>
        <v>2663</v>
      </c>
      <c r="V60" s="88">
        <f t="shared" si="18"/>
        <v>2556</v>
      </c>
      <c r="W60" s="15">
        <f t="shared" si="18"/>
        <v>2446</v>
      </c>
      <c r="X60" s="15">
        <f t="shared" si="18"/>
        <v>2333</v>
      </c>
      <c r="Y60" s="88">
        <f t="shared" si="18"/>
        <v>2217</v>
      </c>
      <c r="Z60" s="88">
        <f t="shared" si="18"/>
        <v>2097</v>
      </c>
      <c r="AA60" s="88">
        <f t="shared" si="18"/>
        <v>1974</v>
      </c>
      <c r="AB60" s="88">
        <f t="shared" si="18"/>
        <v>1842</v>
      </c>
      <c r="AC60" s="88">
        <f t="shared" si="18"/>
        <v>1697</v>
      </c>
      <c r="AD60" s="88">
        <f t="shared" si="18"/>
        <v>1543</v>
      </c>
    </row>
    <row r="61" spans="1:30" ht="14.25" hidden="1" outlineLevel="1">
      <c r="A61" s="57" t="e">
        <f t="shared" si="7"/>
        <v>#VALUE!</v>
      </c>
      <c r="B61" s="57" t="s">
        <v>483</v>
      </c>
      <c r="C61" s="57">
        <f>SUMIF(직구재고!B:B,E61,직구재고!J:J)</f>
        <v>15352</v>
      </c>
      <c r="D61" s="57"/>
      <c r="E61" s="252">
        <v>4056631003435</v>
      </c>
      <c r="F61" s="584"/>
      <c r="G61" s="646" t="s">
        <v>16</v>
      </c>
      <c r="H61" s="246" t="s">
        <v>82</v>
      </c>
      <c r="I61" s="88">
        <f t="shared" si="8"/>
        <v>2504</v>
      </c>
      <c r="J61" s="88">
        <f t="shared" ref="J61:O61" si="19">I61+J11-J27</f>
        <v>8552</v>
      </c>
      <c r="K61" s="88">
        <f t="shared" si="19"/>
        <v>6840</v>
      </c>
      <c r="L61" s="88">
        <f t="shared" si="19"/>
        <v>19178</v>
      </c>
      <c r="M61" s="88">
        <f t="shared" si="19"/>
        <v>25146</v>
      </c>
      <c r="N61" s="88">
        <f t="shared" si="19"/>
        <v>20389</v>
      </c>
      <c r="O61" s="13">
        <f t="shared" si="19"/>
        <v>35886</v>
      </c>
      <c r="P61" s="13">
        <v>29847</v>
      </c>
      <c r="Q61" s="13">
        <f t="shared" ref="Q61:Q66" si="20">P61+Q11-Q27</f>
        <v>25236</v>
      </c>
      <c r="R61" s="13">
        <v>20123</v>
      </c>
      <c r="S61" s="14">
        <f t="shared" ref="S61:AD61" si="21">R61+S11-S27</f>
        <v>20574</v>
      </c>
      <c r="T61" s="15">
        <f t="shared" si="21"/>
        <v>32863</v>
      </c>
      <c r="U61" s="13">
        <f t="shared" si="21"/>
        <v>35472</v>
      </c>
      <c r="V61" s="88">
        <f t="shared" si="21"/>
        <v>36170</v>
      </c>
      <c r="W61" s="15">
        <f t="shared" si="21"/>
        <v>29380</v>
      </c>
      <c r="X61" s="15">
        <f t="shared" si="21"/>
        <v>22392</v>
      </c>
      <c r="Y61" s="88">
        <f t="shared" si="21"/>
        <v>17911</v>
      </c>
      <c r="Z61" s="88">
        <f t="shared" si="21"/>
        <v>10527</v>
      </c>
      <c r="AA61" s="88">
        <f t="shared" si="21"/>
        <v>2922</v>
      </c>
      <c r="AB61" s="88">
        <f t="shared" si="21"/>
        <v>-4911</v>
      </c>
      <c r="AC61" s="88">
        <f t="shared" si="21"/>
        <v>-13214</v>
      </c>
      <c r="AD61" s="88">
        <f t="shared" si="21"/>
        <v>-21932</v>
      </c>
    </row>
    <row r="62" spans="1:30" ht="14.25" hidden="1" outlineLevel="1">
      <c r="A62" s="57" t="e">
        <f t="shared" si="7"/>
        <v>#VALUE!</v>
      </c>
      <c r="B62" s="57" t="s">
        <v>483</v>
      </c>
      <c r="C62" s="57">
        <f>SUMIF(직구재고!B:B,E62,직구재고!J:J)</f>
        <v>14338</v>
      </c>
      <c r="D62" s="57"/>
      <c r="E62" s="252">
        <v>4056631003459</v>
      </c>
      <c r="F62" s="584"/>
      <c r="G62" s="586"/>
      <c r="H62" s="192">
        <v>1</v>
      </c>
      <c r="I62" s="88">
        <f t="shared" si="8"/>
        <v>2430</v>
      </c>
      <c r="J62" s="88">
        <f t="shared" ref="J62:O62" si="22">I62+J12-J28</f>
        <v>8376</v>
      </c>
      <c r="K62" s="88">
        <f t="shared" si="22"/>
        <v>13392</v>
      </c>
      <c r="L62" s="88">
        <f t="shared" si="22"/>
        <v>9237</v>
      </c>
      <c r="M62" s="88">
        <f t="shared" si="22"/>
        <v>12488</v>
      </c>
      <c r="N62" s="88">
        <f t="shared" si="22"/>
        <v>6465</v>
      </c>
      <c r="O62" s="13">
        <f t="shared" si="22"/>
        <v>27822</v>
      </c>
      <c r="P62" s="13">
        <v>20729</v>
      </c>
      <c r="Q62" s="13">
        <f t="shared" si="20"/>
        <v>29880</v>
      </c>
      <c r="R62" s="13">
        <v>21804</v>
      </c>
      <c r="S62" s="14">
        <f t="shared" ref="S62:AD62" si="23">R62+S12-S28</f>
        <v>17559</v>
      </c>
      <c r="T62" s="15">
        <f t="shared" si="23"/>
        <v>24859</v>
      </c>
      <c r="U62" s="13">
        <f t="shared" si="23"/>
        <v>34410</v>
      </c>
      <c r="V62" s="88">
        <f t="shared" si="23"/>
        <v>38831</v>
      </c>
      <c r="W62" s="15">
        <f t="shared" si="23"/>
        <v>37952</v>
      </c>
      <c r="X62" s="15">
        <f t="shared" si="23"/>
        <v>26773</v>
      </c>
      <c r="Y62" s="88">
        <f t="shared" si="23"/>
        <v>30664</v>
      </c>
      <c r="Z62" s="88">
        <f t="shared" si="23"/>
        <v>18851</v>
      </c>
      <c r="AA62" s="88">
        <f t="shared" si="23"/>
        <v>6684</v>
      </c>
      <c r="AB62" s="88">
        <f t="shared" si="23"/>
        <v>-5848</v>
      </c>
      <c r="AC62" s="88">
        <f t="shared" si="23"/>
        <v>-19132</v>
      </c>
      <c r="AD62" s="88">
        <f t="shared" si="23"/>
        <v>-33080</v>
      </c>
    </row>
    <row r="63" spans="1:30" ht="14.25" hidden="1" outlineLevel="1">
      <c r="A63" s="57" t="e">
        <f t="shared" si="7"/>
        <v>#VALUE!</v>
      </c>
      <c r="B63" s="57" t="s">
        <v>483</v>
      </c>
      <c r="C63" s="57">
        <f>SUMIF(직구재고!B:B,E63,직구재고!J:J)</f>
        <v>49701</v>
      </c>
      <c r="D63" s="57"/>
      <c r="E63" s="252">
        <v>4056631003473</v>
      </c>
      <c r="F63" s="584"/>
      <c r="G63" s="586"/>
      <c r="H63" s="192">
        <v>2</v>
      </c>
      <c r="I63" s="15">
        <f t="shared" si="8"/>
        <v>2962</v>
      </c>
      <c r="J63" s="88">
        <f t="shared" ref="J63:O63" si="24">I63+J13-J29</f>
        <v>12486</v>
      </c>
      <c r="K63" s="88">
        <f t="shared" si="24"/>
        <v>30227</v>
      </c>
      <c r="L63" s="88">
        <f t="shared" si="24"/>
        <v>48295</v>
      </c>
      <c r="M63" s="88">
        <f t="shared" si="24"/>
        <v>62095</v>
      </c>
      <c r="N63" s="88">
        <f t="shared" si="24"/>
        <v>59197</v>
      </c>
      <c r="O63" s="13">
        <f t="shared" si="24"/>
        <v>86962</v>
      </c>
      <c r="P63" s="13">
        <v>79250</v>
      </c>
      <c r="Q63" s="13">
        <f t="shared" si="20"/>
        <v>67527</v>
      </c>
      <c r="R63" s="13">
        <v>56109</v>
      </c>
      <c r="S63" s="14">
        <f t="shared" ref="S63:AD63" si="25">R63+S13-S29</f>
        <v>49603</v>
      </c>
      <c r="T63" s="15">
        <f t="shared" si="25"/>
        <v>41249</v>
      </c>
      <c r="U63" s="13">
        <f t="shared" si="25"/>
        <v>32644</v>
      </c>
      <c r="V63" s="88">
        <f t="shared" si="25"/>
        <v>32968</v>
      </c>
      <c r="W63" s="15">
        <f t="shared" si="25"/>
        <v>42950</v>
      </c>
      <c r="X63" s="15">
        <f t="shared" si="25"/>
        <v>31093</v>
      </c>
      <c r="Y63" s="88">
        <f t="shared" si="25"/>
        <v>33519</v>
      </c>
      <c r="Z63" s="88">
        <f t="shared" si="25"/>
        <v>20989</v>
      </c>
      <c r="AA63" s="88">
        <f t="shared" si="25"/>
        <v>8083</v>
      </c>
      <c r="AB63" s="88">
        <f t="shared" si="25"/>
        <v>-5211</v>
      </c>
      <c r="AC63" s="88">
        <f t="shared" si="25"/>
        <v>-18903</v>
      </c>
      <c r="AD63" s="88">
        <f t="shared" si="25"/>
        <v>-33006</v>
      </c>
    </row>
    <row r="64" spans="1:30" ht="14.25" hidden="1" outlineLevel="1">
      <c r="A64" s="57"/>
      <c r="B64" s="57"/>
      <c r="C64" s="57"/>
      <c r="D64" s="57"/>
      <c r="E64" s="252"/>
      <c r="F64" s="584"/>
      <c r="G64" s="587"/>
      <c r="H64" s="193" t="s">
        <v>169</v>
      </c>
      <c r="I64" s="88"/>
      <c r="J64" s="88"/>
      <c r="K64" s="88"/>
      <c r="L64" s="88"/>
      <c r="M64" s="88"/>
      <c r="N64" s="88">
        <f t="shared" ref="N64:O64" si="26">M64+N14-N30</f>
        <v>0</v>
      </c>
      <c r="O64" s="13">
        <f t="shared" si="26"/>
        <v>0</v>
      </c>
      <c r="P64" s="13">
        <v>1532</v>
      </c>
      <c r="Q64" s="13">
        <f t="shared" si="20"/>
        <v>3052</v>
      </c>
      <c r="R64" s="13">
        <v>2660</v>
      </c>
      <c r="S64" s="14">
        <f t="shared" ref="S64:AD64" si="27">R64+S14-S30</f>
        <v>2214</v>
      </c>
      <c r="T64" s="15">
        <f t="shared" si="27"/>
        <v>2944</v>
      </c>
      <c r="U64" s="13">
        <f t="shared" si="27"/>
        <v>2431</v>
      </c>
      <c r="V64" s="88">
        <f t="shared" si="27"/>
        <v>1718</v>
      </c>
      <c r="W64" s="15">
        <f t="shared" si="27"/>
        <v>3295</v>
      </c>
      <c r="X64" s="15">
        <f t="shared" si="27"/>
        <v>2553</v>
      </c>
      <c r="Y64" s="88">
        <f t="shared" si="27"/>
        <v>2949</v>
      </c>
      <c r="Z64" s="88">
        <f t="shared" si="27"/>
        <v>2177</v>
      </c>
      <c r="AA64" s="88">
        <f t="shared" si="27"/>
        <v>1390</v>
      </c>
      <c r="AB64" s="88">
        <f t="shared" si="27"/>
        <v>587</v>
      </c>
      <c r="AC64" s="88">
        <f t="shared" si="27"/>
        <v>-232</v>
      </c>
      <c r="AD64" s="88">
        <f t="shared" si="27"/>
        <v>-1067</v>
      </c>
    </row>
    <row r="65" spans="1:30" hidden="1" outlineLevel="1">
      <c r="A65" s="57"/>
      <c r="B65" s="61"/>
      <c r="C65" s="61"/>
      <c r="D65" s="61"/>
      <c r="E65" s="61"/>
      <c r="F65" s="584"/>
      <c r="G65" s="632"/>
      <c r="H65" s="194" t="s">
        <v>90</v>
      </c>
      <c r="I65" s="72"/>
      <c r="J65" s="72"/>
      <c r="K65" s="72"/>
      <c r="L65" s="72"/>
      <c r="M65" s="72"/>
      <c r="N65" s="72"/>
      <c r="O65" s="13">
        <f t="shared" ref="O65:O66" si="28">N65+O15-O31</f>
        <v>0</v>
      </c>
      <c r="P65" s="13">
        <v>916</v>
      </c>
      <c r="Q65" s="13">
        <f t="shared" si="20"/>
        <v>642</v>
      </c>
      <c r="R65" s="13">
        <v>382</v>
      </c>
      <c r="S65" s="14">
        <f t="shared" ref="S65:AD65" si="29">R65+S15-S31</f>
        <v>65</v>
      </c>
      <c r="T65" s="15">
        <f t="shared" si="29"/>
        <v>-267</v>
      </c>
      <c r="U65" s="13">
        <f t="shared" si="29"/>
        <v>-632</v>
      </c>
      <c r="V65" s="88">
        <f t="shared" si="29"/>
        <v>1886</v>
      </c>
      <c r="W65" s="15">
        <f t="shared" si="29"/>
        <v>1369</v>
      </c>
      <c r="X65" s="15">
        <f t="shared" si="29"/>
        <v>842</v>
      </c>
      <c r="Y65" s="88">
        <f t="shared" si="29"/>
        <v>2321</v>
      </c>
      <c r="Z65" s="88">
        <f t="shared" si="29"/>
        <v>1773</v>
      </c>
      <c r="AA65" s="88">
        <f t="shared" si="29"/>
        <v>1214</v>
      </c>
      <c r="AB65" s="88">
        <f t="shared" si="29"/>
        <v>644</v>
      </c>
      <c r="AC65" s="88">
        <f t="shared" si="29"/>
        <v>62</v>
      </c>
      <c r="AD65" s="88">
        <f t="shared" si="29"/>
        <v>-531</v>
      </c>
    </row>
    <row r="66" spans="1:30" hidden="1" outlineLevel="1">
      <c r="A66" s="57"/>
      <c r="B66" s="61"/>
      <c r="C66" s="61"/>
      <c r="D66" s="61"/>
      <c r="E66" s="61"/>
      <c r="F66" s="584"/>
      <c r="G66" s="587"/>
      <c r="H66" s="195" t="s">
        <v>91</v>
      </c>
      <c r="I66" s="72"/>
      <c r="J66" s="72"/>
      <c r="K66" s="72"/>
      <c r="L66" s="72"/>
      <c r="M66" s="72"/>
      <c r="N66" s="72"/>
      <c r="O66" s="13">
        <f t="shared" si="28"/>
        <v>0</v>
      </c>
      <c r="P66" s="13">
        <v>990</v>
      </c>
      <c r="Q66" s="13">
        <f t="shared" si="20"/>
        <v>884</v>
      </c>
      <c r="R66" s="13">
        <v>798</v>
      </c>
      <c r="S66" s="14">
        <f t="shared" ref="S66:AD66" si="30">R66+S16-S32</f>
        <v>678</v>
      </c>
      <c r="T66" s="15">
        <f t="shared" si="30"/>
        <v>553</v>
      </c>
      <c r="U66" s="13">
        <f t="shared" si="30"/>
        <v>415</v>
      </c>
      <c r="V66" s="88">
        <f t="shared" si="30"/>
        <v>1231</v>
      </c>
      <c r="W66" s="15">
        <f t="shared" si="30"/>
        <v>1035</v>
      </c>
      <c r="X66" s="15">
        <f t="shared" si="30"/>
        <v>835</v>
      </c>
      <c r="Y66" s="88">
        <f t="shared" si="30"/>
        <v>631</v>
      </c>
      <c r="Z66" s="88">
        <f t="shared" si="30"/>
        <v>423</v>
      </c>
      <c r="AA66" s="88">
        <f t="shared" si="30"/>
        <v>211</v>
      </c>
      <c r="AB66" s="88">
        <f t="shared" si="30"/>
        <v>-5</v>
      </c>
      <c r="AC66" s="88">
        <f t="shared" si="30"/>
        <v>-226</v>
      </c>
      <c r="AD66" s="88">
        <f t="shared" si="30"/>
        <v>-451</v>
      </c>
    </row>
    <row r="67" spans="1:30" hidden="1" outlineLevel="1">
      <c r="A67" s="57"/>
      <c r="B67" s="61"/>
      <c r="C67" s="61"/>
      <c r="D67" s="61"/>
      <c r="E67" s="61"/>
      <c r="F67" s="248"/>
      <c r="G67" s="644" t="s">
        <v>18</v>
      </c>
      <c r="H67" s="590"/>
      <c r="I67" s="103">
        <f t="shared" ref="I67:O67" si="31">SUM(I57:I63)</f>
        <v>19048</v>
      </c>
      <c r="J67" s="103">
        <f t="shared" si="31"/>
        <v>51608</v>
      </c>
      <c r="K67" s="103">
        <f t="shared" si="31"/>
        <v>72101</v>
      </c>
      <c r="L67" s="103">
        <f t="shared" si="31"/>
        <v>97071</v>
      </c>
      <c r="M67" s="103">
        <f t="shared" si="31"/>
        <v>117618</v>
      </c>
      <c r="N67" s="103">
        <f t="shared" si="31"/>
        <v>107539</v>
      </c>
      <c r="O67" s="100">
        <f t="shared" si="31"/>
        <v>169058</v>
      </c>
      <c r="P67" s="100">
        <f t="shared" ref="P67:AD67" si="32">SUM(P57:P66)</f>
        <v>150791</v>
      </c>
      <c r="Q67" s="100">
        <f t="shared" si="32"/>
        <v>142017</v>
      </c>
      <c r="R67" s="100">
        <f t="shared" si="32"/>
        <v>119880</v>
      </c>
      <c r="S67" s="101">
        <f t="shared" si="32"/>
        <v>112103</v>
      </c>
      <c r="T67" s="253">
        <f t="shared" si="32"/>
        <v>126758</v>
      </c>
      <c r="U67" s="100">
        <f t="shared" si="32"/>
        <v>126450</v>
      </c>
      <c r="V67" s="103">
        <f t="shared" si="32"/>
        <v>135233</v>
      </c>
      <c r="W67" s="253">
        <f t="shared" si="32"/>
        <v>135038</v>
      </c>
      <c r="X67" s="100">
        <f t="shared" si="32"/>
        <v>100083</v>
      </c>
      <c r="Y67" s="100">
        <f t="shared" si="32"/>
        <v>105971</v>
      </c>
      <c r="Z67" s="100">
        <f t="shared" si="32"/>
        <v>69049</v>
      </c>
      <c r="AA67" s="100">
        <f t="shared" si="32"/>
        <v>31037</v>
      </c>
      <c r="AB67" s="100">
        <f t="shared" si="32"/>
        <v>-8148</v>
      </c>
      <c r="AC67" s="100">
        <f t="shared" si="32"/>
        <v>-49220</v>
      </c>
      <c r="AD67" s="100">
        <f t="shared" si="32"/>
        <v>-92111</v>
      </c>
    </row>
    <row r="68" spans="1:30" hidden="1" outlineLevel="1">
      <c r="A68" s="250"/>
      <c r="B68" s="61"/>
      <c r="C68" s="61"/>
      <c r="D68" s="61"/>
      <c r="E68" s="61"/>
      <c r="F68" s="94"/>
      <c r="G68" s="645" t="s">
        <v>98</v>
      </c>
      <c r="H68" s="579"/>
      <c r="I68" s="251">
        <f t="shared" ref="I68:Y68" si="33">I67/I33</f>
        <v>32.284745762711864</v>
      </c>
      <c r="J68" s="251">
        <f t="shared" si="33"/>
        <v>15.377830750893921</v>
      </c>
      <c r="K68" s="251">
        <f t="shared" si="33"/>
        <v>14.863121005978149</v>
      </c>
      <c r="L68" s="251">
        <f t="shared" si="33"/>
        <v>11.003287236454319</v>
      </c>
      <c r="M68" s="251">
        <f t="shared" si="33"/>
        <v>8.8801812004530003</v>
      </c>
      <c r="N68" s="251">
        <f t="shared" si="33"/>
        <v>6.7132155565266247</v>
      </c>
      <c r="O68" s="251">
        <f t="shared" si="33"/>
        <v>10.792084264283435</v>
      </c>
      <c r="P68" s="251">
        <f t="shared" si="33"/>
        <v>6.4553705209983301</v>
      </c>
      <c r="Q68" s="251">
        <f t="shared" si="33"/>
        <v>5.2947953172768623</v>
      </c>
      <c r="R68" s="251">
        <f t="shared" si="33"/>
        <v>4.3466279912980417</v>
      </c>
      <c r="S68" s="251">
        <f t="shared" si="33"/>
        <v>5.0576584705616963</v>
      </c>
      <c r="T68" s="251">
        <f t="shared" si="33"/>
        <v>5.097028428967791</v>
      </c>
      <c r="U68" s="251">
        <f t="shared" si="33"/>
        <v>4.9294401995945734</v>
      </c>
      <c r="V68" s="251">
        <f t="shared" si="33"/>
        <v>4.0902849192426354</v>
      </c>
      <c r="W68" s="251">
        <f t="shared" si="33"/>
        <v>3.9732250566393033</v>
      </c>
      <c r="X68" s="251">
        <f t="shared" si="33"/>
        <v>2.8631955371191533</v>
      </c>
      <c r="Y68" s="251">
        <f t="shared" si="33"/>
        <v>2.9551310652537648</v>
      </c>
      <c r="Z68" s="93"/>
    </row>
    <row r="69" spans="1:30">
      <c r="A69" s="250"/>
      <c r="B69" s="61"/>
      <c r="C69" s="61"/>
      <c r="D69" s="61"/>
      <c r="E69" s="61"/>
      <c r="F69" s="94"/>
      <c r="G69" s="645"/>
      <c r="H69" s="579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54"/>
      <c r="U69" s="254"/>
      <c r="V69" s="254"/>
      <c r="W69" s="254"/>
      <c r="X69" s="254"/>
      <c r="Y69" s="254"/>
      <c r="Z69" s="93"/>
    </row>
    <row r="70" spans="1:30">
      <c r="A70" s="57"/>
      <c r="B70" s="61"/>
      <c r="C70" s="61"/>
      <c r="D70" s="61"/>
      <c r="E70" s="61"/>
      <c r="F70" s="58"/>
      <c r="G70" s="82"/>
      <c r="H70" s="82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30">
      <c r="A71" s="57"/>
      <c r="B71" s="61"/>
      <c r="C71" s="61"/>
      <c r="D71" s="61"/>
      <c r="E71" s="61"/>
      <c r="F71" s="641" t="s">
        <v>97</v>
      </c>
      <c r="G71" s="581"/>
      <c r="H71" s="581"/>
      <c r="I71" s="95" t="s">
        <v>12</v>
      </c>
      <c r="J71" s="95" t="s">
        <v>1</v>
      </c>
      <c r="K71" s="95" t="s">
        <v>2</v>
      </c>
      <c r="L71" s="95" t="s">
        <v>3</v>
      </c>
      <c r="M71" s="95" t="s">
        <v>4</v>
      </c>
      <c r="N71" s="95" t="s">
        <v>5</v>
      </c>
      <c r="O71" s="96" t="s">
        <v>6</v>
      </c>
      <c r="P71" s="96" t="s">
        <v>7</v>
      </c>
      <c r="Q71" s="255" t="s">
        <v>8</v>
      </c>
      <c r="R71" s="96" t="s">
        <v>9</v>
      </c>
      <c r="S71" s="97" t="s">
        <v>10</v>
      </c>
      <c r="T71" s="105" t="s">
        <v>11</v>
      </c>
      <c r="U71" s="96" t="s">
        <v>12</v>
      </c>
      <c r="V71" s="95" t="s">
        <v>1</v>
      </c>
      <c r="W71" s="105" t="s">
        <v>2</v>
      </c>
      <c r="X71" s="95" t="s">
        <v>3</v>
      </c>
      <c r="Y71" s="95" t="s">
        <v>4</v>
      </c>
      <c r="Z71" s="95" t="s">
        <v>5</v>
      </c>
      <c r="AA71" s="95" t="s">
        <v>6</v>
      </c>
      <c r="AB71" s="95" t="s">
        <v>7</v>
      </c>
      <c r="AC71" s="95" t="s">
        <v>8</v>
      </c>
      <c r="AD71" s="95" t="s">
        <v>9</v>
      </c>
    </row>
    <row r="72" spans="1:30">
      <c r="A72" s="57"/>
      <c r="B72" s="61"/>
      <c r="C72" s="61"/>
      <c r="D72" s="61"/>
      <c r="E72" s="61"/>
      <c r="F72" s="639" t="s">
        <v>29</v>
      </c>
      <c r="G72" s="630" t="s">
        <v>14</v>
      </c>
      <c r="H72" s="256" t="s">
        <v>82</v>
      </c>
      <c r="I72" s="22">
        <f t="shared" ref="I72:AD72" si="34">I57/I23</f>
        <v>561</v>
      </c>
      <c r="J72" s="23">
        <f t="shared" si="34"/>
        <v>77.13636363636364</v>
      </c>
      <c r="K72" s="23">
        <f t="shared" si="34"/>
        <v>100.31343283582089</v>
      </c>
      <c r="L72" s="23">
        <f t="shared" si="34"/>
        <v>43.806666666666665</v>
      </c>
      <c r="M72" s="23">
        <f t="shared" si="34"/>
        <v>25.283999999999999</v>
      </c>
      <c r="N72" s="23">
        <f t="shared" si="34"/>
        <v>20.063660477453581</v>
      </c>
      <c r="O72" s="20">
        <f t="shared" si="34"/>
        <v>21.116959064327485</v>
      </c>
      <c r="P72" s="20">
        <f t="shared" si="34"/>
        <v>23.168874172185429</v>
      </c>
      <c r="Q72" s="20">
        <f t="shared" si="34"/>
        <v>11.384070796460177</v>
      </c>
      <c r="R72" s="20">
        <f t="shared" si="34"/>
        <v>12.676595744680851</v>
      </c>
      <c r="S72" s="21">
        <f t="shared" si="34"/>
        <v>7.3797468354430382</v>
      </c>
      <c r="T72" s="22">
        <f t="shared" si="34"/>
        <v>8.8258426966292127</v>
      </c>
      <c r="U72" s="20">
        <f t="shared" si="34"/>
        <v>7.5690909090909093</v>
      </c>
      <c r="V72" s="23">
        <f t="shared" si="34"/>
        <v>2.4844720496894408</v>
      </c>
      <c r="W72" s="22">
        <f t="shared" si="34"/>
        <v>1.4132730015082957</v>
      </c>
      <c r="X72" s="23">
        <f t="shared" si="34"/>
        <v>0.37390029325513197</v>
      </c>
      <c r="Y72" s="23">
        <f t="shared" si="34"/>
        <v>2.4549356223175964</v>
      </c>
      <c r="Z72" s="23">
        <f t="shared" si="34"/>
        <v>1.3833333333333333</v>
      </c>
      <c r="AA72" s="23">
        <f t="shared" si="34"/>
        <v>0.3423180592991914</v>
      </c>
      <c r="AB72" s="23">
        <f t="shared" si="34"/>
        <v>-0.66753926701570676</v>
      </c>
      <c r="AC72" s="23">
        <f t="shared" si="34"/>
        <v>-1.6415094339622642</v>
      </c>
      <c r="AD72" s="23">
        <f t="shared" si="34"/>
        <v>-2.5934065934065935</v>
      </c>
    </row>
    <row r="73" spans="1:30">
      <c r="A73" s="57"/>
      <c r="B73" s="61"/>
      <c r="C73" s="61"/>
      <c r="D73" s="61"/>
      <c r="E73" s="61"/>
      <c r="F73" s="584"/>
      <c r="G73" s="586"/>
      <c r="H73" s="257">
        <v>1</v>
      </c>
      <c r="I73" s="22">
        <f t="shared" ref="I73:AD73" si="35">I58/I24</f>
        <v>117.36363636363636</v>
      </c>
      <c r="J73" s="23">
        <f t="shared" si="35"/>
        <v>37.275362318840578</v>
      </c>
      <c r="K73" s="23">
        <f t="shared" si="35"/>
        <v>15.278481012658228</v>
      </c>
      <c r="L73" s="23">
        <f t="shared" si="35"/>
        <v>4.802884615384615</v>
      </c>
      <c r="M73" s="23">
        <f t="shared" si="35"/>
        <v>2.2514239218877137</v>
      </c>
      <c r="N73" s="23">
        <f t="shared" si="35"/>
        <v>3.0601577909270219</v>
      </c>
      <c r="O73" s="20">
        <f t="shared" si="35"/>
        <v>2.3258306538049305</v>
      </c>
      <c r="P73" s="20">
        <f t="shared" si="35"/>
        <v>2.3728129205921937</v>
      </c>
      <c r="Q73" s="20">
        <f t="shared" si="35"/>
        <v>1.3696236559139785</v>
      </c>
      <c r="R73" s="20">
        <f t="shared" si="35"/>
        <v>8.5728571428571421</v>
      </c>
      <c r="S73" s="21">
        <f t="shared" si="35"/>
        <v>14.655414908579466</v>
      </c>
      <c r="T73" s="22">
        <f t="shared" si="35"/>
        <v>16.751277683134582</v>
      </c>
      <c r="U73" s="20">
        <f t="shared" si="35"/>
        <v>15.666101694915254</v>
      </c>
      <c r="V73" s="23">
        <f t="shared" si="35"/>
        <v>12.65288035450517</v>
      </c>
      <c r="W73" s="22">
        <f t="shared" si="35"/>
        <v>11.450581395348838</v>
      </c>
      <c r="X73" s="23">
        <f t="shared" si="35"/>
        <v>10.238231098430813</v>
      </c>
      <c r="Y73" s="23">
        <f t="shared" si="35"/>
        <v>8.9542302357836334</v>
      </c>
      <c r="Z73" s="23">
        <f t="shared" si="35"/>
        <v>7.6890982503364738</v>
      </c>
      <c r="AA73" s="23">
        <f t="shared" si="35"/>
        <v>6.4679738562091504</v>
      </c>
      <c r="AB73" s="23">
        <f t="shared" si="35"/>
        <v>5.2791878172588831</v>
      </c>
      <c r="AC73" s="23">
        <f t="shared" si="35"/>
        <v>4.0731707317073171</v>
      </c>
      <c r="AD73" s="23">
        <f t="shared" si="35"/>
        <v>2.9573459715639809</v>
      </c>
    </row>
    <row r="74" spans="1:30">
      <c r="A74" s="57"/>
      <c r="B74" s="61"/>
      <c r="C74" s="61"/>
      <c r="D74" s="61"/>
      <c r="E74" s="61"/>
      <c r="F74" s="584"/>
      <c r="G74" s="586"/>
      <c r="H74" s="257">
        <v>2</v>
      </c>
      <c r="I74" s="23">
        <f t="shared" ref="I74:AD74" si="36">I59/I25</f>
        <v>439.4</v>
      </c>
      <c r="J74" s="23">
        <f t="shared" si="36"/>
        <v>127.14705882352941</v>
      </c>
      <c r="K74" s="23">
        <f t="shared" si="36"/>
        <v>52.701863354037265</v>
      </c>
      <c r="L74" s="23">
        <f t="shared" si="36"/>
        <v>29.854545454545455</v>
      </c>
      <c r="M74" s="23">
        <f t="shared" si="36"/>
        <v>9.788436268068331</v>
      </c>
      <c r="N74" s="23">
        <f t="shared" si="36"/>
        <v>12.296096904441454</v>
      </c>
      <c r="O74" s="20">
        <f t="shared" si="36"/>
        <v>5.2276755282890255</v>
      </c>
      <c r="P74" s="20">
        <f t="shared" si="36"/>
        <v>6.1738761662425787</v>
      </c>
      <c r="Q74" s="20">
        <f t="shared" si="36"/>
        <v>4.4483532934131738</v>
      </c>
      <c r="R74" s="20">
        <f t="shared" si="36"/>
        <v>4.0212224108658745</v>
      </c>
      <c r="S74" s="21">
        <f t="shared" si="36"/>
        <v>3.6169590643274856</v>
      </c>
      <c r="T74" s="22">
        <f t="shared" si="36"/>
        <v>4.5814393939393936</v>
      </c>
      <c r="U74" s="258">
        <f t="shared" si="36"/>
        <v>3.4907178217821784</v>
      </c>
      <c r="V74" s="23">
        <f t="shared" si="36"/>
        <v>5.1798292422625396</v>
      </c>
      <c r="W74" s="22">
        <f t="shared" si="36"/>
        <v>4.0795395081109369</v>
      </c>
      <c r="X74" s="23">
        <f t="shared" si="36"/>
        <v>2.9654120040691758</v>
      </c>
      <c r="Y74" s="23">
        <f t="shared" si="36"/>
        <v>3.7503707365299062</v>
      </c>
      <c r="Z74" s="23">
        <f t="shared" si="36"/>
        <v>2.6405950095969288</v>
      </c>
      <c r="AA74" s="23">
        <f t="shared" si="36"/>
        <v>1.5643056849953401</v>
      </c>
      <c r="AB74" s="23">
        <f t="shared" si="36"/>
        <v>0.49001331557922767</v>
      </c>
      <c r="AC74" s="23">
        <f t="shared" si="36"/>
        <v>-0.54209871422646205</v>
      </c>
      <c r="AD74" s="23">
        <f t="shared" si="36"/>
        <v>-1.4928355957767723</v>
      </c>
    </row>
    <row r="75" spans="1:30">
      <c r="A75" s="57"/>
      <c r="B75" s="61"/>
      <c r="C75" s="61"/>
      <c r="D75" s="61"/>
      <c r="E75" s="61"/>
      <c r="F75" s="584"/>
      <c r="G75" s="586"/>
      <c r="H75" s="259">
        <v>3</v>
      </c>
      <c r="I75" s="23">
        <f>IFERROR(I60/I26,0)</f>
        <v>0</v>
      </c>
      <c r="J75" s="23">
        <f t="shared" ref="J75:AD75" si="37">J60/J26</f>
        <v>404</v>
      </c>
      <c r="K75" s="23">
        <f t="shared" si="37"/>
        <v>201</v>
      </c>
      <c r="L75" s="23">
        <f t="shared" si="37"/>
        <v>66</v>
      </c>
      <c r="M75" s="23">
        <f t="shared" si="37"/>
        <v>5.8275862068965516</v>
      </c>
      <c r="N75" s="23">
        <f t="shared" si="37"/>
        <v>8.1400966183574877</v>
      </c>
      <c r="O75" s="20">
        <f t="shared" si="37"/>
        <v>3.7067039106145252</v>
      </c>
      <c r="P75" s="20">
        <f t="shared" si="37"/>
        <v>14.171428571428571</v>
      </c>
      <c r="Q75" s="20">
        <f t="shared" si="37"/>
        <v>16.302325581395348</v>
      </c>
      <c r="R75" s="20">
        <f t="shared" si="37"/>
        <v>13.914893617021276</v>
      </c>
      <c r="S75" s="21">
        <f t="shared" si="37"/>
        <v>23.627906976744185</v>
      </c>
      <c r="T75" s="22">
        <f t="shared" si="37"/>
        <v>31.295454545454547</v>
      </c>
      <c r="U75" s="20">
        <f t="shared" si="37"/>
        <v>29.263736263736263</v>
      </c>
      <c r="V75" s="23">
        <f t="shared" si="37"/>
        <v>23.88785046728972</v>
      </c>
      <c r="W75" s="22">
        <f t="shared" si="37"/>
        <v>22.236363636363638</v>
      </c>
      <c r="X75" s="23">
        <f t="shared" si="37"/>
        <v>20.646017699115045</v>
      </c>
      <c r="Y75" s="23">
        <f t="shared" si="37"/>
        <v>19.112068965517242</v>
      </c>
      <c r="Z75" s="23">
        <f t="shared" si="37"/>
        <v>17.475000000000001</v>
      </c>
      <c r="AA75" s="23">
        <f t="shared" si="37"/>
        <v>16.048780487804876</v>
      </c>
      <c r="AB75" s="23">
        <f t="shared" si="37"/>
        <v>13.954545454545455</v>
      </c>
      <c r="AC75" s="23">
        <f t="shared" si="37"/>
        <v>11.703448275862069</v>
      </c>
      <c r="AD75" s="23">
        <f t="shared" si="37"/>
        <v>10.019480519480519</v>
      </c>
    </row>
    <row r="76" spans="1:30">
      <c r="A76" s="57"/>
      <c r="B76" s="61"/>
      <c r="C76" s="61"/>
      <c r="D76" s="61"/>
      <c r="E76" s="61"/>
      <c r="F76" s="584"/>
      <c r="G76" s="646" t="s">
        <v>16</v>
      </c>
      <c r="H76" s="260" t="s">
        <v>82</v>
      </c>
      <c r="I76" s="261">
        <f t="shared" ref="I76:AD76" si="38">I61/I27</f>
        <v>13.608695652173912</v>
      </c>
      <c r="J76" s="261">
        <f t="shared" si="38"/>
        <v>6.8525641025641022</v>
      </c>
      <c r="K76" s="261">
        <f t="shared" si="38"/>
        <v>3.9953271028037385</v>
      </c>
      <c r="L76" s="261">
        <f t="shared" si="38"/>
        <v>8.508429458740018</v>
      </c>
      <c r="M76" s="261">
        <f t="shared" si="38"/>
        <v>7.7419950738916254</v>
      </c>
      <c r="N76" s="261">
        <f t="shared" si="38"/>
        <v>4.2861046878284634</v>
      </c>
      <c r="O76" s="262">
        <f t="shared" si="38"/>
        <v>9.6910613016473128</v>
      </c>
      <c r="P76" s="20">
        <f t="shared" si="38"/>
        <v>5.8696165191740413</v>
      </c>
      <c r="Q76" s="20">
        <f t="shared" si="38"/>
        <v>5.4729993493819125</v>
      </c>
      <c r="R76" s="20">
        <f t="shared" si="38"/>
        <v>4.0037803422204536</v>
      </c>
      <c r="S76" s="263">
        <f t="shared" si="38"/>
        <v>4.5307201057035895</v>
      </c>
      <c r="T76" s="264">
        <f t="shared" si="38"/>
        <v>6.6754011781434084</v>
      </c>
      <c r="U76" s="265">
        <f t="shared" si="38"/>
        <v>6.9950700059159931</v>
      </c>
      <c r="V76" s="23">
        <f t="shared" si="38"/>
        <v>5.4819642315853292</v>
      </c>
      <c r="W76" s="264">
        <f t="shared" si="38"/>
        <v>4.3269513991163473</v>
      </c>
      <c r="X76" s="261">
        <f t="shared" si="38"/>
        <v>3.2043503148254149</v>
      </c>
      <c r="Y76" s="261">
        <f t="shared" si="38"/>
        <v>2.4983958711117311</v>
      </c>
      <c r="Z76" s="261">
        <f t="shared" si="38"/>
        <v>1.425650054171181</v>
      </c>
      <c r="AA76" s="261">
        <f t="shared" si="38"/>
        <v>0.38422090729783037</v>
      </c>
      <c r="AB76" s="261">
        <f t="shared" si="38"/>
        <v>-0.62696284948295677</v>
      </c>
      <c r="AC76" s="261">
        <f t="shared" si="38"/>
        <v>-1.5914729615801517</v>
      </c>
      <c r="AD76" s="261">
        <f t="shared" si="38"/>
        <v>-2.5157146134434503</v>
      </c>
    </row>
    <row r="77" spans="1:30">
      <c r="A77" s="57"/>
      <c r="B77" s="61"/>
      <c r="C77" s="61"/>
      <c r="D77" s="61"/>
      <c r="E77" s="61"/>
      <c r="F77" s="584"/>
      <c r="G77" s="586"/>
      <c r="H77" s="260">
        <v>1</v>
      </c>
      <c r="I77" s="23">
        <f t="shared" ref="I77:AD77" si="39">I62/I28</f>
        <v>9.4186046511627914</v>
      </c>
      <c r="J77" s="23">
        <f t="shared" si="39"/>
        <v>6.2044444444444444</v>
      </c>
      <c r="K77" s="23">
        <f t="shared" si="39"/>
        <v>7.0632911392405067</v>
      </c>
      <c r="L77" s="23">
        <f t="shared" si="39"/>
        <v>2.2231046931407943</v>
      </c>
      <c r="M77" s="23">
        <f t="shared" si="39"/>
        <v>2.4029247642870888</v>
      </c>
      <c r="N77" s="23">
        <f t="shared" si="39"/>
        <v>1.0733853561348166</v>
      </c>
      <c r="O77" s="20">
        <f t="shared" si="39"/>
        <v>5.4138937536485701</v>
      </c>
      <c r="P77" s="20">
        <f t="shared" si="39"/>
        <v>2.9290659884131696</v>
      </c>
      <c r="Q77" s="20">
        <f t="shared" si="39"/>
        <v>4.2826429697577755</v>
      </c>
      <c r="R77" s="20">
        <f t="shared" si="39"/>
        <v>2.7025285076846801</v>
      </c>
      <c r="S77" s="21">
        <f t="shared" si="39"/>
        <v>2.2800934943513829</v>
      </c>
      <c r="T77" s="22">
        <f t="shared" si="39"/>
        <v>3.1562976130015237</v>
      </c>
      <c r="U77" s="258">
        <f t="shared" si="39"/>
        <v>4.2413410575619377</v>
      </c>
      <c r="V77" s="23">
        <f t="shared" si="39"/>
        <v>3.6789199431549027</v>
      </c>
      <c r="W77" s="22">
        <f t="shared" si="39"/>
        <v>3.49369419129154</v>
      </c>
      <c r="X77" s="23">
        <f t="shared" si="39"/>
        <v>2.3949369353251631</v>
      </c>
      <c r="Y77" s="23">
        <f t="shared" si="39"/>
        <v>2.6736419914552272</v>
      </c>
      <c r="Z77" s="23">
        <f t="shared" si="39"/>
        <v>1.5957843054262253</v>
      </c>
      <c r="AA77" s="23">
        <f t="shared" si="39"/>
        <v>0.54935481219692606</v>
      </c>
      <c r="AB77" s="23">
        <f t="shared" si="39"/>
        <v>-0.46664538780721354</v>
      </c>
      <c r="AC77" s="23">
        <f t="shared" si="39"/>
        <v>-1.4402288467329118</v>
      </c>
      <c r="AD77" s="23">
        <f t="shared" si="39"/>
        <v>-2.371666188700889</v>
      </c>
    </row>
    <row r="78" spans="1:30">
      <c r="A78" s="57"/>
      <c r="B78" s="61"/>
      <c r="C78" s="61"/>
      <c r="D78" s="61"/>
      <c r="E78" s="61"/>
      <c r="F78" s="584"/>
      <c r="G78" s="586"/>
      <c r="H78" s="260">
        <v>2</v>
      </c>
      <c r="I78" s="22">
        <f t="shared" ref="I78:AD78" si="40">I63/I29</f>
        <v>26.927272727272726</v>
      </c>
      <c r="J78" s="23">
        <f t="shared" si="40"/>
        <v>27.143478260869564</v>
      </c>
      <c r="K78" s="23">
        <f t="shared" si="40"/>
        <v>43.743849493487701</v>
      </c>
      <c r="L78" s="23">
        <f t="shared" si="40"/>
        <v>42.663427561837459</v>
      </c>
      <c r="M78" s="23">
        <f t="shared" si="40"/>
        <v>26.673109965635739</v>
      </c>
      <c r="N78" s="23">
        <f t="shared" si="40"/>
        <v>20.426846100759143</v>
      </c>
      <c r="O78" s="20">
        <f t="shared" si="40"/>
        <v>23.358044587698092</v>
      </c>
      <c r="P78" s="20">
        <f t="shared" si="40"/>
        <v>9.1102425566157024</v>
      </c>
      <c r="Q78" s="20">
        <f t="shared" si="40"/>
        <v>5.7602149620404335</v>
      </c>
      <c r="R78" s="20">
        <f t="shared" si="40"/>
        <v>4.9378685206371555</v>
      </c>
      <c r="S78" s="21">
        <f t="shared" si="40"/>
        <v>7.6241930525668611</v>
      </c>
      <c r="T78" s="22">
        <f t="shared" si="40"/>
        <v>4.9376346660282495</v>
      </c>
      <c r="U78" s="20">
        <f t="shared" si="40"/>
        <v>3.7936083672283556</v>
      </c>
      <c r="V78" s="23">
        <f t="shared" si="40"/>
        <v>2.9446230796713113</v>
      </c>
      <c r="W78" s="22">
        <f t="shared" si="40"/>
        <v>3.7276514494011455</v>
      </c>
      <c r="X78" s="23">
        <f t="shared" si="40"/>
        <v>2.6223327991903518</v>
      </c>
      <c r="Y78" s="23">
        <f t="shared" si="40"/>
        <v>2.7551372677954955</v>
      </c>
      <c r="Z78" s="23">
        <f t="shared" si="40"/>
        <v>1.675099760574621</v>
      </c>
      <c r="AA78" s="23">
        <f t="shared" si="40"/>
        <v>0.62629784596311788</v>
      </c>
      <c r="AB78" s="23">
        <f t="shared" si="40"/>
        <v>-0.39198134496765458</v>
      </c>
      <c r="AC78" s="23">
        <f t="shared" si="40"/>
        <v>-1.3805872042068361</v>
      </c>
      <c r="AD78" s="23">
        <f t="shared" si="40"/>
        <v>-2.3403531163582216</v>
      </c>
    </row>
    <row r="79" spans="1:30">
      <c r="A79" s="57"/>
      <c r="B79" s="61"/>
      <c r="C79" s="61"/>
      <c r="D79" s="61"/>
      <c r="E79" s="61"/>
      <c r="F79" s="584"/>
      <c r="G79" s="587"/>
      <c r="H79" s="193" t="s">
        <v>169</v>
      </c>
      <c r="I79" s="22"/>
      <c r="J79" s="23"/>
      <c r="K79" s="23"/>
      <c r="L79" s="23"/>
      <c r="M79" s="23"/>
      <c r="N79" s="23">
        <f t="shared" ref="N79:O79" si="41">IFERROR(N64/N30,0)</f>
        <v>0</v>
      </c>
      <c r="O79" s="23">
        <f t="shared" si="41"/>
        <v>0</v>
      </c>
      <c r="P79" s="20">
        <f t="shared" ref="P79:AD79" si="42">P64/P30</f>
        <v>56.74074074074074</v>
      </c>
      <c r="Q79" s="20">
        <f t="shared" si="42"/>
        <v>7.63</v>
      </c>
      <c r="R79" s="20">
        <f t="shared" si="42"/>
        <v>7.9402985074626864</v>
      </c>
      <c r="S79" s="21">
        <f t="shared" si="42"/>
        <v>4.9641255605381165</v>
      </c>
      <c r="T79" s="22">
        <f t="shared" si="42"/>
        <v>6.3175965665236049</v>
      </c>
      <c r="U79" s="20">
        <f t="shared" si="42"/>
        <v>4.738791423001949</v>
      </c>
      <c r="V79" s="23">
        <f t="shared" si="42"/>
        <v>2.4095371669004209</v>
      </c>
      <c r="W79" s="22">
        <f t="shared" si="42"/>
        <v>4.5323246217331503</v>
      </c>
      <c r="X79" s="23">
        <f t="shared" si="42"/>
        <v>3.440700808625337</v>
      </c>
      <c r="Y79" s="23">
        <f t="shared" si="42"/>
        <v>3.9007936507936507</v>
      </c>
      <c r="Z79" s="23">
        <f t="shared" si="42"/>
        <v>2.8199481865284972</v>
      </c>
      <c r="AA79" s="23">
        <f t="shared" si="42"/>
        <v>1.7662007623888183</v>
      </c>
      <c r="AB79" s="23">
        <f t="shared" si="42"/>
        <v>0.73100871731008721</v>
      </c>
      <c r="AC79" s="23">
        <f t="shared" si="42"/>
        <v>-0.28327228327228327</v>
      </c>
      <c r="AD79" s="23">
        <f t="shared" si="42"/>
        <v>-1.2778443113772455</v>
      </c>
    </row>
    <row r="80" spans="1:30">
      <c r="A80" s="57"/>
      <c r="B80" s="61"/>
      <c r="C80" s="61"/>
      <c r="D80" s="61"/>
      <c r="E80" s="61"/>
      <c r="F80" s="584"/>
      <c r="G80" s="632"/>
      <c r="H80" s="194" t="s">
        <v>90</v>
      </c>
      <c r="I80" s="72"/>
      <c r="J80" s="72"/>
      <c r="K80" s="72"/>
      <c r="L80" s="72"/>
      <c r="M80" s="72"/>
      <c r="N80" s="72"/>
      <c r="O80" s="23">
        <f t="shared" ref="O80:AD80" si="43">IFERROR(O65/O31,0)</f>
        <v>0</v>
      </c>
      <c r="P80" s="20">
        <f t="shared" si="43"/>
        <v>7.8965517241379306</v>
      </c>
      <c r="Q80" s="20">
        <f t="shared" si="43"/>
        <v>2.3430656934306571</v>
      </c>
      <c r="R80" s="20">
        <f t="shared" si="43"/>
        <v>1.4692307692307693</v>
      </c>
      <c r="S80" s="21">
        <f t="shared" si="43"/>
        <v>0.20504731861198738</v>
      </c>
      <c r="T80" s="22">
        <f t="shared" si="43"/>
        <v>-0.80421686746987953</v>
      </c>
      <c r="U80" s="20">
        <f t="shared" si="43"/>
        <v>-1.7315068493150685</v>
      </c>
      <c r="V80" s="23">
        <f t="shared" si="43"/>
        <v>3.7272727272727271</v>
      </c>
      <c r="W80" s="22">
        <f t="shared" si="43"/>
        <v>2.6479690522243713</v>
      </c>
      <c r="X80" s="23">
        <f t="shared" si="43"/>
        <v>1.5977229601518026</v>
      </c>
      <c r="Y80" s="23">
        <f t="shared" si="43"/>
        <v>4.322160148975791</v>
      </c>
      <c r="Z80" s="23">
        <f t="shared" si="43"/>
        <v>3.2354014598540144</v>
      </c>
      <c r="AA80" s="23">
        <f t="shared" si="43"/>
        <v>2.1717352415026832</v>
      </c>
      <c r="AB80" s="23">
        <f t="shared" si="43"/>
        <v>1.1298245614035087</v>
      </c>
      <c r="AC80" s="23">
        <f t="shared" si="43"/>
        <v>0.10652920962199312</v>
      </c>
      <c r="AD80" s="23">
        <f t="shared" si="43"/>
        <v>-0.89544688026981445</v>
      </c>
    </row>
    <row r="81" spans="1:30">
      <c r="A81" s="57"/>
      <c r="B81" s="61"/>
      <c r="C81" s="61"/>
      <c r="D81" s="61"/>
      <c r="E81" s="61"/>
      <c r="F81" s="584"/>
      <c r="G81" s="587"/>
      <c r="H81" s="195" t="s">
        <v>91</v>
      </c>
      <c r="I81" s="72"/>
      <c r="J81" s="72"/>
      <c r="K81" s="72"/>
      <c r="L81" s="72"/>
      <c r="M81" s="72"/>
      <c r="N81" s="72"/>
      <c r="O81" s="23">
        <f t="shared" ref="O81:AD81" si="44">IFERROR(O66/O32,0)</f>
        <v>0</v>
      </c>
      <c r="P81" s="20">
        <f t="shared" si="44"/>
        <v>38.07692307692308</v>
      </c>
      <c r="Q81" s="20">
        <f t="shared" si="44"/>
        <v>8.3396226415094343</v>
      </c>
      <c r="R81" s="20">
        <f t="shared" si="44"/>
        <v>9.279069767441861</v>
      </c>
      <c r="S81" s="21">
        <f t="shared" si="44"/>
        <v>5.65</v>
      </c>
      <c r="T81" s="22">
        <f t="shared" si="44"/>
        <v>4.4240000000000004</v>
      </c>
      <c r="U81" s="20">
        <f t="shared" si="44"/>
        <v>3.0072463768115942</v>
      </c>
      <c r="V81" s="23">
        <f t="shared" si="44"/>
        <v>6.411458333333333</v>
      </c>
      <c r="W81" s="22">
        <f t="shared" si="44"/>
        <v>5.2806122448979593</v>
      </c>
      <c r="X81" s="23">
        <f t="shared" si="44"/>
        <v>4.1749999999999998</v>
      </c>
      <c r="Y81" s="23">
        <f t="shared" si="44"/>
        <v>3.0931372549019609</v>
      </c>
      <c r="Z81" s="23">
        <f t="shared" si="44"/>
        <v>2.0336538461538463</v>
      </c>
      <c r="AA81" s="23">
        <f t="shared" si="44"/>
        <v>0.99528301886792447</v>
      </c>
      <c r="AB81" s="23">
        <f t="shared" si="44"/>
        <v>-2.3148148148148147E-2</v>
      </c>
      <c r="AC81" s="23">
        <f t="shared" si="44"/>
        <v>-1.0226244343891402</v>
      </c>
      <c r="AD81" s="23">
        <f t="shared" si="44"/>
        <v>-2.0044444444444443</v>
      </c>
    </row>
    <row r="82" spans="1:30">
      <c r="A82" s="57"/>
      <c r="B82" s="61"/>
      <c r="C82" s="61"/>
      <c r="D82" s="61"/>
      <c r="E82" s="61"/>
      <c r="F82" s="248"/>
      <c r="G82" s="644" t="s">
        <v>18</v>
      </c>
      <c r="H82" s="590"/>
      <c r="I82" s="103">
        <f t="shared" ref="I82:N82" si="45">SUM(I72:I78)</f>
        <v>1167.7182093942458</v>
      </c>
      <c r="J82" s="103">
        <f t="shared" si="45"/>
        <v>685.7592715866117</v>
      </c>
      <c r="K82" s="103">
        <f t="shared" si="45"/>
        <v>424.0962449380483</v>
      </c>
      <c r="L82" s="103">
        <f t="shared" si="45"/>
        <v>197.85905845031499</v>
      </c>
      <c r="M82" s="103">
        <f t="shared" si="45"/>
        <v>79.969476200667032</v>
      </c>
      <c r="N82" s="103">
        <f t="shared" si="45"/>
        <v>69.346347935901974</v>
      </c>
      <c r="O82" s="100">
        <f>AVERAGE(O72:O78)</f>
        <v>10.120024114289992</v>
      </c>
      <c r="P82" s="100">
        <f t="shared" ref="P82:AD82" si="46">AVERAGE(P72:P81)</f>
        <v>16.651013243645345</v>
      </c>
      <c r="Q82" s="100">
        <f t="shared" si="46"/>
        <v>6.7332918943302902</v>
      </c>
      <c r="R82" s="100">
        <f t="shared" si="46"/>
        <v>6.9518345330102749</v>
      </c>
      <c r="S82" s="101">
        <f t="shared" si="46"/>
        <v>7.4534207316866112</v>
      </c>
      <c r="T82" s="253">
        <f t="shared" si="46"/>
        <v>8.616072747538464</v>
      </c>
      <c r="U82" s="100">
        <f t="shared" si="46"/>
        <v>7.7034197070729373</v>
      </c>
      <c r="V82" s="103">
        <f t="shared" si="46"/>
        <v>6.8858807595664882</v>
      </c>
      <c r="W82" s="253">
        <f t="shared" si="46"/>
        <v>6.3188960499996218</v>
      </c>
      <c r="X82" s="100">
        <f t="shared" si="46"/>
        <v>5.1658604912988224</v>
      </c>
      <c r="Y82" s="100">
        <f t="shared" si="46"/>
        <v>5.3514871745182235</v>
      </c>
      <c r="Z82" s="100">
        <f t="shared" si="46"/>
        <v>4.1973564205975133</v>
      </c>
      <c r="AA82" s="100">
        <f t="shared" si="46"/>
        <v>3.0916470676525867</v>
      </c>
      <c r="AB82" s="100">
        <f t="shared" si="46"/>
        <v>1.9408302868675484</v>
      </c>
      <c r="AC82" s="100">
        <f t="shared" si="46"/>
        <v>0.79813543388213259</v>
      </c>
      <c r="AD82" s="100">
        <f t="shared" si="46"/>
        <v>-0.25148852527329307</v>
      </c>
    </row>
    <row r="83" spans="1:30">
      <c r="A83" s="57"/>
      <c r="B83" s="61"/>
      <c r="C83" s="61"/>
      <c r="D83" s="61"/>
      <c r="E83" s="61"/>
      <c r="F83" s="58"/>
      <c r="G83" s="82"/>
      <c r="H83" s="82"/>
      <c r="I83" s="59"/>
      <c r="J83" s="59"/>
      <c r="K83" s="59"/>
      <c r="L83" s="59"/>
      <c r="M83" s="59"/>
      <c r="N83" s="59"/>
      <c r="O83" s="59"/>
      <c r="P83" s="59"/>
      <c r="Q83" s="197"/>
      <c r="R83" s="59"/>
      <c r="S83" s="59"/>
      <c r="T83" s="59"/>
      <c r="U83" s="59"/>
      <c r="V83" s="59"/>
      <c r="W83" s="59"/>
      <c r="X83" s="59"/>
      <c r="Y83" s="59"/>
      <c r="Z83" s="59"/>
    </row>
    <row r="84" spans="1:30" ht="12.7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30" ht="12.7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30" ht="12.7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30" ht="12.7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30" ht="12.7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30" ht="12.7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30" ht="12.7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30" ht="12.7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30" ht="12.7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30" ht="12.7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30" ht="12.7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30" ht="12.7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30">
      <c r="A96" s="57"/>
      <c r="B96" s="61"/>
      <c r="C96" s="61"/>
      <c r="D96" s="61"/>
      <c r="E96" s="61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>
      <c r="A97" s="57"/>
      <c r="B97" s="61"/>
      <c r="C97" s="61"/>
      <c r="D97" s="61"/>
      <c r="E97" s="61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>
      <c r="B98" s="61"/>
      <c r="C98" s="61"/>
      <c r="D98" s="61"/>
      <c r="E98" s="61"/>
    </row>
    <row r="99" spans="1:26">
      <c r="B99" s="61"/>
      <c r="C99" s="61"/>
      <c r="D99" s="61"/>
      <c r="E99" s="61"/>
    </row>
    <row r="100" spans="1:26">
      <c r="B100" s="61"/>
      <c r="C100" s="61"/>
      <c r="D100" s="61"/>
      <c r="E100" s="61"/>
    </row>
    <row r="101" spans="1:26">
      <c r="B101" s="61"/>
      <c r="C101" s="61"/>
      <c r="D101" s="61"/>
      <c r="E101" s="61"/>
    </row>
    <row r="102" spans="1:26">
      <c r="B102" s="61"/>
      <c r="C102" s="61"/>
      <c r="D102" s="61"/>
      <c r="E102" s="61"/>
    </row>
    <row r="103" spans="1:26">
      <c r="B103" s="61"/>
      <c r="C103" s="61"/>
      <c r="D103" s="61"/>
      <c r="E103" s="61"/>
    </row>
    <row r="104" spans="1:26">
      <c r="B104" s="61"/>
      <c r="C104" s="61"/>
      <c r="D104" s="61"/>
      <c r="E104" s="61"/>
    </row>
    <row r="105" spans="1:26">
      <c r="B105" s="61"/>
      <c r="C105" s="61"/>
      <c r="D105" s="61"/>
      <c r="E105" s="61"/>
    </row>
    <row r="106" spans="1:26">
      <c r="B106" s="61"/>
      <c r="C106" s="61"/>
      <c r="D106" s="61"/>
      <c r="E106" s="61"/>
    </row>
    <row r="107" spans="1:26">
      <c r="B107" s="61"/>
    </row>
    <row r="108" spans="1:26">
      <c r="B108" s="61"/>
    </row>
    <row r="109" spans="1:26">
      <c r="B109" s="61"/>
    </row>
    <row r="110" spans="1:26">
      <c r="B110" s="61"/>
    </row>
    <row r="111" spans="1:26">
      <c r="B111" s="61"/>
    </row>
    <row r="112" spans="1:26">
      <c r="B112" s="61"/>
    </row>
    <row r="113" spans="2:2">
      <c r="B113" s="61"/>
    </row>
  </sheetData>
  <mergeCells count="42">
    <mergeCell ref="G57:G60"/>
    <mergeCell ref="G61:G64"/>
    <mergeCell ref="G80:G81"/>
    <mergeCell ref="G82:H82"/>
    <mergeCell ref="G65:G66"/>
    <mergeCell ref="G67:H67"/>
    <mergeCell ref="G68:H68"/>
    <mergeCell ref="G69:H69"/>
    <mergeCell ref="F71:H71"/>
    <mergeCell ref="G72:G75"/>
    <mergeCell ref="G76:G79"/>
    <mergeCell ref="F36:F42"/>
    <mergeCell ref="F46:F52"/>
    <mergeCell ref="F57:F66"/>
    <mergeCell ref="F72:F81"/>
    <mergeCell ref="G33:H33"/>
    <mergeCell ref="F35:H35"/>
    <mergeCell ref="G36:G39"/>
    <mergeCell ref="G40:G42"/>
    <mergeCell ref="G43:H43"/>
    <mergeCell ref="G44:H44"/>
    <mergeCell ref="F45:H45"/>
    <mergeCell ref="G46:G49"/>
    <mergeCell ref="G50:G52"/>
    <mergeCell ref="G53:H53"/>
    <mergeCell ref="G55:H55"/>
    <mergeCell ref="F56:H56"/>
    <mergeCell ref="F22:H22"/>
    <mergeCell ref="F23:F32"/>
    <mergeCell ref="G23:G26"/>
    <mergeCell ref="G27:G30"/>
    <mergeCell ref="G31:G32"/>
    <mergeCell ref="F2:J2"/>
    <mergeCell ref="F5:H5"/>
    <mergeCell ref="F6:H6"/>
    <mergeCell ref="F7:F19"/>
    <mergeCell ref="G7:G10"/>
    <mergeCell ref="G11:G14"/>
    <mergeCell ref="G15:G16"/>
    <mergeCell ref="G19:H19"/>
    <mergeCell ref="G17:H17"/>
    <mergeCell ref="G18:H18"/>
  </mergeCells>
  <phoneticPr fontId="63" type="noConversion"/>
  <conditionalFormatting sqref="I72:N79 O72:AD81">
    <cfRule type="colorScale" priority="1">
      <colorScale>
        <cfvo type="formula" val="3"/>
        <cfvo type="formula" val="20"/>
        <color rgb="FFFFFFFF"/>
        <color rgb="FFE67C73"/>
      </colorScale>
    </cfRule>
  </conditionalFormatting>
  <conditionalFormatting sqref="I79:N79 O79:AD81 I36:Y42 I46:Y53 I57:N64 O57:AD66">
    <cfRule type="cellIs" dxfId="13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4CCCC"/>
    <outlinePr summaryBelow="0" summaryRight="0"/>
  </sheetPr>
  <dimension ref="A1:R993"/>
  <sheetViews>
    <sheetView workbookViewId="0"/>
  </sheetViews>
  <sheetFormatPr defaultColWidth="14.42578125" defaultRowHeight="15.75" customHeight="1"/>
  <cols>
    <col min="2" max="2" width="17.7109375" customWidth="1"/>
    <col min="3" max="3" width="27.28515625" customWidth="1"/>
    <col min="4" max="4" width="26.7109375" customWidth="1"/>
    <col min="5" max="5" width="1" customWidth="1"/>
    <col min="6" max="6" width="21" customWidth="1"/>
    <col min="7" max="8" width="0.42578125" customWidth="1"/>
    <col min="9" max="9" width="13.5703125" customWidth="1"/>
    <col min="15" max="15" width="27" customWidth="1"/>
  </cols>
  <sheetData>
    <row r="1" spans="1:18" ht="15.75" customHeight="1">
      <c r="B1" s="266" t="s">
        <v>173</v>
      </c>
      <c r="C1" s="266" t="s">
        <v>174</v>
      </c>
      <c r="D1" s="267" t="s">
        <v>175</v>
      </c>
      <c r="E1" s="268" t="s">
        <v>176</v>
      </c>
      <c r="F1" s="268" t="s">
        <v>177</v>
      </c>
      <c r="G1" s="268" t="s">
        <v>178</v>
      </c>
      <c r="H1" s="266" t="s">
        <v>179</v>
      </c>
      <c r="I1" s="268" t="s">
        <v>180</v>
      </c>
      <c r="J1" s="268" t="s">
        <v>181</v>
      </c>
      <c r="K1" s="268" t="s">
        <v>182</v>
      </c>
      <c r="L1" s="268" t="s">
        <v>183</v>
      </c>
      <c r="M1" s="266" t="s">
        <v>184</v>
      </c>
      <c r="N1" s="266" t="s">
        <v>184</v>
      </c>
      <c r="P1" s="269">
        <v>45474</v>
      </c>
      <c r="Q1" s="269">
        <v>45504</v>
      </c>
      <c r="R1" s="269">
        <v>45537</v>
      </c>
    </row>
    <row r="2" spans="1:18" ht="15.75" customHeight="1">
      <c r="A2" s="270"/>
      <c r="B2" s="271">
        <v>8718117107834</v>
      </c>
      <c r="C2" s="270" t="s">
        <v>185</v>
      </c>
      <c r="D2" s="270" t="s">
        <v>185</v>
      </c>
      <c r="E2" s="272">
        <v>20250721</v>
      </c>
      <c r="F2" s="273">
        <v>45859</v>
      </c>
      <c r="G2" s="273">
        <v>45357</v>
      </c>
      <c r="H2" s="270" t="s">
        <v>186</v>
      </c>
      <c r="I2" s="274" t="s">
        <v>187</v>
      </c>
      <c r="J2" s="274">
        <v>70</v>
      </c>
      <c r="K2" s="274" t="s">
        <v>188</v>
      </c>
      <c r="L2" s="274" t="s">
        <v>188</v>
      </c>
      <c r="M2" s="270"/>
      <c r="N2" s="104"/>
      <c r="O2" s="275" t="s">
        <v>185</v>
      </c>
      <c r="P2" s="28">
        <f t="shared" ref="P2:P11" si="0">SUMIF(D:D,O2,J:J)</f>
        <v>70</v>
      </c>
      <c r="Q2" s="30">
        <v>1972</v>
      </c>
      <c r="R2" s="30">
        <v>1616</v>
      </c>
    </row>
    <row r="3" spans="1:18" ht="15.75" customHeight="1">
      <c r="A3" s="270"/>
      <c r="B3" s="271">
        <v>8718117607846</v>
      </c>
      <c r="C3" s="270" t="s">
        <v>189</v>
      </c>
      <c r="D3" s="270" t="s">
        <v>189</v>
      </c>
      <c r="E3" s="272">
        <v>20250706</v>
      </c>
      <c r="F3" s="273">
        <v>45844</v>
      </c>
      <c r="G3" s="273">
        <v>45357</v>
      </c>
      <c r="H3" s="270" t="s">
        <v>190</v>
      </c>
      <c r="I3" s="274" t="s">
        <v>187</v>
      </c>
      <c r="J3" s="274">
        <v>698</v>
      </c>
      <c r="K3" s="274" t="s">
        <v>188</v>
      </c>
      <c r="L3" s="274" t="s">
        <v>188</v>
      </c>
      <c r="M3" s="270"/>
      <c r="N3" s="270"/>
      <c r="O3" s="276" t="s">
        <v>189</v>
      </c>
      <c r="P3" s="28">
        <f t="shared" si="0"/>
        <v>698</v>
      </c>
      <c r="Q3" s="30">
        <v>562</v>
      </c>
      <c r="R3" s="30">
        <v>432</v>
      </c>
    </row>
    <row r="4" spans="1:18" ht="15.75" customHeight="1">
      <c r="A4" s="270"/>
      <c r="B4" s="271">
        <v>9001375010237</v>
      </c>
      <c r="C4" s="270" t="s">
        <v>191</v>
      </c>
      <c r="D4" s="270" t="s">
        <v>191</v>
      </c>
      <c r="E4" s="272">
        <v>260130</v>
      </c>
      <c r="F4" s="273">
        <v>46052</v>
      </c>
      <c r="G4" s="273">
        <v>45407</v>
      </c>
      <c r="H4" s="270" t="s">
        <v>191</v>
      </c>
      <c r="I4" s="274" t="s">
        <v>187</v>
      </c>
      <c r="J4" s="274">
        <v>829</v>
      </c>
      <c r="K4" s="274" t="s">
        <v>192</v>
      </c>
      <c r="L4" s="274" t="s">
        <v>188</v>
      </c>
      <c r="M4" s="270"/>
      <c r="N4" s="270"/>
      <c r="O4" s="276" t="s">
        <v>191</v>
      </c>
      <c r="P4" s="28">
        <f t="shared" si="0"/>
        <v>2043</v>
      </c>
      <c r="Q4" s="30">
        <v>905</v>
      </c>
      <c r="R4" s="30">
        <v>782</v>
      </c>
    </row>
    <row r="5" spans="1:18" ht="15.75" customHeight="1">
      <c r="A5" s="270"/>
      <c r="B5" s="271">
        <v>9001375010237</v>
      </c>
      <c r="C5" s="270" t="s">
        <v>191</v>
      </c>
      <c r="D5" s="270" t="s">
        <v>191</v>
      </c>
      <c r="E5" s="272">
        <v>260219</v>
      </c>
      <c r="F5" s="273">
        <v>46072</v>
      </c>
      <c r="G5" s="273">
        <v>45376</v>
      </c>
      <c r="H5" s="270" t="s">
        <v>191</v>
      </c>
      <c r="I5" s="274" t="s">
        <v>187</v>
      </c>
      <c r="J5" s="274">
        <v>1214</v>
      </c>
      <c r="K5" s="274" t="s">
        <v>188</v>
      </c>
      <c r="L5" s="274" t="s">
        <v>188</v>
      </c>
      <c r="M5" s="270"/>
      <c r="N5" s="270"/>
      <c r="O5" s="276" t="s">
        <v>193</v>
      </c>
      <c r="P5" s="28">
        <f t="shared" si="0"/>
        <v>5344</v>
      </c>
      <c r="Q5" s="277">
        <v>4387</v>
      </c>
      <c r="R5" s="30">
        <v>3450</v>
      </c>
    </row>
    <row r="6" spans="1:18" ht="15.75" customHeight="1">
      <c r="A6" s="270"/>
      <c r="B6" s="271">
        <v>4056631003435</v>
      </c>
      <c r="C6" s="270" t="s">
        <v>194</v>
      </c>
      <c r="D6" s="270" t="s">
        <v>194</v>
      </c>
      <c r="E6" s="272">
        <v>251016</v>
      </c>
      <c r="F6" s="273">
        <v>45946</v>
      </c>
      <c r="G6" s="273">
        <v>45344</v>
      </c>
      <c r="H6" s="270" t="s">
        <v>194</v>
      </c>
      <c r="I6" s="274" t="s">
        <v>187</v>
      </c>
      <c r="J6" s="274">
        <v>5760</v>
      </c>
      <c r="K6" s="274" t="s">
        <v>195</v>
      </c>
      <c r="L6" s="274"/>
      <c r="M6" s="270"/>
      <c r="N6" s="270"/>
      <c r="O6" s="276" t="s">
        <v>196</v>
      </c>
      <c r="P6" s="28">
        <f t="shared" si="0"/>
        <v>10474</v>
      </c>
      <c r="Q6" s="277">
        <v>9546</v>
      </c>
      <c r="R6" s="30">
        <v>8634</v>
      </c>
    </row>
    <row r="7" spans="1:18" ht="15.75" customHeight="1">
      <c r="A7" s="270"/>
      <c r="B7" s="271">
        <v>4056631003435</v>
      </c>
      <c r="C7" s="270" t="s">
        <v>194</v>
      </c>
      <c r="D7" s="270" t="s">
        <v>194</v>
      </c>
      <c r="E7" s="272">
        <v>251016</v>
      </c>
      <c r="F7" s="273">
        <v>45946</v>
      </c>
      <c r="G7" s="273">
        <v>45344</v>
      </c>
      <c r="H7" s="270" t="s">
        <v>194</v>
      </c>
      <c r="I7" s="274" t="s">
        <v>187</v>
      </c>
      <c r="J7" s="274">
        <v>6520</v>
      </c>
      <c r="K7" s="274" t="s">
        <v>192</v>
      </c>
      <c r="L7" s="274"/>
      <c r="M7" s="270"/>
      <c r="N7" s="270"/>
      <c r="O7" s="276" t="s">
        <v>197</v>
      </c>
      <c r="P7" s="28">
        <f t="shared" si="0"/>
        <v>3709</v>
      </c>
      <c r="Q7" s="277">
        <v>7428</v>
      </c>
      <c r="R7" s="30">
        <v>6103</v>
      </c>
    </row>
    <row r="8" spans="1:18" ht="15.75" customHeight="1">
      <c r="A8" s="270"/>
      <c r="B8" s="271">
        <v>4056631003435</v>
      </c>
      <c r="C8" s="270" t="s">
        <v>194</v>
      </c>
      <c r="D8" s="270" t="s">
        <v>194</v>
      </c>
      <c r="E8" s="272">
        <v>251016</v>
      </c>
      <c r="F8" s="273">
        <v>45946</v>
      </c>
      <c r="G8" s="273">
        <v>45345</v>
      </c>
      <c r="H8" s="270" t="s">
        <v>194</v>
      </c>
      <c r="I8" s="274" t="s">
        <v>187</v>
      </c>
      <c r="J8" s="274">
        <v>384</v>
      </c>
      <c r="K8" s="274" t="s">
        <v>192</v>
      </c>
      <c r="L8" s="274"/>
      <c r="M8" s="270"/>
      <c r="N8" s="270"/>
      <c r="O8" s="276" t="s">
        <v>198</v>
      </c>
      <c r="P8" s="28">
        <f t="shared" si="0"/>
        <v>2808</v>
      </c>
      <c r="Q8" s="277">
        <v>2633</v>
      </c>
      <c r="R8" s="30">
        <v>2476</v>
      </c>
    </row>
    <row r="9" spans="1:18" ht="15.75" customHeight="1">
      <c r="A9" s="270"/>
      <c r="B9" s="271">
        <v>4056631003435</v>
      </c>
      <c r="C9" s="270" t="s">
        <v>194</v>
      </c>
      <c r="D9" s="270" t="s">
        <v>194</v>
      </c>
      <c r="E9" s="272">
        <v>251202</v>
      </c>
      <c r="F9" s="273">
        <v>45993</v>
      </c>
      <c r="G9" s="273">
        <v>45344</v>
      </c>
      <c r="H9" s="270" t="s">
        <v>194</v>
      </c>
      <c r="I9" s="274" t="s">
        <v>187</v>
      </c>
      <c r="J9" s="274">
        <v>2688</v>
      </c>
      <c r="K9" s="274" t="s">
        <v>195</v>
      </c>
      <c r="L9" s="274"/>
      <c r="M9" s="270"/>
      <c r="N9" s="270"/>
      <c r="O9" s="276" t="s">
        <v>194</v>
      </c>
      <c r="P9" s="28">
        <f t="shared" si="0"/>
        <v>15352</v>
      </c>
      <c r="Q9" s="30">
        <v>13626</v>
      </c>
      <c r="R9" s="30">
        <v>23312</v>
      </c>
    </row>
    <row r="10" spans="1:18" ht="15.75" customHeight="1">
      <c r="A10" s="270"/>
      <c r="B10" s="271">
        <v>4056631003459</v>
      </c>
      <c r="C10" s="270" t="s">
        <v>199</v>
      </c>
      <c r="D10" s="270" t="s">
        <v>200</v>
      </c>
      <c r="E10" s="272">
        <v>250603</v>
      </c>
      <c r="F10" s="273">
        <v>45811</v>
      </c>
      <c r="G10" s="273">
        <v>45176</v>
      </c>
      <c r="H10" s="270" t="s">
        <v>200</v>
      </c>
      <c r="I10" s="274" t="s">
        <v>201</v>
      </c>
      <c r="J10" s="274">
        <v>1</v>
      </c>
      <c r="K10" s="274" t="s">
        <v>202</v>
      </c>
      <c r="L10" s="274"/>
      <c r="M10" s="270"/>
      <c r="N10" s="270"/>
      <c r="O10" s="276" t="s">
        <v>200</v>
      </c>
      <c r="P10" s="28">
        <f t="shared" si="0"/>
        <v>14338</v>
      </c>
      <c r="Q10" s="30">
        <v>7078</v>
      </c>
      <c r="R10" s="30">
        <v>11527</v>
      </c>
    </row>
    <row r="11" spans="1:18" ht="15.75" customHeight="1">
      <c r="A11" s="270"/>
      <c r="B11" s="271">
        <v>4056631003459</v>
      </c>
      <c r="C11" s="270" t="s">
        <v>199</v>
      </c>
      <c r="D11" s="270" t="s">
        <v>200</v>
      </c>
      <c r="E11" s="272">
        <v>250901</v>
      </c>
      <c r="F11" s="273">
        <v>45901</v>
      </c>
      <c r="G11" s="273">
        <v>45288</v>
      </c>
      <c r="H11" s="270" t="s">
        <v>200</v>
      </c>
      <c r="I11" s="274" t="s">
        <v>203</v>
      </c>
      <c r="J11" s="274">
        <v>4</v>
      </c>
      <c r="K11" s="274" t="s">
        <v>204</v>
      </c>
      <c r="L11" s="274"/>
      <c r="M11" s="270"/>
      <c r="N11" s="270"/>
      <c r="O11" s="276" t="s">
        <v>205</v>
      </c>
      <c r="P11" s="28">
        <f t="shared" si="0"/>
        <v>49701</v>
      </c>
      <c r="Q11" s="30">
        <v>38336</v>
      </c>
      <c r="R11" s="30">
        <v>25448</v>
      </c>
    </row>
    <row r="12" spans="1:18" ht="15.75" customHeight="1">
      <c r="A12" s="270"/>
      <c r="B12" s="271">
        <v>4056631003459</v>
      </c>
      <c r="C12" s="270" t="s">
        <v>199</v>
      </c>
      <c r="D12" s="270" t="s">
        <v>200</v>
      </c>
      <c r="E12" s="272">
        <v>260111</v>
      </c>
      <c r="F12" s="273">
        <v>46033</v>
      </c>
      <c r="G12" s="273">
        <v>45407</v>
      </c>
      <c r="H12" s="270" t="s">
        <v>200</v>
      </c>
      <c r="I12" s="274" t="s">
        <v>187</v>
      </c>
      <c r="J12" s="274">
        <v>1277</v>
      </c>
      <c r="K12" s="274" t="s">
        <v>192</v>
      </c>
      <c r="L12" s="274"/>
      <c r="M12" s="270"/>
      <c r="N12" s="270"/>
    </row>
    <row r="13" spans="1:18" ht="15.75" customHeight="1">
      <c r="A13" s="270"/>
      <c r="B13" s="271">
        <v>4056631003459</v>
      </c>
      <c r="C13" s="270" t="s">
        <v>199</v>
      </c>
      <c r="D13" s="270" t="s">
        <v>200</v>
      </c>
      <c r="E13" s="272">
        <v>260130</v>
      </c>
      <c r="F13" s="273">
        <v>46052</v>
      </c>
      <c r="G13" s="273">
        <v>45407</v>
      </c>
      <c r="H13" s="270" t="s">
        <v>200</v>
      </c>
      <c r="I13" s="274" t="s">
        <v>187</v>
      </c>
      <c r="J13" s="274">
        <v>11904</v>
      </c>
      <c r="K13" s="274" t="s">
        <v>192</v>
      </c>
      <c r="L13" s="274"/>
      <c r="M13" s="270"/>
      <c r="N13" s="270"/>
    </row>
    <row r="14" spans="1:18" ht="15.75" customHeight="1">
      <c r="A14" s="270"/>
      <c r="B14" s="271">
        <v>4056631003459</v>
      </c>
      <c r="C14" s="270" t="s">
        <v>199</v>
      </c>
      <c r="D14" s="270" t="s">
        <v>200</v>
      </c>
      <c r="E14" s="272">
        <v>260130</v>
      </c>
      <c r="F14" s="273">
        <v>46052</v>
      </c>
      <c r="G14" s="273">
        <v>45407</v>
      </c>
      <c r="H14" s="270" t="s">
        <v>200</v>
      </c>
      <c r="I14" s="274" t="s">
        <v>187</v>
      </c>
      <c r="J14" s="274">
        <v>1152</v>
      </c>
      <c r="K14" s="274" t="s">
        <v>195</v>
      </c>
      <c r="L14" s="274"/>
      <c r="M14" s="270"/>
      <c r="N14" s="270"/>
    </row>
    <row r="15" spans="1:18" ht="15.75" customHeight="1">
      <c r="A15" s="270"/>
      <c r="B15" s="271">
        <v>4056631003473</v>
      </c>
      <c r="C15" s="270" t="s">
        <v>206</v>
      </c>
      <c r="D15" s="270" t="s">
        <v>205</v>
      </c>
      <c r="E15" s="272">
        <v>250605</v>
      </c>
      <c r="F15" s="273">
        <v>45813</v>
      </c>
      <c r="G15" s="273">
        <v>45176</v>
      </c>
      <c r="H15" s="270" t="s">
        <v>205</v>
      </c>
      <c r="I15" s="274" t="s">
        <v>201</v>
      </c>
      <c r="J15" s="274">
        <v>2</v>
      </c>
      <c r="K15" s="274" t="s">
        <v>202</v>
      </c>
      <c r="L15" s="274"/>
      <c r="M15" s="270"/>
      <c r="N15" s="270"/>
    </row>
    <row r="16" spans="1:18" ht="15.75" customHeight="1">
      <c r="A16" s="270"/>
      <c r="B16" s="271">
        <v>4056631003473</v>
      </c>
      <c r="C16" s="270" t="s">
        <v>206</v>
      </c>
      <c r="D16" s="270" t="s">
        <v>205</v>
      </c>
      <c r="E16" s="272">
        <v>250626</v>
      </c>
      <c r="F16" s="273">
        <v>45834</v>
      </c>
      <c r="G16" s="273">
        <v>45188</v>
      </c>
      <c r="H16" s="270" t="s">
        <v>205</v>
      </c>
      <c r="I16" s="274" t="s">
        <v>201</v>
      </c>
      <c r="J16" s="274">
        <v>49</v>
      </c>
      <c r="K16" s="274" t="s">
        <v>202</v>
      </c>
      <c r="L16" s="274"/>
      <c r="M16" s="270"/>
      <c r="N16" s="270"/>
    </row>
    <row r="17" spans="1:14" ht="15.75" customHeight="1">
      <c r="A17" s="270"/>
      <c r="B17" s="271">
        <v>4056631003473</v>
      </c>
      <c r="C17" s="270" t="s">
        <v>206</v>
      </c>
      <c r="D17" s="270" t="s">
        <v>205</v>
      </c>
      <c r="E17" s="272">
        <v>250712</v>
      </c>
      <c r="F17" s="273">
        <v>45850</v>
      </c>
      <c r="G17" s="273">
        <v>45247</v>
      </c>
      <c r="H17" s="270" t="s">
        <v>205</v>
      </c>
      <c r="I17" s="274" t="s">
        <v>187</v>
      </c>
      <c r="J17" s="274">
        <v>2034</v>
      </c>
      <c r="K17" s="274" t="s">
        <v>188</v>
      </c>
      <c r="L17" s="274"/>
      <c r="M17" s="270"/>
      <c r="N17" s="270"/>
    </row>
    <row r="18" spans="1:14" ht="15.75" customHeight="1">
      <c r="A18" s="270"/>
      <c r="B18" s="271">
        <v>4056631003473</v>
      </c>
      <c r="C18" s="270" t="s">
        <v>206</v>
      </c>
      <c r="D18" s="270" t="s">
        <v>205</v>
      </c>
      <c r="E18" s="272">
        <v>250824</v>
      </c>
      <c r="F18" s="273">
        <v>45893</v>
      </c>
      <c r="G18" s="273">
        <v>45288</v>
      </c>
      <c r="H18" s="270" t="s">
        <v>205</v>
      </c>
      <c r="I18" s="274" t="s">
        <v>187</v>
      </c>
      <c r="J18" s="274">
        <v>10368</v>
      </c>
      <c r="K18" s="274" t="s">
        <v>188</v>
      </c>
      <c r="L18" s="274"/>
      <c r="M18" s="270"/>
      <c r="N18" s="270"/>
    </row>
    <row r="19" spans="1:14" ht="15.75" customHeight="1">
      <c r="A19" s="270"/>
      <c r="B19" s="271">
        <v>4056631003473</v>
      </c>
      <c r="C19" s="270" t="s">
        <v>206</v>
      </c>
      <c r="D19" s="270" t="s">
        <v>205</v>
      </c>
      <c r="E19" s="272">
        <v>251014</v>
      </c>
      <c r="F19" s="273">
        <v>45944</v>
      </c>
      <c r="G19" s="273">
        <v>45288</v>
      </c>
      <c r="H19" s="270" t="s">
        <v>205</v>
      </c>
      <c r="I19" s="274" t="s">
        <v>187</v>
      </c>
      <c r="J19" s="274">
        <v>5760</v>
      </c>
      <c r="K19" s="274" t="s">
        <v>188</v>
      </c>
      <c r="L19" s="274"/>
      <c r="M19" s="270"/>
      <c r="N19" s="270"/>
    </row>
    <row r="20" spans="1:14" ht="15.75" customHeight="1">
      <c r="A20" s="270"/>
      <c r="B20" s="271">
        <v>4056631003473</v>
      </c>
      <c r="C20" s="270" t="s">
        <v>206</v>
      </c>
      <c r="D20" s="270" t="s">
        <v>205</v>
      </c>
      <c r="E20" s="272">
        <v>251120</v>
      </c>
      <c r="F20" s="273">
        <v>45981</v>
      </c>
      <c r="G20" s="273">
        <v>45343</v>
      </c>
      <c r="H20" s="270" t="s">
        <v>205</v>
      </c>
      <c r="I20" s="274" t="s">
        <v>187</v>
      </c>
      <c r="J20" s="274">
        <v>240</v>
      </c>
      <c r="K20" s="274" t="s">
        <v>188</v>
      </c>
      <c r="L20" s="274"/>
      <c r="M20" s="270"/>
      <c r="N20" s="270"/>
    </row>
    <row r="21" spans="1:14" ht="15.75" customHeight="1">
      <c r="A21" s="270"/>
      <c r="B21" s="271">
        <v>4056631003473</v>
      </c>
      <c r="C21" s="270" t="s">
        <v>206</v>
      </c>
      <c r="D21" s="270" t="s">
        <v>205</v>
      </c>
      <c r="E21" s="272">
        <v>251120</v>
      </c>
      <c r="F21" s="273">
        <v>45981</v>
      </c>
      <c r="G21" s="273">
        <v>45343</v>
      </c>
      <c r="H21" s="270" t="s">
        <v>205</v>
      </c>
      <c r="I21" s="274" t="s">
        <v>187</v>
      </c>
      <c r="J21" s="274">
        <v>21648</v>
      </c>
      <c r="K21" s="274" t="s">
        <v>207</v>
      </c>
      <c r="L21" s="274"/>
      <c r="M21" s="270"/>
      <c r="N21" s="270"/>
    </row>
    <row r="22" spans="1:14" ht="15.75" customHeight="1">
      <c r="A22" s="270"/>
      <c r="B22" s="271">
        <v>4056631003473</v>
      </c>
      <c r="C22" s="270" t="s">
        <v>206</v>
      </c>
      <c r="D22" s="270" t="s">
        <v>205</v>
      </c>
      <c r="E22" s="272">
        <v>251120</v>
      </c>
      <c r="F22" s="273">
        <v>45981</v>
      </c>
      <c r="G22" s="273">
        <v>45344</v>
      </c>
      <c r="H22" s="270" t="s">
        <v>205</v>
      </c>
      <c r="I22" s="274" t="s">
        <v>187</v>
      </c>
      <c r="J22" s="274">
        <v>9600</v>
      </c>
      <c r="K22" s="274" t="s">
        <v>195</v>
      </c>
      <c r="L22" s="274"/>
      <c r="M22" s="270"/>
      <c r="N22" s="270"/>
    </row>
    <row r="23" spans="1:14" ht="15.75" customHeight="1">
      <c r="A23" s="270"/>
      <c r="B23" s="271">
        <v>4056631001202</v>
      </c>
      <c r="C23" s="270" t="s">
        <v>193</v>
      </c>
      <c r="D23" s="270" t="s">
        <v>193</v>
      </c>
      <c r="E23" s="272">
        <v>241211</v>
      </c>
      <c r="F23" s="273">
        <v>45637</v>
      </c>
      <c r="G23" s="273">
        <v>45163</v>
      </c>
      <c r="H23" s="270" t="s">
        <v>193</v>
      </c>
      <c r="I23" s="274" t="s">
        <v>201</v>
      </c>
      <c r="J23" s="274">
        <v>10</v>
      </c>
      <c r="K23" s="274" t="s">
        <v>202</v>
      </c>
      <c r="L23" s="274"/>
      <c r="M23" s="270"/>
      <c r="N23" s="270"/>
    </row>
    <row r="24" spans="1:14" ht="15.75" customHeight="1">
      <c r="A24" s="270"/>
      <c r="B24" s="271">
        <v>4056631001202</v>
      </c>
      <c r="C24" s="270" t="s">
        <v>193</v>
      </c>
      <c r="D24" s="270" t="s">
        <v>193</v>
      </c>
      <c r="E24" s="272">
        <v>241211</v>
      </c>
      <c r="F24" s="273">
        <v>45637</v>
      </c>
      <c r="G24" s="273">
        <v>45166</v>
      </c>
      <c r="H24" s="270" t="s">
        <v>193</v>
      </c>
      <c r="I24" s="274" t="s">
        <v>187</v>
      </c>
      <c r="J24" s="274">
        <v>204</v>
      </c>
      <c r="K24" s="274" t="s">
        <v>195</v>
      </c>
      <c r="L24" s="274"/>
      <c r="M24" s="270"/>
      <c r="N24" s="270"/>
    </row>
    <row r="25" spans="1:14" ht="15.75" customHeight="1">
      <c r="A25" s="270"/>
      <c r="B25" s="271">
        <v>4056631001202</v>
      </c>
      <c r="C25" s="270" t="s">
        <v>193</v>
      </c>
      <c r="D25" s="270" t="s">
        <v>193</v>
      </c>
      <c r="E25" s="272">
        <v>241211</v>
      </c>
      <c r="F25" s="273">
        <v>45637</v>
      </c>
      <c r="G25" s="273">
        <v>45195</v>
      </c>
      <c r="H25" s="270" t="s">
        <v>193</v>
      </c>
      <c r="I25" s="274" t="s">
        <v>187</v>
      </c>
      <c r="J25" s="274">
        <v>280</v>
      </c>
      <c r="K25" s="274" t="s">
        <v>188</v>
      </c>
      <c r="L25" s="274"/>
      <c r="M25" s="270"/>
      <c r="N25" s="270"/>
    </row>
    <row r="26" spans="1:14" ht="15.75" customHeight="1">
      <c r="A26" s="270"/>
      <c r="B26" s="271">
        <v>4056631001202</v>
      </c>
      <c r="C26" s="270" t="s">
        <v>193</v>
      </c>
      <c r="D26" s="270" t="s">
        <v>193</v>
      </c>
      <c r="E26" s="272">
        <v>241211</v>
      </c>
      <c r="F26" s="273">
        <v>45637</v>
      </c>
      <c r="G26" s="273">
        <v>45195</v>
      </c>
      <c r="H26" s="270" t="s">
        <v>193</v>
      </c>
      <c r="I26" s="274" t="s">
        <v>187</v>
      </c>
      <c r="J26" s="274">
        <v>3230</v>
      </c>
      <c r="K26" s="274" t="s">
        <v>195</v>
      </c>
      <c r="L26" s="274"/>
      <c r="M26" s="270"/>
      <c r="N26" s="270"/>
    </row>
    <row r="27" spans="1:14" ht="15.75" customHeight="1">
      <c r="A27" s="270"/>
      <c r="B27" s="271">
        <v>4056631001202</v>
      </c>
      <c r="C27" s="270" t="s">
        <v>193</v>
      </c>
      <c r="D27" s="270" t="s">
        <v>193</v>
      </c>
      <c r="E27" s="272">
        <v>250402</v>
      </c>
      <c r="F27" s="273">
        <v>45749</v>
      </c>
      <c r="G27" s="273">
        <v>45309</v>
      </c>
      <c r="H27" s="270" t="s">
        <v>193</v>
      </c>
      <c r="I27" s="274" t="s">
        <v>187</v>
      </c>
      <c r="J27" s="274">
        <v>1620</v>
      </c>
      <c r="K27" s="274" t="s">
        <v>207</v>
      </c>
      <c r="L27" s="274"/>
      <c r="M27" s="270"/>
      <c r="N27" s="270"/>
    </row>
    <row r="28" spans="1:14" ht="15.75" customHeight="1">
      <c r="A28" s="270"/>
      <c r="B28" s="271">
        <v>4056631001226</v>
      </c>
      <c r="C28" s="270" t="s">
        <v>208</v>
      </c>
      <c r="D28" s="270" t="s">
        <v>196</v>
      </c>
      <c r="E28" s="272">
        <v>250710</v>
      </c>
      <c r="F28" s="273">
        <v>45848</v>
      </c>
      <c r="G28" s="273">
        <v>45421</v>
      </c>
      <c r="H28" s="270" t="s">
        <v>196</v>
      </c>
      <c r="I28" s="274" t="s">
        <v>187</v>
      </c>
      <c r="J28" s="274">
        <v>484</v>
      </c>
      <c r="K28" s="274" t="s">
        <v>192</v>
      </c>
      <c r="L28" s="274"/>
      <c r="M28" s="270"/>
      <c r="N28" s="270"/>
    </row>
    <row r="29" spans="1:14" ht="15.75" customHeight="1">
      <c r="A29" s="270"/>
      <c r="B29" s="271">
        <v>4056631001226</v>
      </c>
      <c r="C29" s="270" t="s">
        <v>208</v>
      </c>
      <c r="D29" s="270" t="s">
        <v>196</v>
      </c>
      <c r="E29" s="272">
        <v>250710</v>
      </c>
      <c r="F29" s="273">
        <v>45848</v>
      </c>
      <c r="G29" s="273">
        <v>45421</v>
      </c>
      <c r="H29" s="270" t="s">
        <v>196</v>
      </c>
      <c r="I29" s="274" t="s">
        <v>187</v>
      </c>
      <c r="J29" s="274">
        <v>4860</v>
      </c>
      <c r="K29" s="274" t="s">
        <v>195</v>
      </c>
      <c r="L29" s="274"/>
      <c r="M29" s="270"/>
      <c r="N29" s="270"/>
    </row>
    <row r="30" spans="1:14" ht="15.75" customHeight="1">
      <c r="A30" s="270"/>
      <c r="B30" s="271">
        <v>4056631001226</v>
      </c>
      <c r="C30" s="270" t="s">
        <v>208</v>
      </c>
      <c r="D30" s="270" t="s">
        <v>196</v>
      </c>
      <c r="E30" s="272">
        <v>250826</v>
      </c>
      <c r="F30" s="273">
        <v>45895</v>
      </c>
      <c r="G30" s="273">
        <v>45450</v>
      </c>
      <c r="H30" s="270" t="s">
        <v>196</v>
      </c>
      <c r="I30" s="274" t="s">
        <v>187</v>
      </c>
      <c r="J30" s="274">
        <v>5130</v>
      </c>
      <c r="K30" s="274" t="s">
        <v>207</v>
      </c>
      <c r="L30" s="274"/>
      <c r="M30" s="270"/>
      <c r="N30" s="270"/>
    </row>
    <row r="31" spans="1:14" ht="15.75" customHeight="1">
      <c r="A31" s="270"/>
      <c r="B31" s="271">
        <v>4056631001240</v>
      </c>
      <c r="C31" s="270" t="s">
        <v>209</v>
      </c>
      <c r="D31" s="270" t="s">
        <v>197</v>
      </c>
      <c r="E31" s="272">
        <v>241221</v>
      </c>
      <c r="F31" s="273">
        <v>45647</v>
      </c>
      <c r="G31" s="273">
        <v>45195</v>
      </c>
      <c r="H31" s="270" t="s">
        <v>197</v>
      </c>
      <c r="I31" s="274" t="s">
        <v>187</v>
      </c>
      <c r="J31" s="274">
        <v>1072</v>
      </c>
      <c r="K31" s="274" t="s">
        <v>188</v>
      </c>
      <c r="L31" s="274"/>
      <c r="M31" s="270"/>
      <c r="N31" s="270"/>
    </row>
    <row r="32" spans="1:14" ht="15.75" customHeight="1">
      <c r="A32" s="270"/>
      <c r="B32" s="271">
        <v>4056631001240</v>
      </c>
      <c r="C32" s="270" t="s">
        <v>209</v>
      </c>
      <c r="D32" s="270" t="s">
        <v>197</v>
      </c>
      <c r="E32" s="272">
        <v>241221</v>
      </c>
      <c r="F32" s="273">
        <v>45647</v>
      </c>
      <c r="G32" s="273">
        <v>45195</v>
      </c>
      <c r="H32" s="270" t="s">
        <v>197</v>
      </c>
      <c r="I32" s="274" t="s">
        <v>187</v>
      </c>
      <c r="J32" s="274">
        <v>207</v>
      </c>
      <c r="K32" s="274" t="s">
        <v>195</v>
      </c>
      <c r="L32" s="274"/>
      <c r="M32" s="270"/>
      <c r="N32" s="270"/>
    </row>
    <row r="33" spans="1:14" ht="15.75" customHeight="1">
      <c r="A33" s="270"/>
      <c r="B33" s="271">
        <v>4056631001240</v>
      </c>
      <c r="C33" s="270" t="s">
        <v>209</v>
      </c>
      <c r="D33" s="270" t="s">
        <v>197</v>
      </c>
      <c r="E33" s="272">
        <v>250403</v>
      </c>
      <c r="F33" s="273">
        <v>45750</v>
      </c>
      <c r="G33" s="273">
        <v>45309</v>
      </c>
      <c r="H33" s="270" t="s">
        <v>197</v>
      </c>
      <c r="I33" s="274" t="s">
        <v>187</v>
      </c>
      <c r="J33" s="274">
        <v>2430</v>
      </c>
      <c r="K33" s="274" t="s">
        <v>207</v>
      </c>
      <c r="L33" s="274"/>
      <c r="M33" s="270"/>
      <c r="N33" s="270"/>
    </row>
    <row r="34" spans="1:14" ht="15.75" customHeight="1">
      <c r="A34" s="270"/>
      <c r="B34" s="271">
        <v>4056631001264</v>
      </c>
      <c r="C34" s="270" t="s">
        <v>210</v>
      </c>
      <c r="D34" s="270" t="s">
        <v>198</v>
      </c>
      <c r="E34" s="274">
        <v>241221</v>
      </c>
      <c r="F34" s="273">
        <v>45647</v>
      </c>
      <c r="G34" s="273">
        <v>45195</v>
      </c>
      <c r="H34" s="270" t="s">
        <v>198</v>
      </c>
      <c r="I34" s="274" t="s">
        <v>187</v>
      </c>
      <c r="J34" s="274">
        <v>648</v>
      </c>
      <c r="K34" s="274" t="s">
        <v>188</v>
      </c>
      <c r="L34" s="274"/>
      <c r="M34" s="270"/>
      <c r="N34" s="270"/>
    </row>
    <row r="35" spans="1:14" ht="15.75" customHeight="1">
      <c r="A35" s="270"/>
      <c r="B35" s="271">
        <v>4056631001264</v>
      </c>
      <c r="C35" s="270" t="s">
        <v>210</v>
      </c>
      <c r="D35" s="270" t="s">
        <v>198</v>
      </c>
      <c r="E35" s="274">
        <v>250404</v>
      </c>
      <c r="F35" s="273">
        <v>45751</v>
      </c>
      <c r="G35" s="273">
        <v>45309</v>
      </c>
      <c r="H35" s="270" t="s">
        <v>198</v>
      </c>
      <c r="I35" s="274" t="s">
        <v>187</v>
      </c>
      <c r="J35" s="274">
        <v>540</v>
      </c>
      <c r="K35" s="274" t="s">
        <v>207</v>
      </c>
      <c r="L35" s="274"/>
      <c r="M35" s="270"/>
      <c r="N35" s="270"/>
    </row>
    <row r="36" spans="1:14" ht="15.75" customHeight="1">
      <c r="A36" s="270"/>
      <c r="B36" s="271">
        <v>4056631001264</v>
      </c>
      <c r="C36" s="270" t="s">
        <v>210</v>
      </c>
      <c r="D36" s="270" t="s">
        <v>198</v>
      </c>
      <c r="E36" s="274">
        <v>250820</v>
      </c>
      <c r="F36" s="273">
        <v>45889</v>
      </c>
      <c r="G36" s="273">
        <v>45450</v>
      </c>
      <c r="H36" s="270" t="s">
        <v>198</v>
      </c>
      <c r="I36" s="274" t="s">
        <v>187</v>
      </c>
      <c r="J36" s="274">
        <v>810</v>
      </c>
      <c r="K36" s="274" t="s">
        <v>207</v>
      </c>
      <c r="L36" s="278"/>
      <c r="M36" s="274"/>
      <c r="N36" s="270"/>
    </row>
    <row r="37" spans="1:14" ht="15">
      <c r="A37" s="279"/>
      <c r="B37" s="270">
        <v>4056631001264</v>
      </c>
      <c r="C37" s="270" t="s">
        <v>210</v>
      </c>
      <c r="D37" s="270" t="s">
        <v>198</v>
      </c>
      <c r="E37" s="274">
        <v>250820</v>
      </c>
      <c r="F37" s="273">
        <v>45889</v>
      </c>
      <c r="G37" s="273">
        <v>45450</v>
      </c>
      <c r="H37" s="270" t="s">
        <v>198</v>
      </c>
      <c r="I37" s="274" t="s">
        <v>187</v>
      </c>
      <c r="J37" s="274">
        <v>810</v>
      </c>
      <c r="K37" s="274" t="s">
        <v>207</v>
      </c>
      <c r="M37" s="104"/>
      <c r="N37" s="104"/>
    </row>
    <row r="38" spans="1:14" ht="12.75">
      <c r="B38" s="10"/>
      <c r="F38" s="280"/>
    </row>
    <row r="39" spans="1:14" ht="12.75">
      <c r="B39" s="10"/>
      <c r="F39" s="280"/>
    </row>
    <row r="40" spans="1:14" ht="12.75">
      <c r="B40" s="10"/>
      <c r="F40" s="280"/>
    </row>
    <row r="41" spans="1:14" ht="12.75">
      <c r="B41" s="10"/>
      <c r="F41" s="280"/>
    </row>
    <row r="42" spans="1:14" ht="12.75">
      <c r="B42" s="10"/>
      <c r="F42" s="280"/>
    </row>
    <row r="43" spans="1:14" ht="12.75">
      <c r="B43" s="10"/>
      <c r="F43" s="280"/>
    </row>
    <row r="44" spans="1:14" ht="12.75">
      <c r="B44" s="10"/>
      <c r="F44" s="280"/>
    </row>
    <row r="45" spans="1:14" ht="12.75">
      <c r="B45" s="10"/>
      <c r="F45" s="280"/>
    </row>
    <row r="46" spans="1:14" ht="12.75">
      <c r="B46" s="10"/>
      <c r="F46" s="280"/>
    </row>
    <row r="47" spans="1:14" ht="12.75">
      <c r="B47" s="10"/>
      <c r="F47" s="280"/>
    </row>
    <row r="48" spans="1:14" ht="12.75">
      <c r="B48" s="10"/>
      <c r="F48" s="280"/>
    </row>
    <row r="49" spans="2:6" ht="12.75">
      <c r="B49" s="10"/>
      <c r="F49" s="280"/>
    </row>
    <row r="50" spans="2:6" ht="12.75">
      <c r="B50" s="10"/>
      <c r="F50" s="280"/>
    </row>
    <row r="51" spans="2:6" ht="12.75">
      <c r="B51" s="10"/>
      <c r="F51" s="280"/>
    </row>
    <row r="52" spans="2:6" ht="12.75">
      <c r="B52" s="10"/>
      <c r="F52" s="280"/>
    </row>
    <row r="53" spans="2:6" ht="12.75">
      <c r="B53" s="10"/>
      <c r="F53" s="280"/>
    </row>
    <row r="54" spans="2:6" ht="12.75">
      <c r="B54" s="10"/>
      <c r="F54" s="280"/>
    </row>
    <row r="55" spans="2:6" ht="12.75">
      <c r="B55" s="10"/>
      <c r="F55" s="280"/>
    </row>
    <row r="56" spans="2:6" ht="12.75">
      <c r="B56" s="10"/>
      <c r="F56" s="280"/>
    </row>
    <row r="57" spans="2:6" ht="12.75">
      <c r="B57" s="10"/>
      <c r="F57" s="280"/>
    </row>
    <row r="58" spans="2:6" ht="12.75">
      <c r="B58" s="10"/>
      <c r="F58" s="280"/>
    </row>
    <row r="59" spans="2:6" ht="12.75">
      <c r="B59" s="10"/>
      <c r="F59" s="280"/>
    </row>
    <row r="60" spans="2:6" ht="12.75">
      <c r="B60" s="10"/>
      <c r="F60" s="280"/>
    </row>
    <row r="61" spans="2:6" ht="12.75">
      <c r="B61" s="10"/>
      <c r="F61" s="280"/>
    </row>
    <row r="62" spans="2:6" ht="12.75">
      <c r="B62" s="10"/>
      <c r="F62" s="280"/>
    </row>
    <row r="63" spans="2:6" ht="12.75">
      <c r="B63" s="10"/>
      <c r="F63" s="280"/>
    </row>
    <row r="64" spans="2:6" ht="12.75">
      <c r="B64" s="10"/>
      <c r="F64" s="280"/>
    </row>
    <row r="65" spans="2:6" ht="12.75">
      <c r="B65" s="10"/>
      <c r="F65" s="280"/>
    </row>
    <row r="66" spans="2:6" ht="12.75">
      <c r="B66" s="10"/>
      <c r="F66" s="280"/>
    </row>
    <row r="67" spans="2:6" ht="12.75">
      <c r="B67" s="10"/>
      <c r="F67" s="280"/>
    </row>
    <row r="68" spans="2:6" ht="12.75">
      <c r="B68" s="10"/>
      <c r="F68" s="280"/>
    </row>
    <row r="69" spans="2:6" ht="12.75">
      <c r="B69" s="10"/>
      <c r="F69" s="280"/>
    </row>
    <row r="70" spans="2:6" ht="12.75">
      <c r="B70" s="10"/>
      <c r="F70" s="280"/>
    </row>
    <row r="71" spans="2:6" ht="12.75">
      <c r="B71" s="10"/>
      <c r="F71" s="280"/>
    </row>
    <row r="72" spans="2:6" ht="12.75">
      <c r="B72" s="10"/>
      <c r="F72" s="280"/>
    </row>
    <row r="73" spans="2:6" ht="12.75">
      <c r="B73" s="10"/>
      <c r="F73" s="280"/>
    </row>
    <row r="74" spans="2:6" ht="12.75">
      <c r="B74" s="10"/>
      <c r="F74" s="280"/>
    </row>
    <row r="75" spans="2:6" ht="12.75">
      <c r="B75" s="10"/>
      <c r="F75" s="280"/>
    </row>
    <row r="76" spans="2:6" ht="12.75">
      <c r="B76" s="10"/>
      <c r="F76" s="280"/>
    </row>
    <row r="77" spans="2:6" ht="12.75">
      <c r="B77" s="10"/>
      <c r="F77" s="280"/>
    </row>
    <row r="78" spans="2:6" ht="12.75">
      <c r="B78" s="10"/>
      <c r="F78" s="280"/>
    </row>
    <row r="79" spans="2:6" ht="12.75">
      <c r="B79" s="10"/>
      <c r="F79" s="280"/>
    </row>
    <row r="80" spans="2:6" ht="12.75">
      <c r="B80" s="10"/>
      <c r="F80" s="280"/>
    </row>
    <row r="81" spans="2:6" ht="12.75">
      <c r="B81" s="10"/>
      <c r="F81" s="280"/>
    </row>
    <row r="82" spans="2:6" ht="12.75">
      <c r="B82" s="10"/>
      <c r="F82" s="280"/>
    </row>
    <row r="83" spans="2:6" ht="12.75">
      <c r="B83" s="10"/>
      <c r="F83" s="280"/>
    </row>
    <row r="84" spans="2:6" ht="12.75">
      <c r="B84" s="10"/>
      <c r="F84" s="280"/>
    </row>
    <row r="85" spans="2:6" ht="12.75">
      <c r="B85" s="10"/>
      <c r="F85" s="280"/>
    </row>
    <row r="86" spans="2:6" ht="12.75">
      <c r="B86" s="10"/>
      <c r="F86" s="280"/>
    </row>
    <row r="87" spans="2:6" ht="12.75">
      <c r="B87" s="10"/>
      <c r="F87" s="280"/>
    </row>
    <row r="88" spans="2:6" ht="12.75">
      <c r="B88" s="10"/>
      <c r="F88" s="280"/>
    </row>
    <row r="89" spans="2:6" ht="12.75">
      <c r="B89" s="10"/>
      <c r="F89" s="280"/>
    </row>
    <row r="90" spans="2:6" ht="12.75">
      <c r="B90" s="10"/>
      <c r="F90" s="280"/>
    </row>
    <row r="91" spans="2:6" ht="12.75">
      <c r="B91" s="10"/>
      <c r="F91" s="280"/>
    </row>
    <row r="92" spans="2:6" ht="12.75">
      <c r="B92" s="10"/>
      <c r="F92" s="280"/>
    </row>
    <row r="93" spans="2:6" ht="12.75">
      <c r="B93" s="10"/>
      <c r="F93" s="280"/>
    </row>
    <row r="94" spans="2:6" ht="12.75">
      <c r="B94" s="10"/>
      <c r="F94" s="280"/>
    </row>
    <row r="95" spans="2:6" ht="12.75">
      <c r="B95" s="10"/>
      <c r="F95" s="280"/>
    </row>
    <row r="96" spans="2:6" ht="12.75">
      <c r="B96" s="10"/>
      <c r="F96" s="280"/>
    </row>
    <row r="97" spans="2:6" ht="12.75">
      <c r="B97" s="10"/>
      <c r="F97" s="280"/>
    </row>
    <row r="98" spans="2:6" ht="12.75">
      <c r="B98" s="10"/>
      <c r="F98" s="280"/>
    </row>
    <row r="99" spans="2:6" ht="12.75">
      <c r="B99" s="10"/>
      <c r="F99" s="280"/>
    </row>
    <row r="100" spans="2:6" ht="12.75">
      <c r="B100" s="10"/>
      <c r="F100" s="280"/>
    </row>
    <row r="101" spans="2:6" ht="12.75">
      <c r="B101" s="10"/>
      <c r="F101" s="280"/>
    </row>
    <row r="102" spans="2:6" ht="12.75">
      <c r="B102" s="10"/>
      <c r="F102" s="280"/>
    </row>
    <row r="103" spans="2:6" ht="12.75">
      <c r="B103" s="10"/>
      <c r="F103" s="280"/>
    </row>
    <row r="104" spans="2:6" ht="12.75">
      <c r="B104" s="10"/>
      <c r="F104" s="280"/>
    </row>
    <row r="105" spans="2:6" ht="12.75">
      <c r="B105" s="10"/>
      <c r="F105" s="280"/>
    </row>
    <row r="106" spans="2:6" ht="12.75">
      <c r="B106" s="10"/>
      <c r="F106" s="280"/>
    </row>
    <row r="107" spans="2:6" ht="12.75">
      <c r="B107" s="10"/>
      <c r="F107" s="280"/>
    </row>
    <row r="108" spans="2:6" ht="12.75">
      <c r="B108" s="10"/>
      <c r="F108" s="280"/>
    </row>
    <row r="109" spans="2:6" ht="12.75">
      <c r="B109" s="10"/>
      <c r="F109" s="280"/>
    </row>
    <row r="110" spans="2:6" ht="12.75">
      <c r="B110" s="10"/>
      <c r="F110" s="280"/>
    </row>
    <row r="111" spans="2:6" ht="12.75">
      <c r="B111" s="10"/>
      <c r="F111" s="280"/>
    </row>
    <row r="112" spans="2:6" ht="12.75">
      <c r="B112" s="10"/>
      <c r="F112" s="280"/>
    </row>
    <row r="113" spans="2:6" ht="12.75">
      <c r="B113" s="10"/>
      <c r="F113" s="280"/>
    </row>
    <row r="114" spans="2:6" ht="12.75">
      <c r="B114" s="10"/>
      <c r="F114" s="280"/>
    </row>
    <row r="115" spans="2:6" ht="12.75">
      <c r="B115" s="10"/>
      <c r="F115" s="280"/>
    </row>
    <row r="116" spans="2:6" ht="12.75">
      <c r="B116" s="10"/>
      <c r="F116" s="280"/>
    </row>
    <row r="117" spans="2:6" ht="12.75">
      <c r="B117" s="10"/>
      <c r="F117" s="280"/>
    </row>
    <row r="118" spans="2:6" ht="12.75">
      <c r="B118" s="10"/>
      <c r="F118" s="280"/>
    </row>
    <row r="119" spans="2:6" ht="12.75">
      <c r="B119" s="10"/>
      <c r="F119" s="280"/>
    </row>
    <row r="120" spans="2:6" ht="12.75">
      <c r="B120" s="10"/>
      <c r="F120" s="280"/>
    </row>
    <row r="121" spans="2:6" ht="12.75">
      <c r="B121" s="10"/>
      <c r="F121" s="280"/>
    </row>
    <row r="122" spans="2:6" ht="12.75">
      <c r="B122" s="10"/>
      <c r="F122" s="280"/>
    </row>
    <row r="123" spans="2:6" ht="12.75">
      <c r="B123" s="10"/>
      <c r="F123" s="280"/>
    </row>
    <row r="124" spans="2:6" ht="12.75">
      <c r="B124" s="10"/>
      <c r="F124" s="280"/>
    </row>
    <row r="125" spans="2:6" ht="12.75">
      <c r="B125" s="10"/>
      <c r="F125" s="280"/>
    </row>
    <row r="126" spans="2:6" ht="12.75">
      <c r="B126" s="10"/>
      <c r="F126" s="280"/>
    </row>
    <row r="127" spans="2:6" ht="12.75">
      <c r="B127" s="10"/>
      <c r="F127" s="280"/>
    </row>
    <row r="128" spans="2:6" ht="12.75">
      <c r="B128" s="10"/>
      <c r="F128" s="280"/>
    </row>
    <row r="129" spans="2:6" ht="12.75">
      <c r="B129" s="10"/>
      <c r="F129" s="280"/>
    </row>
    <row r="130" spans="2:6" ht="12.75">
      <c r="B130" s="10"/>
      <c r="F130" s="280"/>
    </row>
    <row r="131" spans="2:6" ht="12.75">
      <c r="B131" s="10"/>
      <c r="F131" s="280"/>
    </row>
    <row r="132" spans="2:6" ht="12.75">
      <c r="B132" s="10"/>
      <c r="F132" s="280"/>
    </row>
    <row r="133" spans="2:6" ht="12.75">
      <c r="B133" s="10"/>
      <c r="F133" s="280"/>
    </row>
    <row r="134" spans="2:6" ht="12.75">
      <c r="B134" s="10"/>
      <c r="F134" s="280"/>
    </row>
    <row r="135" spans="2:6" ht="12.75">
      <c r="B135" s="10"/>
      <c r="F135" s="280"/>
    </row>
    <row r="136" spans="2:6" ht="12.75">
      <c r="B136" s="10"/>
      <c r="F136" s="280"/>
    </row>
    <row r="137" spans="2:6" ht="12.75">
      <c r="B137" s="10"/>
      <c r="F137" s="280"/>
    </row>
    <row r="138" spans="2:6" ht="12.75">
      <c r="B138" s="10"/>
      <c r="F138" s="280"/>
    </row>
    <row r="139" spans="2:6" ht="12.75">
      <c r="B139" s="10"/>
      <c r="F139" s="280"/>
    </row>
    <row r="140" spans="2:6" ht="12.75">
      <c r="B140" s="10"/>
      <c r="F140" s="280"/>
    </row>
    <row r="141" spans="2:6" ht="12.75">
      <c r="B141" s="10"/>
      <c r="F141" s="280"/>
    </row>
    <row r="142" spans="2:6" ht="12.75">
      <c r="B142" s="10"/>
      <c r="F142" s="280"/>
    </row>
    <row r="143" spans="2:6" ht="12.75">
      <c r="B143" s="10"/>
      <c r="F143" s="280"/>
    </row>
    <row r="144" spans="2:6" ht="12.75">
      <c r="B144" s="10"/>
      <c r="F144" s="280"/>
    </row>
    <row r="145" spans="2:6" ht="12.75">
      <c r="B145" s="10"/>
      <c r="F145" s="280"/>
    </row>
    <row r="146" spans="2:6" ht="12.75">
      <c r="B146" s="10"/>
      <c r="F146" s="280"/>
    </row>
    <row r="147" spans="2:6" ht="12.75">
      <c r="B147" s="10"/>
      <c r="F147" s="280"/>
    </row>
    <row r="148" spans="2:6" ht="12.75">
      <c r="B148" s="10"/>
      <c r="F148" s="280"/>
    </row>
    <row r="149" spans="2:6" ht="12.75">
      <c r="B149" s="10"/>
      <c r="F149" s="280"/>
    </row>
    <row r="150" spans="2:6" ht="12.75">
      <c r="B150" s="10"/>
      <c r="F150" s="280"/>
    </row>
    <row r="151" spans="2:6" ht="12.75">
      <c r="B151" s="10"/>
      <c r="F151" s="280"/>
    </row>
    <row r="152" spans="2:6" ht="12.75">
      <c r="B152" s="10"/>
      <c r="F152" s="280"/>
    </row>
    <row r="153" spans="2:6" ht="12.75">
      <c r="B153" s="10"/>
      <c r="F153" s="280"/>
    </row>
    <row r="154" spans="2:6" ht="12.75">
      <c r="B154" s="10"/>
      <c r="F154" s="280"/>
    </row>
    <row r="155" spans="2:6" ht="12.75">
      <c r="B155" s="10"/>
      <c r="F155" s="280"/>
    </row>
    <row r="156" spans="2:6" ht="12.75">
      <c r="B156" s="10"/>
      <c r="F156" s="280"/>
    </row>
    <row r="157" spans="2:6" ht="12.75">
      <c r="B157" s="10"/>
      <c r="F157" s="280"/>
    </row>
    <row r="158" spans="2:6" ht="12.75">
      <c r="B158" s="10"/>
      <c r="F158" s="280"/>
    </row>
    <row r="159" spans="2:6" ht="12.75">
      <c r="B159" s="10"/>
      <c r="F159" s="280"/>
    </row>
    <row r="160" spans="2:6" ht="12.75">
      <c r="B160" s="10"/>
      <c r="F160" s="280"/>
    </row>
    <row r="161" spans="2:6" ht="12.75">
      <c r="B161" s="10"/>
      <c r="F161" s="280"/>
    </row>
    <row r="162" spans="2:6" ht="12.75">
      <c r="B162" s="10"/>
      <c r="F162" s="280"/>
    </row>
    <row r="163" spans="2:6" ht="12.75">
      <c r="B163" s="10"/>
      <c r="F163" s="280"/>
    </row>
    <row r="164" spans="2:6" ht="12.75">
      <c r="B164" s="10"/>
      <c r="F164" s="280"/>
    </row>
    <row r="165" spans="2:6" ht="12.75">
      <c r="B165" s="10"/>
      <c r="F165" s="280"/>
    </row>
    <row r="166" spans="2:6" ht="12.75">
      <c r="B166" s="10"/>
      <c r="F166" s="280"/>
    </row>
    <row r="167" spans="2:6" ht="12.75">
      <c r="B167" s="10"/>
      <c r="F167" s="280"/>
    </row>
    <row r="168" spans="2:6" ht="12.75">
      <c r="B168" s="10"/>
      <c r="F168" s="280"/>
    </row>
    <row r="169" spans="2:6" ht="12.75">
      <c r="B169" s="10"/>
      <c r="F169" s="280"/>
    </row>
    <row r="170" spans="2:6" ht="12.75">
      <c r="B170" s="10"/>
      <c r="F170" s="280"/>
    </row>
    <row r="171" spans="2:6" ht="12.75">
      <c r="B171" s="10"/>
      <c r="F171" s="280"/>
    </row>
    <row r="172" spans="2:6" ht="12.75">
      <c r="B172" s="10"/>
      <c r="F172" s="280"/>
    </row>
    <row r="173" spans="2:6" ht="12.75">
      <c r="B173" s="10"/>
      <c r="F173" s="280"/>
    </row>
    <row r="174" spans="2:6" ht="12.75">
      <c r="B174" s="10"/>
      <c r="F174" s="280"/>
    </row>
    <row r="175" spans="2:6" ht="12.75">
      <c r="B175" s="10"/>
      <c r="F175" s="280"/>
    </row>
    <row r="176" spans="2:6" ht="12.75">
      <c r="B176" s="10"/>
      <c r="F176" s="280"/>
    </row>
    <row r="177" spans="2:6" ht="12.75">
      <c r="B177" s="10"/>
      <c r="F177" s="280"/>
    </row>
    <row r="178" spans="2:6" ht="12.75">
      <c r="B178" s="10"/>
      <c r="F178" s="280"/>
    </row>
    <row r="179" spans="2:6" ht="12.75">
      <c r="B179" s="10"/>
      <c r="F179" s="280"/>
    </row>
    <row r="180" spans="2:6" ht="12.75">
      <c r="B180" s="10"/>
      <c r="F180" s="280"/>
    </row>
    <row r="181" spans="2:6" ht="12.75">
      <c r="B181" s="10"/>
      <c r="F181" s="280"/>
    </row>
    <row r="182" spans="2:6" ht="12.75">
      <c r="B182" s="10"/>
      <c r="F182" s="280"/>
    </row>
    <row r="183" spans="2:6" ht="12.75">
      <c r="B183" s="10"/>
      <c r="F183" s="280"/>
    </row>
    <row r="184" spans="2:6" ht="12.75">
      <c r="B184" s="10"/>
      <c r="F184" s="280"/>
    </row>
    <row r="185" spans="2:6" ht="12.75">
      <c r="B185" s="10"/>
      <c r="F185" s="280"/>
    </row>
    <row r="186" spans="2:6" ht="12.75">
      <c r="B186" s="10"/>
      <c r="F186" s="280"/>
    </row>
    <row r="187" spans="2:6" ht="12.75">
      <c r="B187" s="10"/>
      <c r="F187" s="280"/>
    </row>
    <row r="188" spans="2:6" ht="12.75">
      <c r="B188" s="10"/>
      <c r="F188" s="280"/>
    </row>
    <row r="189" spans="2:6" ht="12.75">
      <c r="B189" s="10"/>
      <c r="F189" s="280"/>
    </row>
    <row r="190" spans="2:6" ht="12.75">
      <c r="B190" s="10"/>
      <c r="F190" s="280"/>
    </row>
    <row r="191" spans="2:6" ht="12.75">
      <c r="B191" s="10"/>
      <c r="F191" s="280"/>
    </row>
    <row r="192" spans="2:6" ht="12.75">
      <c r="B192" s="10"/>
      <c r="F192" s="280"/>
    </row>
    <row r="193" spans="2:6" ht="12.75">
      <c r="B193" s="10"/>
      <c r="F193" s="280"/>
    </row>
    <row r="194" spans="2:6" ht="12.75">
      <c r="B194" s="10"/>
      <c r="F194" s="280"/>
    </row>
    <row r="195" spans="2:6" ht="12.75">
      <c r="B195" s="10"/>
      <c r="F195" s="280"/>
    </row>
    <row r="196" spans="2:6" ht="12.75">
      <c r="B196" s="10"/>
      <c r="F196" s="280"/>
    </row>
    <row r="197" spans="2:6" ht="12.75">
      <c r="B197" s="10"/>
      <c r="F197" s="280"/>
    </row>
    <row r="198" spans="2:6" ht="12.75">
      <c r="B198" s="10"/>
      <c r="F198" s="280"/>
    </row>
    <row r="199" spans="2:6" ht="12.75">
      <c r="B199" s="10"/>
      <c r="F199" s="280"/>
    </row>
    <row r="200" spans="2:6" ht="12.75">
      <c r="B200" s="10"/>
      <c r="F200" s="280"/>
    </row>
    <row r="201" spans="2:6" ht="12.75">
      <c r="B201" s="10"/>
      <c r="F201" s="280"/>
    </row>
    <row r="202" spans="2:6" ht="12.75">
      <c r="B202" s="10"/>
      <c r="F202" s="280"/>
    </row>
    <row r="203" spans="2:6" ht="12.75">
      <c r="B203" s="10"/>
      <c r="F203" s="280"/>
    </row>
    <row r="204" spans="2:6" ht="12.75">
      <c r="B204" s="10"/>
      <c r="F204" s="280"/>
    </row>
    <row r="205" spans="2:6" ht="12.75">
      <c r="B205" s="10"/>
      <c r="F205" s="280"/>
    </row>
    <row r="206" spans="2:6" ht="12.75">
      <c r="B206" s="10"/>
      <c r="F206" s="280"/>
    </row>
    <row r="207" spans="2:6" ht="12.75">
      <c r="B207" s="10"/>
      <c r="F207" s="280"/>
    </row>
    <row r="208" spans="2:6" ht="12.75">
      <c r="B208" s="10"/>
      <c r="F208" s="280"/>
    </row>
    <row r="209" spans="2:6" ht="12.75">
      <c r="B209" s="10"/>
      <c r="F209" s="280"/>
    </row>
    <row r="210" spans="2:6" ht="12.75">
      <c r="B210" s="10"/>
      <c r="F210" s="280"/>
    </row>
    <row r="211" spans="2:6" ht="12.75">
      <c r="B211" s="10"/>
      <c r="F211" s="280"/>
    </row>
    <row r="212" spans="2:6" ht="12.75">
      <c r="B212" s="10"/>
      <c r="F212" s="280"/>
    </row>
    <row r="213" spans="2:6" ht="12.75">
      <c r="B213" s="10"/>
      <c r="F213" s="280"/>
    </row>
    <row r="214" spans="2:6" ht="12.75">
      <c r="B214" s="10"/>
      <c r="F214" s="280"/>
    </row>
    <row r="215" spans="2:6" ht="12.75">
      <c r="B215" s="10"/>
      <c r="F215" s="280"/>
    </row>
    <row r="216" spans="2:6" ht="12.75">
      <c r="B216" s="10"/>
      <c r="F216" s="280"/>
    </row>
    <row r="217" spans="2:6" ht="12.75">
      <c r="B217" s="10"/>
      <c r="F217" s="280"/>
    </row>
    <row r="218" spans="2:6" ht="12.75">
      <c r="B218" s="10"/>
      <c r="F218" s="280"/>
    </row>
    <row r="219" spans="2:6" ht="12.75">
      <c r="B219" s="10"/>
      <c r="F219" s="280"/>
    </row>
    <row r="220" spans="2:6" ht="12.75">
      <c r="B220" s="10"/>
      <c r="F220" s="280"/>
    </row>
    <row r="221" spans="2:6" ht="12.75">
      <c r="B221" s="10"/>
      <c r="F221" s="280"/>
    </row>
    <row r="222" spans="2:6" ht="12.75">
      <c r="B222" s="10"/>
      <c r="F222" s="280"/>
    </row>
    <row r="223" spans="2:6" ht="12.75">
      <c r="B223" s="10"/>
      <c r="F223" s="280"/>
    </row>
    <row r="224" spans="2:6" ht="12.75">
      <c r="B224" s="10"/>
      <c r="F224" s="280"/>
    </row>
    <row r="225" spans="2:6" ht="12.75">
      <c r="B225" s="10"/>
      <c r="F225" s="280"/>
    </row>
    <row r="226" spans="2:6" ht="12.75">
      <c r="B226" s="10"/>
      <c r="F226" s="280"/>
    </row>
    <row r="227" spans="2:6" ht="12.75">
      <c r="B227" s="10"/>
      <c r="F227" s="280"/>
    </row>
    <row r="228" spans="2:6" ht="12.75">
      <c r="B228" s="10"/>
      <c r="F228" s="280"/>
    </row>
    <row r="229" spans="2:6" ht="12.75">
      <c r="B229" s="10"/>
      <c r="F229" s="280"/>
    </row>
    <row r="230" spans="2:6" ht="12.75">
      <c r="B230" s="10"/>
      <c r="F230" s="280"/>
    </row>
    <row r="231" spans="2:6" ht="12.75">
      <c r="B231" s="10"/>
      <c r="F231" s="280"/>
    </row>
    <row r="232" spans="2:6" ht="12.75">
      <c r="B232" s="10"/>
      <c r="F232" s="280"/>
    </row>
    <row r="233" spans="2:6" ht="12.75">
      <c r="B233" s="10"/>
      <c r="F233" s="280"/>
    </row>
    <row r="234" spans="2:6" ht="12.75">
      <c r="B234" s="10"/>
      <c r="F234" s="280"/>
    </row>
    <row r="235" spans="2:6" ht="12.75">
      <c r="B235" s="10"/>
      <c r="F235" s="280"/>
    </row>
    <row r="236" spans="2:6" ht="12.75">
      <c r="B236" s="10"/>
      <c r="F236" s="280"/>
    </row>
    <row r="237" spans="2:6" ht="12.75">
      <c r="B237" s="10"/>
      <c r="F237" s="280"/>
    </row>
    <row r="238" spans="2:6" ht="12.75">
      <c r="B238" s="10"/>
      <c r="F238" s="280"/>
    </row>
    <row r="239" spans="2:6" ht="12.75">
      <c r="B239" s="10"/>
      <c r="F239" s="280"/>
    </row>
    <row r="240" spans="2:6" ht="12.75">
      <c r="B240" s="10"/>
      <c r="F240" s="280"/>
    </row>
    <row r="241" spans="2:6" ht="12.75">
      <c r="B241" s="10"/>
      <c r="F241" s="280"/>
    </row>
    <row r="242" spans="2:6" ht="12.75">
      <c r="B242" s="10"/>
      <c r="F242" s="280"/>
    </row>
    <row r="243" spans="2:6" ht="12.75">
      <c r="B243" s="10"/>
      <c r="F243" s="280"/>
    </row>
    <row r="244" spans="2:6" ht="12.75">
      <c r="B244" s="10"/>
      <c r="F244" s="280"/>
    </row>
    <row r="245" spans="2:6" ht="12.75">
      <c r="B245" s="10"/>
      <c r="F245" s="280"/>
    </row>
    <row r="246" spans="2:6" ht="12.75">
      <c r="B246" s="10"/>
      <c r="F246" s="280"/>
    </row>
    <row r="247" spans="2:6" ht="12.75">
      <c r="B247" s="10"/>
      <c r="F247" s="280"/>
    </row>
    <row r="248" spans="2:6" ht="12.75">
      <c r="B248" s="10"/>
      <c r="F248" s="280"/>
    </row>
    <row r="249" spans="2:6" ht="12.75">
      <c r="B249" s="10"/>
      <c r="F249" s="280"/>
    </row>
    <row r="250" spans="2:6" ht="12.75">
      <c r="B250" s="10"/>
      <c r="F250" s="280"/>
    </row>
    <row r="251" spans="2:6" ht="12.75">
      <c r="B251" s="10"/>
      <c r="F251" s="280"/>
    </row>
    <row r="252" spans="2:6" ht="12.75">
      <c r="B252" s="10"/>
      <c r="F252" s="280"/>
    </row>
    <row r="253" spans="2:6" ht="12.75">
      <c r="B253" s="10"/>
      <c r="F253" s="280"/>
    </row>
    <row r="254" spans="2:6" ht="12.75">
      <c r="B254" s="10"/>
      <c r="F254" s="280"/>
    </row>
    <row r="255" spans="2:6" ht="12.75">
      <c r="B255" s="10"/>
      <c r="F255" s="280"/>
    </row>
    <row r="256" spans="2:6" ht="12.75">
      <c r="B256" s="10"/>
      <c r="F256" s="280"/>
    </row>
    <row r="257" spans="2:6" ht="12.75">
      <c r="B257" s="10"/>
      <c r="F257" s="280"/>
    </row>
    <row r="258" spans="2:6" ht="12.75">
      <c r="B258" s="10"/>
      <c r="F258" s="280"/>
    </row>
    <row r="259" spans="2:6" ht="12.75">
      <c r="B259" s="10"/>
      <c r="F259" s="280"/>
    </row>
    <row r="260" spans="2:6" ht="12.75">
      <c r="B260" s="10"/>
      <c r="F260" s="280"/>
    </row>
    <row r="261" spans="2:6" ht="12.75">
      <c r="B261" s="10"/>
      <c r="F261" s="280"/>
    </row>
    <row r="262" spans="2:6" ht="12.75">
      <c r="B262" s="10"/>
      <c r="F262" s="280"/>
    </row>
    <row r="263" spans="2:6" ht="12.75">
      <c r="B263" s="10"/>
      <c r="F263" s="280"/>
    </row>
    <row r="264" spans="2:6" ht="12.75">
      <c r="B264" s="10"/>
      <c r="F264" s="280"/>
    </row>
    <row r="265" spans="2:6" ht="12.75">
      <c r="B265" s="10"/>
      <c r="F265" s="280"/>
    </row>
    <row r="266" spans="2:6" ht="12.75">
      <c r="B266" s="10"/>
      <c r="F266" s="280"/>
    </row>
    <row r="267" spans="2:6" ht="12.75">
      <c r="B267" s="10"/>
      <c r="F267" s="280"/>
    </row>
    <row r="268" spans="2:6" ht="12.75">
      <c r="B268" s="10"/>
      <c r="F268" s="280"/>
    </row>
    <row r="269" spans="2:6" ht="12.75">
      <c r="B269" s="10"/>
      <c r="F269" s="280"/>
    </row>
    <row r="270" spans="2:6" ht="12.75">
      <c r="B270" s="10"/>
      <c r="F270" s="280"/>
    </row>
    <row r="271" spans="2:6" ht="12.75">
      <c r="B271" s="10"/>
      <c r="F271" s="280"/>
    </row>
    <row r="272" spans="2:6" ht="12.75">
      <c r="B272" s="10"/>
      <c r="F272" s="280"/>
    </row>
    <row r="273" spans="2:6" ht="12.75">
      <c r="B273" s="10"/>
      <c r="F273" s="280"/>
    </row>
    <row r="274" spans="2:6" ht="12.75">
      <c r="B274" s="10"/>
      <c r="F274" s="280"/>
    </row>
    <row r="275" spans="2:6" ht="12.75">
      <c r="B275" s="10"/>
      <c r="F275" s="280"/>
    </row>
    <row r="276" spans="2:6" ht="12.75">
      <c r="B276" s="10"/>
      <c r="F276" s="280"/>
    </row>
    <row r="277" spans="2:6" ht="12.75">
      <c r="B277" s="10"/>
      <c r="F277" s="280"/>
    </row>
    <row r="278" spans="2:6" ht="12.75">
      <c r="B278" s="10"/>
      <c r="F278" s="280"/>
    </row>
    <row r="279" spans="2:6" ht="12.75">
      <c r="B279" s="10"/>
      <c r="F279" s="280"/>
    </row>
    <row r="280" spans="2:6" ht="12.75">
      <c r="B280" s="10"/>
      <c r="F280" s="280"/>
    </row>
    <row r="281" spans="2:6" ht="12.75">
      <c r="B281" s="10"/>
      <c r="F281" s="280"/>
    </row>
    <row r="282" spans="2:6" ht="12.75">
      <c r="B282" s="10"/>
      <c r="F282" s="280"/>
    </row>
    <row r="283" spans="2:6" ht="12.75">
      <c r="B283" s="10"/>
      <c r="F283" s="280"/>
    </row>
    <row r="284" spans="2:6" ht="12.75">
      <c r="B284" s="10"/>
      <c r="F284" s="280"/>
    </row>
    <row r="285" spans="2:6" ht="12.75">
      <c r="B285" s="10"/>
      <c r="F285" s="280"/>
    </row>
    <row r="286" spans="2:6" ht="12.75">
      <c r="B286" s="10"/>
      <c r="F286" s="280"/>
    </row>
    <row r="287" spans="2:6" ht="12.75">
      <c r="B287" s="10"/>
      <c r="F287" s="280"/>
    </row>
    <row r="288" spans="2:6" ht="12.75">
      <c r="B288" s="10"/>
      <c r="F288" s="280"/>
    </row>
    <row r="289" spans="2:6" ht="12.75">
      <c r="B289" s="10"/>
      <c r="F289" s="280"/>
    </row>
    <row r="290" spans="2:6" ht="12.75">
      <c r="B290" s="10"/>
      <c r="F290" s="280"/>
    </row>
    <row r="291" spans="2:6" ht="12.75">
      <c r="B291" s="10"/>
      <c r="F291" s="280"/>
    </row>
    <row r="292" spans="2:6" ht="12.75">
      <c r="B292" s="10"/>
      <c r="F292" s="280"/>
    </row>
    <row r="293" spans="2:6" ht="12.75">
      <c r="B293" s="10"/>
      <c r="F293" s="280"/>
    </row>
    <row r="294" spans="2:6" ht="12.75">
      <c r="B294" s="10"/>
      <c r="F294" s="280"/>
    </row>
    <row r="295" spans="2:6" ht="12.75">
      <c r="B295" s="10"/>
      <c r="F295" s="280"/>
    </row>
    <row r="296" spans="2:6" ht="12.75">
      <c r="B296" s="10"/>
      <c r="F296" s="280"/>
    </row>
    <row r="297" spans="2:6" ht="12.75">
      <c r="B297" s="10"/>
      <c r="F297" s="280"/>
    </row>
    <row r="298" spans="2:6" ht="12.75">
      <c r="B298" s="10"/>
      <c r="F298" s="280"/>
    </row>
    <row r="299" spans="2:6" ht="12.75">
      <c r="B299" s="10"/>
      <c r="F299" s="280"/>
    </row>
    <row r="300" spans="2:6" ht="12.75">
      <c r="B300" s="10"/>
      <c r="F300" s="280"/>
    </row>
    <row r="301" spans="2:6" ht="12.75">
      <c r="B301" s="10"/>
      <c r="F301" s="280"/>
    </row>
    <row r="302" spans="2:6" ht="12.75">
      <c r="B302" s="10"/>
      <c r="F302" s="280"/>
    </row>
    <row r="303" spans="2:6" ht="12.75">
      <c r="B303" s="10"/>
      <c r="F303" s="280"/>
    </row>
    <row r="304" spans="2:6" ht="12.75">
      <c r="B304" s="10"/>
      <c r="F304" s="280"/>
    </row>
    <row r="305" spans="2:6" ht="12.75">
      <c r="B305" s="10"/>
      <c r="F305" s="280"/>
    </row>
    <row r="306" spans="2:6" ht="12.75">
      <c r="B306" s="10"/>
      <c r="F306" s="280"/>
    </row>
    <row r="307" spans="2:6" ht="12.75">
      <c r="B307" s="10"/>
      <c r="F307" s="280"/>
    </row>
    <row r="308" spans="2:6" ht="12.75">
      <c r="B308" s="10"/>
      <c r="F308" s="280"/>
    </row>
    <row r="309" spans="2:6" ht="12.75">
      <c r="B309" s="10"/>
      <c r="F309" s="280"/>
    </row>
    <row r="310" spans="2:6" ht="12.75">
      <c r="B310" s="10"/>
      <c r="F310" s="280"/>
    </row>
    <row r="311" spans="2:6" ht="12.75">
      <c r="B311" s="10"/>
      <c r="F311" s="280"/>
    </row>
    <row r="312" spans="2:6" ht="12.75">
      <c r="B312" s="10"/>
      <c r="F312" s="280"/>
    </row>
    <row r="313" spans="2:6" ht="12.75">
      <c r="B313" s="10"/>
      <c r="F313" s="280"/>
    </row>
    <row r="314" spans="2:6" ht="12.75">
      <c r="B314" s="10"/>
      <c r="F314" s="280"/>
    </row>
    <row r="315" spans="2:6" ht="12.75">
      <c r="B315" s="10"/>
      <c r="F315" s="280"/>
    </row>
    <row r="316" spans="2:6" ht="12.75">
      <c r="B316" s="10"/>
      <c r="F316" s="280"/>
    </row>
    <row r="317" spans="2:6" ht="12.75">
      <c r="B317" s="10"/>
      <c r="F317" s="280"/>
    </row>
    <row r="318" spans="2:6" ht="12.75">
      <c r="B318" s="10"/>
      <c r="F318" s="280"/>
    </row>
    <row r="319" spans="2:6" ht="12.75">
      <c r="B319" s="10"/>
      <c r="F319" s="280"/>
    </row>
    <row r="320" spans="2:6" ht="12.75">
      <c r="B320" s="10"/>
      <c r="F320" s="280"/>
    </row>
    <row r="321" spans="2:6" ht="12.75">
      <c r="B321" s="10"/>
      <c r="F321" s="280"/>
    </row>
    <row r="322" spans="2:6" ht="12.75">
      <c r="B322" s="10"/>
      <c r="F322" s="280"/>
    </row>
    <row r="323" spans="2:6" ht="12.75">
      <c r="B323" s="10"/>
      <c r="F323" s="280"/>
    </row>
    <row r="324" spans="2:6" ht="12.75">
      <c r="B324" s="10"/>
      <c r="F324" s="280"/>
    </row>
    <row r="325" spans="2:6" ht="12.75">
      <c r="B325" s="10"/>
      <c r="F325" s="280"/>
    </row>
    <row r="326" spans="2:6" ht="12.75">
      <c r="B326" s="10"/>
      <c r="F326" s="280"/>
    </row>
    <row r="327" spans="2:6" ht="12.75">
      <c r="B327" s="10"/>
      <c r="F327" s="280"/>
    </row>
    <row r="328" spans="2:6" ht="12.75">
      <c r="B328" s="10"/>
      <c r="F328" s="280"/>
    </row>
    <row r="329" spans="2:6" ht="12.75">
      <c r="B329" s="10"/>
      <c r="F329" s="280"/>
    </row>
    <row r="330" spans="2:6" ht="12.75">
      <c r="B330" s="10"/>
      <c r="F330" s="280"/>
    </row>
    <row r="331" spans="2:6" ht="12.75">
      <c r="B331" s="10"/>
      <c r="F331" s="280"/>
    </row>
    <row r="332" spans="2:6" ht="12.75">
      <c r="B332" s="10"/>
      <c r="F332" s="280"/>
    </row>
    <row r="333" spans="2:6" ht="12.75">
      <c r="B333" s="10"/>
      <c r="F333" s="280"/>
    </row>
    <row r="334" spans="2:6" ht="12.75">
      <c r="B334" s="10"/>
      <c r="F334" s="280"/>
    </row>
    <row r="335" spans="2:6" ht="12.75">
      <c r="B335" s="10"/>
      <c r="F335" s="280"/>
    </row>
    <row r="336" spans="2:6" ht="12.75">
      <c r="B336" s="10"/>
      <c r="F336" s="280"/>
    </row>
    <row r="337" spans="2:6" ht="12.75">
      <c r="B337" s="10"/>
      <c r="F337" s="280"/>
    </row>
    <row r="338" spans="2:6" ht="12.75">
      <c r="B338" s="10"/>
      <c r="F338" s="280"/>
    </row>
    <row r="339" spans="2:6" ht="12.75">
      <c r="B339" s="10"/>
      <c r="F339" s="280"/>
    </row>
    <row r="340" spans="2:6" ht="12.75">
      <c r="B340" s="10"/>
      <c r="F340" s="280"/>
    </row>
    <row r="341" spans="2:6" ht="12.75">
      <c r="B341" s="10"/>
      <c r="F341" s="280"/>
    </row>
    <row r="342" spans="2:6" ht="12.75">
      <c r="B342" s="10"/>
      <c r="F342" s="280"/>
    </row>
    <row r="343" spans="2:6" ht="12.75">
      <c r="B343" s="10"/>
      <c r="F343" s="280"/>
    </row>
    <row r="344" spans="2:6" ht="12.75">
      <c r="B344" s="10"/>
      <c r="F344" s="280"/>
    </row>
    <row r="345" spans="2:6" ht="12.75">
      <c r="B345" s="10"/>
      <c r="F345" s="280"/>
    </row>
    <row r="346" spans="2:6" ht="12.75">
      <c r="B346" s="10"/>
      <c r="F346" s="280"/>
    </row>
    <row r="347" spans="2:6" ht="12.75">
      <c r="B347" s="10"/>
      <c r="F347" s="280"/>
    </row>
    <row r="348" spans="2:6" ht="12.75">
      <c r="B348" s="10"/>
      <c r="F348" s="280"/>
    </row>
    <row r="349" spans="2:6" ht="12.75">
      <c r="B349" s="10"/>
      <c r="F349" s="280"/>
    </row>
    <row r="350" spans="2:6" ht="12.75">
      <c r="B350" s="10"/>
      <c r="F350" s="280"/>
    </row>
    <row r="351" spans="2:6" ht="12.75">
      <c r="B351" s="10"/>
      <c r="F351" s="280"/>
    </row>
    <row r="352" spans="2:6" ht="12.75">
      <c r="B352" s="10"/>
      <c r="F352" s="280"/>
    </row>
    <row r="353" spans="2:6" ht="12.75">
      <c r="B353" s="10"/>
      <c r="F353" s="280"/>
    </row>
    <row r="354" spans="2:6" ht="12.75">
      <c r="B354" s="10"/>
      <c r="F354" s="280"/>
    </row>
    <row r="355" spans="2:6" ht="12.75">
      <c r="B355" s="10"/>
      <c r="F355" s="280"/>
    </row>
    <row r="356" spans="2:6" ht="12.75">
      <c r="B356" s="10"/>
      <c r="F356" s="280"/>
    </row>
    <row r="357" spans="2:6" ht="12.75">
      <c r="B357" s="10"/>
      <c r="F357" s="280"/>
    </row>
    <row r="358" spans="2:6" ht="12.75">
      <c r="B358" s="10"/>
      <c r="F358" s="280"/>
    </row>
    <row r="359" spans="2:6" ht="12.75">
      <c r="B359" s="10"/>
      <c r="F359" s="280"/>
    </row>
    <row r="360" spans="2:6" ht="12.75">
      <c r="B360" s="10"/>
      <c r="F360" s="280"/>
    </row>
    <row r="361" spans="2:6" ht="12.75">
      <c r="B361" s="10"/>
      <c r="F361" s="280"/>
    </row>
    <row r="362" spans="2:6" ht="12.75">
      <c r="B362" s="10"/>
      <c r="F362" s="280"/>
    </row>
    <row r="363" spans="2:6" ht="12.75">
      <c r="B363" s="10"/>
      <c r="F363" s="280"/>
    </row>
    <row r="364" spans="2:6" ht="12.75">
      <c r="B364" s="10"/>
      <c r="F364" s="280"/>
    </row>
    <row r="365" spans="2:6" ht="12.75">
      <c r="B365" s="10"/>
      <c r="F365" s="280"/>
    </row>
    <row r="366" spans="2:6" ht="12.75">
      <c r="B366" s="10"/>
      <c r="F366" s="280"/>
    </row>
    <row r="367" spans="2:6" ht="12.75">
      <c r="B367" s="10"/>
      <c r="F367" s="280"/>
    </row>
    <row r="368" spans="2:6" ht="12.75">
      <c r="B368" s="10"/>
      <c r="F368" s="280"/>
    </row>
    <row r="369" spans="2:6" ht="12.75">
      <c r="B369" s="10"/>
      <c r="F369" s="280"/>
    </row>
    <row r="370" spans="2:6" ht="12.75">
      <c r="B370" s="10"/>
      <c r="F370" s="280"/>
    </row>
    <row r="371" spans="2:6" ht="12.75">
      <c r="B371" s="10"/>
      <c r="F371" s="280"/>
    </row>
    <row r="372" spans="2:6" ht="12.75">
      <c r="B372" s="10"/>
      <c r="F372" s="280"/>
    </row>
    <row r="373" spans="2:6" ht="12.75">
      <c r="B373" s="10"/>
      <c r="F373" s="280"/>
    </row>
    <row r="374" spans="2:6" ht="12.75">
      <c r="B374" s="10"/>
      <c r="F374" s="280"/>
    </row>
    <row r="375" spans="2:6" ht="12.75">
      <c r="B375" s="10"/>
      <c r="F375" s="280"/>
    </row>
    <row r="376" spans="2:6" ht="12.75">
      <c r="B376" s="10"/>
      <c r="F376" s="280"/>
    </row>
    <row r="377" spans="2:6" ht="12.75">
      <c r="B377" s="10"/>
      <c r="F377" s="280"/>
    </row>
    <row r="378" spans="2:6" ht="12.75">
      <c r="B378" s="10"/>
      <c r="F378" s="280"/>
    </row>
    <row r="379" spans="2:6" ht="12.75">
      <c r="B379" s="10"/>
      <c r="F379" s="280"/>
    </row>
    <row r="380" spans="2:6" ht="12.75">
      <c r="B380" s="10"/>
      <c r="F380" s="280"/>
    </row>
    <row r="381" spans="2:6" ht="12.75">
      <c r="B381" s="10"/>
      <c r="F381" s="280"/>
    </row>
    <row r="382" spans="2:6" ht="12.75">
      <c r="B382" s="10"/>
      <c r="F382" s="280"/>
    </row>
    <row r="383" spans="2:6" ht="12.75">
      <c r="B383" s="10"/>
      <c r="F383" s="280"/>
    </row>
    <row r="384" spans="2:6" ht="12.75">
      <c r="B384" s="10"/>
      <c r="F384" s="280"/>
    </row>
    <row r="385" spans="2:6" ht="12.75">
      <c r="B385" s="10"/>
      <c r="F385" s="280"/>
    </row>
    <row r="386" spans="2:6" ht="12.75">
      <c r="B386" s="10"/>
      <c r="F386" s="280"/>
    </row>
    <row r="387" spans="2:6" ht="12.75">
      <c r="B387" s="10"/>
      <c r="F387" s="280"/>
    </row>
    <row r="388" spans="2:6" ht="12.75">
      <c r="B388" s="10"/>
      <c r="F388" s="280"/>
    </row>
    <row r="389" spans="2:6" ht="12.75">
      <c r="B389" s="10"/>
      <c r="F389" s="280"/>
    </row>
    <row r="390" spans="2:6" ht="12.75">
      <c r="B390" s="10"/>
      <c r="F390" s="280"/>
    </row>
    <row r="391" spans="2:6" ht="12.75">
      <c r="B391" s="10"/>
      <c r="F391" s="280"/>
    </row>
    <row r="392" spans="2:6" ht="12.75">
      <c r="B392" s="10"/>
      <c r="F392" s="280"/>
    </row>
    <row r="393" spans="2:6" ht="12.75">
      <c r="B393" s="10"/>
      <c r="F393" s="280"/>
    </row>
    <row r="394" spans="2:6" ht="12.75">
      <c r="B394" s="10"/>
      <c r="F394" s="280"/>
    </row>
    <row r="395" spans="2:6" ht="12.75">
      <c r="B395" s="10"/>
      <c r="F395" s="280"/>
    </row>
    <row r="396" spans="2:6" ht="12.75">
      <c r="B396" s="10"/>
      <c r="F396" s="280"/>
    </row>
    <row r="397" spans="2:6" ht="12.75">
      <c r="B397" s="10"/>
      <c r="F397" s="280"/>
    </row>
    <row r="398" spans="2:6" ht="12.75">
      <c r="B398" s="10"/>
      <c r="F398" s="280"/>
    </row>
    <row r="399" spans="2:6" ht="12.75">
      <c r="B399" s="10"/>
      <c r="F399" s="280"/>
    </row>
    <row r="400" spans="2:6" ht="12.75">
      <c r="B400" s="10"/>
      <c r="F400" s="280"/>
    </row>
    <row r="401" spans="2:6" ht="12.75">
      <c r="B401" s="10"/>
      <c r="F401" s="280"/>
    </row>
    <row r="402" spans="2:6" ht="12.75">
      <c r="B402" s="10"/>
      <c r="F402" s="280"/>
    </row>
    <row r="403" spans="2:6" ht="12.75">
      <c r="B403" s="10"/>
      <c r="F403" s="280"/>
    </row>
    <row r="404" spans="2:6" ht="12.75">
      <c r="B404" s="10"/>
      <c r="F404" s="280"/>
    </row>
    <row r="405" spans="2:6" ht="12.75">
      <c r="B405" s="10"/>
      <c r="F405" s="280"/>
    </row>
    <row r="406" spans="2:6" ht="12.75">
      <c r="B406" s="10"/>
      <c r="F406" s="280"/>
    </row>
    <row r="407" spans="2:6" ht="12.75">
      <c r="B407" s="10"/>
      <c r="F407" s="280"/>
    </row>
    <row r="408" spans="2:6" ht="12.75">
      <c r="B408" s="10"/>
      <c r="F408" s="280"/>
    </row>
    <row r="409" spans="2:6" ht="12.75">
      <c r="B409" s="10"/>
      <c r="F409" s="280"/>
    </row>
    <row r="410" spans="2:6" ht="12.75">
      <c r="B410" s="10"/>
      <c r="F410" s="280"/>
    </row>
    <row r="411" spans="2:6" ht="12.75">
      <c r="B411" s="10"/>
      <c r="F411" s="280"/>
    </row>
    <row r="412" spans="2:6" ht="12.75">
      <c r="B412" s="10"/>
      <c r="F412" s="280"/>
    </row>
    <row r="413" spans="2:6" ht="12.75">
      <c r="B413" s="10"/>
      <c r="F413" s="280"/>
    </row>
    <row r="414" spans="2:6" ht="12.75">
      <c r="B414" s="10"/>
      <c r="F414" s="280"/>
    </row>
    <row r="415" spans="2:6" ht="12.75">
      <c r="B415" s="10"/>
      <c r="F415" s="280"/>
    </row>
    <row r="416" spans="2:6" ht="12.75">
      <c r="B416" s="10"/>
      <c r="F416" s="280"/>
    </row>
    <row r="417" spans="2:6" ht="12.75">
      <c r="B417" s="10"/>
      <c r="F417" s="280"/>
    </row>
    <row r="418" spans="2:6" ht="12.75">
      <c r="B418" s="10"/>
      <c r="F418" s="280"/>
    </row>
    <row r="419" spans="2:6" ht="12.75">
      <c r="B419" s="10"/>
      <c r="F419" s="280"/>
    </row>
    <row r="420" spans="2:6" ht="12.75">
      <c r="B420" s="10"/>
      <c r="F420" s="280"/>
    </row>
    <row r="421" spans="2:6" ht="12.75">
      <c r="B421" s="10"/>
      <c r="F421" s="280"/>
    </row>
    <row r="422" spans="2:6" ht="12.75">
      <c r="B422" s="10"/>
      <c r="F422" s="280"/>
    </row>
    <row r="423" spans="2:6" ht="12.75">
      <c r="B423" s="10"/>
      <c r="F423" s="280"/>
    </row>
    <row r="424" spans="2:6" ht="12.75">
      <c r="B424" s="10"/>
      <c r="F424" s="280"/>
    </row>
    <row r="425" spans="2:6" ht="12.75">
      <c r="B425" s="10"/>
      <c r="F425" s="280"/>
    </row>
    <row r="426" spans="2:6" ht="12.75">
      <c r="B426" s="10"/>
      <c r="F426" s="280"/>
    </row>
    <row r="427" spans="2:6" ht="12.75">
      <c r="B427" s="10"/>
      <c r="F427" s="280"/>
    </row>
    <row r="428" spans="2:6" ht="12.75">
      <c r="B428" s="10"/>
      <c r="F428" s="280"/>
    </row>
    <row r="429" spans="2:6" ht="12.75">
      <c r="B429" s="10"/>
      <c r="F429" s="280"/>
    </row>
    <row r="430" spans="2:6" ht="12.75">
      <c r="B430" s="10"/>
      <c r="F430" s="280"/>
    </row>
    <row r="431" spans="2:6" ht="12.75">
      <c r="B431" s="10"/>
      <c r="F431" s="280"/>
    </row>
    <row r="432" spans="2:6" ht="12.75">
      <c r="B432" s="10"/>
      <c r="F432" s="280"/>
    </row>
    <row r="433" spans="2:6" ht="12.75">
      <c r="B433" s="10"/>
      <c r="F433" s="280"/>
    </row>
    <row r="434" spans="2:6" ht="12.75">
      <c r="B434" s="10"/>
      <c r="F434" s="280"/>
    </row>
    <row r="435" spans="2:6" ht="12.75">
      <c r="B435" s="10"/>
      <c r="F435" s="280"/>
    </row>
    <row r="436" spans="2:6" ht="12.75">
      <c r="B436" s="10"/>
      <c r="F436" s="280"/>
    </row>
    <row r="437" spans="2:6" ht="12.75">
      <c r="B437" s="10"/>
      <c r="F437" s="280"/>
    </row>
    <row r="438" spans="2:6" ht="12.75">
      <c r="B438" s="10"/>
      <c r="F438" s="280"/>
    </row>
    <row r="439" spans="2:6" ht="12.75">
      <c r="B439" s="10"/>
      <c r="F439" s="280"/>
    </row>
    <row r="440" spans="2:6" ht="12.75">
      <c r="B440" s="10"/>
      <c r="F440" s="280"/>
    </row>
    <row r="441" spans="2:6" ht="12.75">
      <c r="B441" s="10"/>
      <c r="F441" s="280"/>
    </row>
    <row r="442" spans="2:6" ht="12.75">
      <c r="B442" s="10"/>
      <c r="F442" s="280"/>
    </row>
    <row r="443" spans="2:6" ht="12.75">
      <c r="B443" s="10"/>
      <c r="F443" s="280"/>
    </row>
    <row r="444" spans="2:6" ht="12.75">
      <c r="B444" s="10"/>
      <c r="F444" s="280"/>
    </row>
    <row r="445" spans="2:6" ht="12.75">
      <c r="B445" s="10"/>
      <c r="F445" s="280"/>
    </row>
    <row r="446" spans="2:6" ht="12.75">
      <c r="B446" s="10"/>
      <c r="F446" s="280"/>
    </row>
    <row r="447" spans="2:6" ht="12.75">
      <c r="B447" s="10"/>
      <c r="F447" s="280"/>
    </row>
    <row r="448" spans="2:6" ht="12.75">
      <c r="B448" s="10"/>
      <c r="F448" s="280"/>
    </row>
    <row r="449" spans="2:6" ht="12.75">
      <c r="B449" s="10"/>
      <c r="F449" s="280"/>
    </row>
    <row r="450" spans="2:6" ht="12.75">
      <c r="B450" s="10"/>
      <c r="F450" s="280"/>
    </row>
    <row r="451" spans="2:6" ht="12.75">
      <c r="B451" s="10"/>
      <c r="F451" s="280"/>
    </row>
    <row r="452" spans="2:6" ht="12.75">
      <c r="B452" s="10"/>
      <c r="F452" s="280"/>
    </row>
    <row r="453" spans="2:6" ht="12.75">
      <c r="B453" s="10"/>
      <c r="F453" s="280"/>
    </row>
    <row r="454" spans="2:6" ht="12.75">
      <c r="B454" s="10"/>
      <c r="F454" s="280"/>
    </row>
    <row r="455" spans="2:6" ht="12.75">
      <c r="B455" s="10"/>
      <c r="F455" s="280"/>
    </row>
    <row r="456" spans="2:6" ht="12.75">
      <c r="B456" s="10"/>
      <c r="F456" s="280"/>
    </row>
    <row r="457" spans="2:6" ht="12.75">
      <c r="B457" s="10"/>
      <c r="F457" s="280"/>
    </row>
    <row r="458" spans="2:6" ht="12.75">
      <c r="B458" s="10"/>
      <c r="F458" s="280"/>
    </row>
    <row r="459" spans="2:6" ht="12.75">
      <c r="B459" s="10"/>
      <c r="F459" s="280"/>
    </row>
    <row r="460" spans="2:6" ht="12.75">
      <c r="B460" s="10"/>
      <c r="F460" s="280"/>
    </row>
    <row r="461" spans="2:6" ht="12.75">
      <c r="B461" s="10"/>
      <c r="F461" s="280"/>
    </row>
    <row r="462" spans="2:6" ht="12.75">
      <c r="B462" s="10"/>
      <c r="F462" s="280"/>
    </row>
    <row r="463" spans="2:6" ht="12.75">
      <c r="B463" s="10"/>
      <c r="F463" s="280"/>
    </row>
    <row r="464" spans="2:6" ht="12.75">
      <c r="B464" s="10"/>
      <c r="F464" s="280"/>
    </row>
    <row r="465" spans="2:6" ht="12.75">
      <c r="B465" s="10"/>
      <c r="F465" s="280"/>
    </row>
    <row r="466" spans="2:6" ht="12.75">
      <c r="B466" s="10"/>
      <c r="F466" s="280"/>
    </row>
    <row r="467" spans="2:6" ht="12.75">
      <c r="B467" s="10"/>
      <c r="F467" s="280"/>
    </row>
    <row r="468" spans="2:6" ht="12.75">
      <c r="B468" s="10"/>
      <c r="F468" s="280"/>
    </row>
    <row r="469" spans="2:6" ht="12.75">
      <c r="B469" s="10"/>
      <c r="F469" s="280"/>
    </row>
    <row r="470" spans="2:6" ht="12.75">
      <c r="B470" s="10"/>
      <c r="F470" s="280"/>
    </row>
    <row r="471" spans="2:6" ht="12.75">
      <c r="B471" s="10"/>
      <c r="F471" s="280"/>
    </row>
    <row r="472" spans="2:6" ht="12.75">
      <c r="B472" s="10"/>
      <c r="F472" s="280"/>
    </row>
    <row r="473" spans="2:6" ht="12.75">
      <c r="B473" s="10"/>
      <c r="F473" s="280"/>
    </row>
    <row r="474" spans="2:6" ht="12.75">
      <c r="B474" s="10"/>
      <c r="F474" s="280"/>
    </row>
    <row r="475" spans="2:6" ht="12.75">
      <c r="B475" s="10"/>
      <c r="F475" s="280"/>
    </row>
    <row r="476" spans="2:6" ht="12.75">
      <c r="B476" s="10"/>
      <c r="F476" s="280"/>
    </row>
    <row r="477" spans="2:6" ht="12.75">
      <c r="B477" s="10"/>
      <c r="F477" s="280"/>
    </row>
    <row r="478" spans="2:6" ht="12.75">
      <c r="B478" s="10"/>
      <c r="F478" s="280"/>
    </row>
    <row r="479" spans="2:6" ht="12.75">
      <c r="B479" s="10"/>
      <c r="F479" s="280"/>
    </row>
    <row r="480" spans="2:6" ht="12.75">
      <c r="B480" s="10"/>
      <c r="F480" s="280"/>
    </row>
    <row r="481" spans="2:6" ht="12.75">
      <c r="B481" s="10"/>
      <c r="F481" s="280"/>
    </row>
    <row r="482" spans="2:6" ht="12.75">
      <c r="B482" s="10"/>
      <c r="F482" s="280"/>
    </row>
    <row r="483" spans="2:6" ht="12.75">
      <c r="B483" s="10"/>
      <c r="F483" s="280"/>
    </row>
    <row r="484" spans="2:6" ht="12.75">
      <c r="B484" s="10"/>
      <c r="F484" s="280"/>
    </row>
    <row r="485" spans="2:6" ht="12.75">
      <c r="B485" s="10"/>
      <c r="F485" s="280"/>
    </row>
    <row r="486" spans="2:6" ht="12.75">
      <c r="B486" s="10"/>
      <c r="F486" s="280"/>
    </row>
    <row r="487" spans="2:6" ht="12.75">
      <c r="B487" s="10"/>
      <c r="F487" s="280"/>
    </row>
    <row r="488" spans="2:6" ht="12.75">
      <c r="B488" s="10"/>
      <c r="F488" s="280"/>
    </row>
    <row r="489" spans="2:6" ht="12.75">
      <c r="B489" s="10"/>
      <c r="F489" s="280"/>
    </row>
    <row r="490" spans="2:6" ht="12.75">
      <c r="B490" s="10"/>
      <c r="F490" s="280"/>
    </row>
    <row r="491" spans="2:6" ht="12.75">
      <c r="B491" s="10"/>
      <c r="F491" s="280"/>
    </row>
    <row r="492" spans="2:6" ht="12.75">
      <c r="B492" s="10"/>
      <c r="F492" s="280"/>
    </row>
    <row r="493" spans="2:6" ht="12.75">
      <c r="B493" s="10"/>
      <c r="F493" s="280"/>
    </row>
    <row r="494" spans="2:6" ht="12.75">
      <c r="B494" s="10"/>
      <c r="F494" s="280"/>
    </row>
    <row r="495" spans="2:6" ht="12.75">
      <c r="B495" s="10"/>
      <c r="F495" s="280"/>
    </row>
    <row r="496" spans="2:6" ht="12.75">
      <c r="B496" s="10"/>
      <c r="F496" s="280"/>
    </row>
    <row r="497" spans="2:6" ht="12.75">
      <c r="B497" s="10"/>
      <c r="F497" s="280"/>
    </row>
    <row r="498" spans="2:6" ht="12.75">
      <c r="B498" s="10"/>
      <c r="F498" s="280"/>
    </row>
    <row r="499" spans="2:6" ht="12.75">
      <c r="B499" s="10"/>
      <c r="F499" s="280"/>
    </row>
    <row r="500" spans="2:6" ht="12.75">
      <c r="B500" s="10"/>
      <c r="F500" s="280"/>
    </row>
    <row r="501" spans="2:6" ht="12.75">
      <c r="B501" s="10"/>
      <c r="F501" s="280"/>
    </row>
    <row r="502" spans="2:6" ht="12.75">
      <c r="B502" s="10"/>
      <c r="F502" s="280"/>
    </row>
    <row r="503" spans="2:6" ht="12.75">
      <c r="B503" s="10"/>
      <c r="F503" s="280"/>
    </row>
    <row r="504" spans="2:6" ht="12.75">
      <c r="B504" s="10"/>
      <c r="F504" s="280"/>
    </row>
    <row r="505" spans="2:6" ht="12.75">
      <c r="B505" s="10"/>
      <c r="F505" s="280"/>
    </row>
    <row r="506" spans="2:6" ht="12.75">
      <c r="B506" s="10"/>
      <c r="F506" s="280"/>
    </row>
    <row r="507" spans="2:6" ht="12.75">
      <c r="B507" s="10"/>
      <c r="F507" s="280"/>
    </row>
    <row r="508" spans="2:6" ht="12.75">
      <c r="B508" s="10"/>
      <c r="F508" s="280"/>
    </row>
    <row r="509" spans="2:6" ht="12.75">
      <c r="B509" s="10"/>
      <c r="F509" s="280"/>
    </row>
    <row r="510" spans="2:6" ht="12.75">
      <c r="B510" s="10"/>
      <c r="F510" s="280"/>
    </row>
    <row r="511" spans="2:6" ht="12.75">
      <c r="B511" s="10"/>
      <c r="F511" s="280"/>
    </row>
    <row r="512" spans="2:6" ht="12.75">
      <c r="B512" s="10"/>
      <c r="F512" s="280"/>
    </row>
    <row r="513" spans="2:6" ht="12.75">
      <c r="B513" s="10"/>
      <c r="F513" s="280"/>
    </row>
    <row r="514" spans="2:6" ht="12.75">
      <c r="B514" s="10"/>
      <c r="F514" s="280"/>
    </row>
    <row r="515" spans="2:6" ht="12.75">
      <c r="B515" s="10"/>
      <c r="F515" s="280"/>
    </row>
    <row r="516" spans="2:6" ht="12.75">
      <c r="B516" s="10"/>
      <c r="F516" s="280"/>
    </row>
    <row r="517" spans="2:6" ht="12.75">
      <c r="B517" s="10"/>
      <c r="F517" s="280"/>
    </row>
    <row r="518" spans="2:6" ht="12.75">
      <c r="B518" s="10"/>
      <c r="F518" s="280"/>
    </row>
    <row r="519" spans="2:6" ht="12.75">
      <c r="B519" s="10"/>
      <c r="F519" s="280"/>
    </row>
    <row r="520" spans="2:6" ht="12.75">
      <c r="B520" s="10"/>
      <c r="F520" s="280"/>
    </row>
    <row r="521" spans="2:6" ht="12.75">
      <c r="B521" s="10"/>
      <c r="F521" s="280"/>
    </row>
    <row r="522" spans="2:6" ht="12.75">
      <c r="B522" s="10"/>
      <c r="F522" s="280"/>
    </row>
    <row r="523" spans="2:6" ht="12.75">
      <c r="B523" s="10"/>
      <c r="F523" s="280"/>
    </row>
    <row r="524" spans="2:6" ht="12.75">
      <c r="B524" s="10"/>
      <c r="F524" s="280"/>
    </row>
    <row r="525" spans="2:6" ht="12.75">
      <c r="B525" s="10"/>
      <c r="F525" s="280"/>
    </row>
    <row r="526" spans="2:6" ht="12.75">
      <c r="B526" s="10"/>
      <c r="F526" s="280"/>
    </row>
    <row r="527" spans="2:6" ht="12.75">
      <c r="B527" s="10"/>
      <c r="F527" s="280"/>
    </row>
    <row r="528" spans="2:6" ht="12.75">
      <c r="B528" s="10"/>
      <c r="F528" s="280"/>
    </row>
    <row r="529" spans="2:6" ht="12.75">
      <c r="B529" s="10"/>
      <c r="F529" s="280"/>
    </row>
    <row r="530" spans="2:6" ht="12.75">
      <c r="B530" s="10"/>
      <c r="F530" s="280"/>
    </row>
    <row r="531" spans="2:6" ht="12.75">
      <c r="B531" s="10"/>
      <c r="F531" s="280"/>
    </row>
    <row r="532" spans="2:6" ht="12.75">
      <c r="B532" s="10"/>
      <c r="F532" s="280"/>
    </row>
    <row r="533" spans="2:6" ht="12.75">
      <c r="B533" s="10"/>
      <c r="F533" s="280"/>
    </row>
    <row r="534" spans="2:6" ht="12.75">
      <c r="B534" s="10"/>
      <c r="F534" s="280"/>
    </row>
    <row r="535" spans="2:6" ht="12.75">
      <c r="B535" s="10"/>
      <c r="F535" s="280"/>
    </row>
    <row r="536" spans="2:6" ht="12.75">
      <c r="B536" s="10"/>
      <c r="F536" s="280"/>
    </row>
    <row r="537" spans="2:6" ht="12.75">
      <c r="B537" s="10"/>
      <c r="F537" s="280"/>
    </row>
    <row r="538" spans="2:6" ht="12.75">
      <c r="B538" s="10"/>
      <c r="F538" s="280"/>
    </row>
    <row r="539" spans="2:6" ht="12.75">
      <c r="B539" s="10"/>
      <c r="F539" s="280"/>
    </row>
    <row r="540" spans="2:6" ht="12.75">
      <c r="B540" s="10"/>
      <c r="F540" s="280"/>
    </row>
    <row r="541" spans="2:6" ht="12.75">
      <c r="B541" s="10"/>
      <c r="F541" s="280"/>
    </row>
    <row r="542" spans="2:6" ht="12.75">
      <c r="B542" s="10"/>
      <c r="F542" s="280"/>
    </row>
    <row r="543" spans="2:6" ht="12.75">
      <c r="B543" s="10"/>
      <c r="F543" s="280"/>
    </row>
    <row r="544" spans="2:6" ht="12.75">
      <c r="B544" s="10"/>
      <c r="F544" s="280"/>
    </row>
    <row r="545" spans="2:6" ht="12.75">
      <c r="B545" s="10"/>
      <c r="F545" s="280"/>
    </row>
    <row r="546" spans="2:6" ht="12.75">
      <c r="B546" s="10"/>
      <c r="F546" s="280"/>
    </row>
    <row r="547" spans="2:6" ht="12.75">
      <c r="B547" s="10"/>
      <c r="F547" s="280"/>
    </row>
    <row r="548" spans="2:6" ht="12.75">
      <c r="B548" s="10"/>
      <c r="F548" s="280"/>
    </row>
    <row r="549" spans="2:6" ht="12.75">
      <c r="B549" s="10"/>
      <c r="F549" s="280"/>
    </row>
    <row r="550" spans="2:6" ht="12.75">
      <c r="B550" s="10"/>
      <c r="F550" s="280"/>
    </row>
    <row r="551" spans="2:6" ht="12.75">
      <c r="B551" s="10"/>
      <c r="F551" s="280"/>
    </row>
    <row r="552" spans="2:6" ht="12.75">
      <c r="B552" s="10"/>
      <c r="F552" s="280"/>
    </row>
    <row r="553" spans="2:6" ht="12.75">
      <c r="B553" s="10"/>
      <c r="F553" s="280"/>
    </row>
    <row r="554" spans="2:6" ht="12.75">
      <c r="B554" s="10"/>
      <c r="F554" s="280"/>
    </row>
    <row r="555" spans="2:6" ht="12.75">
      <c r="B555" s="10"/>
      <c r="F555" s="280"/>
    </row>
    <row r="556" spans="2:6" ht="12.75">
      <c r="B556" s="10"/>
      <c r="F556" s="280"/>
    </row>
    <row r="557" spans="2:6" ht="12.75">
      <c r="B557" s="10"/>
      <c r="F557" s="280"/>
    </row>
    <row r="558" spans="2:6" ht="12.75">
      <c r="B558" s="10"/>
      <c r="F558" s="280"/>
    </row>
    <row r="559" spans="2:6" ht="12.75">
      <c r="B559" s="10"/>
      <c r="F559" s="280"/>
    </row>
    <row r="560" spans="2:6" ht="12.75">
      <c r="B560" s="10"/>
      <c r="F560" s="280"/>
    </row>
    <row r="561" spans="2:6" ht="12.75">
      <c r="B561" s="10"/>
      <c r="F561" s="280"/>
    </row>
    <row r="562" spans="2:6" ht="12.75">
      <c r="B562" s="10"/>
      <c r="F562" s="280"/>
    </row>
    <row r="563" spans="2:6" ht="12.75">
      <c r="B563" s="10"/>
      <c r="F563" s="280"/>
    </row>
    <row r="564" spans="2:6" ht="12.75">
      <c r="B564" s="10"/>
      <c r="F564" s="280"/>
    </row>
    <row r="565" spans="2:6" ht="12.75">
      <c r="B565" s="10"/>
      <c r="F565" s="280"/>
    </row>
    <row r="566" spans="2:6" ht="12.75">
      <c r="B566" s="10"/>
      <c r="F566" s="280"/>
    </row>
    <row r="567" spans="2:6" ht="12.75">
      <c r="B567" s="10"/>
      <c r="F567" s="280"/>
    </row>
    <row r="568" spans="2:6" ht="12.75">
      <c r="B568" s="10"/>
      <c r="F568" s="280"/>
    </row>
    <row r="569" spans="2:6" ht="12.75">
      <c r="B569" s="10"/>
      <c r="F569" s="280"/>
    </row>
    <row r="570" spans="2:6" ht="12.75">
      <c r="B570" s="10"/>
      <c r="F570" s="280"/>
    </row>
    <row r="571" spans="2:6" ht="12.75">
      <c r="B571" s="10"/>
      <c r="F571" s="280"/>
    </row>
    <row r="572" spans="2:6" ht="12.75">
      <c r="B572" s="10"/>
      <c r="F572" s="280"/>
    </row>
    <row r="573" spans="2:6" ht="12.75">
      <c r="B573" s="10"/>
      <c r="F573" s="280"/>
    </row>
    <row r="574" spans="2:6" ht="12.75">
      <c r="B574" s="10"/>
      <c r="F574" s="280"/>
    </row>
    <row r="575" spans="2:6" ht="12.75">
      <c r="B575" s="10"/>
      <c r="F575" s="280"/>
    </row>
    <row r="576" spans="2:6" ht="12.75">
      <c r="B576" s="10"/>
      <c r="F576" s="280"/>
    </row>
    <row r="577" spans="2:6" ht="12.75">
      <c r="B577" s="10"/>
      <c r="F577" s="280"/>
    </row>
    <row r="578" spans="2:6" ht="12.75">
      <c r="B578" s="10"/>
      <c r="F578" s="280"/>
    </row>
    <row r="579" spans="2:6" ht="12.75">
      <c r="B579" s="10"/>
      <c r="F579" s="280"/>
    </row>
    <row r="580" spans="2:6" ht="12.75">
      <c r="B580" s="10"/>
      <c r="F580" s="280"/>
    </row>
    <row r="581" spans="2:6" ht="12.75">
      <c r="B581" s="10"/>
      <c r="F581" s="280"/>
    </row>
    <row r="582" spans="2:6" ht="12.75">
      <c r="B582" s="10"/>
      <c r="F582" s="280"/>
    </row>
    <row r="583" spans="2:6" ht="12.75">
      <c r="B583" s="10"/>
      <c r="F583" s="280"/>
    </row>
    <row r="584" spans="2:6" ht="12.75">
      <c r="B584" s="10"/>
      <c r="F584" s="280"/>
    </row>
    <row r="585" spans="2:6" ht="12.75">
      <c r="B585" s="10"/>
      <c r="F585" s="280"/>
    </row>
    <row r="586" spans="2:6" ht="12.75">
      <c r="B586" s="10"/>
      <c r="F586" s="280"/>
    </row>
    <row r="587" spans="2:6" ht="12.75">
      <c r="B587" s="10"/>
      <c r="F587" s="280"/>
    </row>
    <row r="588" spans="2:6" ht="12.75">
      <c r="B588" s="10"/>
      <c r="F588" s="280"/>
    </row>
    <row r="589" spans="2:6" ht="12.75">
      <c r="B589" s="10"/>
      <c r="F589" s="280"/>
    </row>
    <row r="590" spans="2:6" ht="12.75">
      <c r="B590" s="10"/>
      <c r="F590" s="280"/>
    </row>
    <row r="591" spans="2:6" ht="12.75">
      <c r="B591" s="10"/>
      <c r="F591" s="280"/>
    </row>
    <row r="592" spans="2:6" ht="12.75">
      <c r="B592" s="10"/>
      <c r="F592" s="280"/>
    </row>
    <row r="593" spans="2:6" ht="12.75">
      <c r="B593" s="10"/>
      <c r="F593" s="280"/>
    </row>
    <row r="594" spans="2:6" ht="12.75">
      <c r="B594" s="10"/>
      <c r="F594" s="280"/>
    </row>
    <row r="595" spans="2:6" ht="12.75">
      <c r="B595" s="10"/>
      <c r="F595" s="280"/>
    </row>
    <row r="596" spans="2:6" ht="12.75">
      <c r="B596" s="10"/>
      <c r="F596" s="280"/>
    </row>
    <row r="597" spans="2:6" ht="12.75">
      <c r="B597" s="10"/>
      <c r="F597" s="280"/>
    </row>
    <row r="598" spans="2:6" ht="12.75">
      <c r="B598" s="10"/>
      <c r="F598" s="280"/>
    </row>
    <row r="599" spans="2:6" ht="12.75">
      <c r="B599" s="10"/>
      <c r="F599" s="280"/>
    </row>
    <row r="600" spans="2:6" ht="12.75">
      <c r="B600" s="10"/>
      <c r="F600" s="280"/>
    </row>
    <row r="601" spans="2:6" ht="12.75">
      <c r="B601" s="10"/>
      <c r="F601" s="280"/>
    </row>
    <row r="602" spans="2:6" ht="12.75">
      <c r="B602" s="10"/>
      <c r="F602" s="280"/>
    </row>
    <row r="603" spans="2:6" ht="12.75">
      <c r="B603" s="10"/>
      <c r="F603" s="280"/>
    </row>
    <row r="604" spans="2:6" ht="12.75">
      <c r="B604" s="10"/>
      <c r="F604" s="280"/>
    </row>
    <row r="605" spans="2:6" ht="12.75">
      <c r="B605" s="10"/>
      <c r="F605" s="280"/>
    </row>
    <row r="606" spans="2:6" ht="12.75">
      <c r="B606" s="10"/>
      <c r="F606" s="280"/>
    </row>
    <row r="607" spans="2:6" ht="12.75">
      <c r="B607" s="10"/>
      <c r="F607" s="280"/>
    </row>
    <row r="608" spans="2:6" ht="12.75">
      <c r="B608" s="10"/>
      <c r="F608" s="280"/>
    </row>
    <row r="609" spans="2:6" ht="12.75">
      <c r="B609" s="10"/>
      <c r="F609" s="280"/>
    </row>
    <row r="610" spans="2:6" ht="12.75">
      <c r="B610" s="10"/>
      <c r="F610" s="280"/>
    </row>
    <row r="611" spans="2:6" ht="12.75">
      <c r="B611" s="10"/>
      <c r="F611" s="280"/>
    </row>
    <row r="612" spans="2:6" ht="12.75">
      <c r="B612" s="10"/>
      <c r="F612" s="280"/>
    </row>
    <row r="613" spans="2:6" ht="12.75">
      <c r="B613" s="10"/>
      <c r="F613" s="280"/>
    </row>
    <row r="614" spans="2:6" ht="12.75">
      <c r="B614" s="10"/>
      <c r="F614" s="280"/>
    </row>
    <row r="615" spans="2:6" ht="12.75">
      <c r="B615" s="10"/>
      <c r="F615" s="280"/>
    </row>
    <row r="616" spans="2:6" ht="12.75">
      <c r="B616" s="10"/>
      <c r="F616" s="280"/>
    </row>
    <row r="617" spans="2:6" ht="12.75">
      <c r="B617" s="10"/>
      <c r="F617" s="280"/>
    </row>
    <row r="618" spans="2:6" ht="12.75">
      <c r="B618" s="10"/>
      <c r="F618" s="280"/>
    </row>
    <row r="619" spans="2:6" ht="12.75">
      <c r="B619" s="10"/>
      <c r="F619" s="280"/>
    </row>
    <row r="620" spans="2:6" ht="12.75">
      <c r="B620" s="10"/>
      <c r="F620" s="280"/>
    </row>
    <row r="621" spans="2:6" ht="12.75">
      <c r="B621" s="10"/>
      <c r="F621" s="280"/>
    </row>
    <row r="622" spans="2:6" ht="12.75">
      <c r="B622" s="10"/>
      <c r="F622" s="280"/>
    </row>
    <row r="623" spans="2:6" ht="12.75">
      <c r="B623" s="10"/>
      <c r="F623" s="280"/>
    </row>
    <row r="624" spans="2:6" ht="12.75">
      <c r="B624" s="10"/>
      <c r="F624" s="280"/>
    </row>
    <row r="625" spans="2:6" ht="12.75">
      <c r="B625" s="10"/>
      <c r="F625" s="280"/>
    </row>
    <row r="626" spans="2:6" ht="12.75">
      <c r="B626" s="10"/>
      <c r="F626" s="280"/>
    </row>
    <row r="627" spans="2:6" ht="12.75">
      <c r="B627" s="10"/>
      <c r="F627" s="280"/>
    </row>
    <row r="628" spans="2:6" ht="12.75">
      <c r="B628" s="10"/>
      <c r="F628" s="280"/>
    </row>
    <row r="629" spans="2:6" ht="12.75">
      <c r="B629" s="10"/>
      <c r="F629" s="280"/>
    </row>
    <row r="630" spans="2:6" ht="12.75">
      <c r="B630" s="10"/>
      <c r="F630" s="280"/>
    </row>
    <row r="631" spans="2:6" ht="12.75">
      <c r="B631" s="10"/>
      <c r="F631" s="280"/>
    </row>
    <row r="632" spans="2:6" ht="12.75">
      <c r="B632" s="10"/>
      <c r="F632" s="280"/>
    </row>
    <row r="633" spans="2:6" ht="12.75">
      <c r="B633" s="10"/>
      <c r="F633" s="280"/>
    </row>
    <row r="634" spans="2:6" ht="12.75">
      <c r="B634" s="10"/>
      <c r="F634" s="280"/>
    </row>
    <row r="635" spans="2:6" ht="12.75">
      <c r="B635" s="10"/>
      <c r="F635" s="280"/>
    </row>
    <row r="636" spans="2:6" ht="12.75">
      <c r="B636" s="10"/>
      <c r="F636" s="280"/>
    </row>
    <row r="637" spans="2:6" ht="12.75">
      <c r="B637" s="10"/>
      <c r="F637" s="280"/>
    </row>
    <row r="638" spans="2:6" ht="12.75">
      <c r="B638" s="10"/>
      <c r="F638" s="280"/>
    </row>
    <row r="639" spans="2:6" ht="12.75">
      <c r="B639" s="10"/>
      <c r="F639" s="280"/>
    </row>
    <row r="640" spans="2:6" ht="12.75">
      <c r="B640" s="10"/>
      <c r="F640" s="280"/>
    </row>
    <row r="641" spans="2:6" ht="12.75">
      <c r="B641" s="10"/>
      <c r="F641" s="280"/>
    </row>
    <row r="642" spans="2:6" ht="12.75">
      <c r="B642" s="10"/>
      <c r="F642" s="280"/>
    </row>
    <row r="643" spans="2:6" ht="12.75">
      <c r="B643" s="10"/>
      <c r="F643" s="280"/>
    </row>
    <row r="644" spans="2:6" ht="12.75">
      <c r="B644" s="10"/>
      <c r="F644" s="280"/>
    </row>
    <row r="645" spans="2:6" ht="12.75">
      <c r="B645" s="10"/>
      <c r="F645" s="280"/>
    </row>
    <row r="646" spans="2:6" ht="12.75">
      <c r="B646" s="10"/>
      <c r="F646" s="280"/>
    </row>
    <row r="647" spans="2:6" ht="12.75">
      <c r="B647" s="10"/>
      <c r="F647" s="280"/>
    </row>
    <row r="648" spans="2:6" ht="12.75">
      <c r="B648" s="10"/>
      <c r="F648" s="280"/>
    </row>
    <row r="649" spans="2:6" ht="12.75">
      <c r="B649" s="10"/>
      <c r="F649" s="280"/>
    </row>
    <row r="650" spans="2:6" ht="12.75">
      <c r="B650" s="10"/>
      <c r="F650" s="280"/>
    </row>
    <row r="651" spans="2:6" ht="12.75">
      <c r="B651" s="10"/>
      <c r="F651" s="280"/>
    </row>
    <row r="652" spans="2:6" ht="12.75">
      <c r="B652" s="10"/>
      <c r="F652" s="280"/>
    </row>
    <row r="653" spans="2:6" ht="12.75">
      <c r="B653" s="10"/>
      <c r="F653" s="280"/>
    </row>
    <row r="654" spans="2:6" ht="12.75">
      <c r="B654" s="10"/>
      <c r="F654" s="280"/>
    </row>
    <row r="655" spans="2:6" ht="12.75">
      <c r="B655" s="10"/>
      <c r="F655" s="280"/>
    </row>
    <row r="656" spans="2:6" ht="12.75">
      <c r="B656" s="10"/>
      <c r="F656" s="280"/>
    </row>
    <row r="657" spans="2:6" ht="12.75">
      <c r="B657" s="10"/>
      <c r="F657" s="280"/>
    </row>
    <row r="658" spans="2:6" ht="12.75">
      <c r="B658" s="10"/>
      <c r="F658" s="280"/>
    </row>
    <row r="659" spans="2:6" ht="12.75">
      <c r="B659" s="10"/>
      <c r="F659" s="280"/>
    </row>
    <row r="660" spans="2:6" ht="12.75">
      <c r="B660" s="10"/>
      <c r="F660" s="280"/>
    </row>
    <row r="661" spans="2:6" ht="12.75">
      <c r="B661" s="10"/>
      <c r="F661" s="280"/>
    </row>
    <row r="662" spans="2:6" ht="12.75">
      <c r="B662" s="10"/>
      <c r="F662" s="280"/>
    </row>
    <row r="663" spans="2:6" ht="12.75">
      <c r="B663" s="10"/>
      <c r="F663" s="280"/>
    </row>
    <row r="664" spans="2:6" ht="12.75">
      <c r="B664" s="10"/>
      <c r="F664" s="280"/>
    </row>
    <row r="665" spans="2:6" ht="12.75">
      <c r="B665" s="10"/>
      <c r="F665" s="280"/>
    </row>
    <row r="666" spans="2:6" ht="12.75">
      <c r="B666" s="10"/>
      <c r="F666" s="280"/>
    </row>
    <row r="667" spans="2:6" ht="12.75">
      <c r="B667" s="10"/>
      <c r="F667" s="280"/>
    </row>
    <row r="668" spans="2:6" ht="12.75">
      <c r="B668" s="10"/>
      <c r="F668" s="280"/>
    </row>
    <row r="669" spans="2:6" ht="12.75">
      <c r="B669" s="10"/>
      <c r="F669" s="280"/>
    </row>
    <row r="670" spans="2:6" ht="12.75">
      <c r="B670" s="10"/>
      <c r="F670" s="280"/>
    </row>
    <row r="671" spans="2:6" ht="12.75">
      <c r="B671" s="10"/>
      <c r="F671" s="280"/>
    </row>
    <row r="672" spans="2:6" ht="12.75">
      <c r="B672" s="10"/>
      <c r="F672" s="280"/>
    </row>
    <row r="673" spans="2:6" ht="12.75">
      <c r="B673" s="10"/>
      <c r="F673" s="280"/>
    </row>
    <row r="674" spans="2:6" ht="12.75">
      <c r="B674" s="10"/>
      <c r="F674" s="280"/>
    </row>
    <row r="675" spans="2:6" ht="12.75">
      <c r="B675" s="10"/>
      <c r="F675" s="280"/>
    </row>
    <row r="676" spans="2:6" ht="12.75">
      <c r="B676" s="10"/>
      <c r="F676" s="280"/>
    </row>
    <row r="677" spans="2:6" ht="12.75">
      <c r="B677" s="10"/>
      <c r="F677" s="280"/>
    </row>
    <row r="678" spans="2:6" ht="12.75">
      <c r="B678" s="10"/>
      <c r="F678" s="280"/>
    </row>
    <row r="679" spans="2:6" ht="12.75">
      <c r="B679" s="10"/>
      <c r="F679" s="280"/>
    </row>
    <row r="680" spans="2:6" ht="12.75">
      <c r="B680" s="10"/>
      <c r="F680" s="280"/>
    </row>
    <row r="681" spans="2:6" ht="12.75">
      <c r="B681" s="10"/>
      <c r="F681" s="280"/>
    </row>
    <row r="682" spans="2:6" ht="12.75">
      <c r="B682" s="10"/>
      <c r="F682" s="280"/>
    </row>
    <row r="683" spans="2:6" ht="12.75">
      <c r="B683" s="10"/>
      <c r="F683" s="280"/>
    </row>
    <row r="684" spans="2:6" ht="12.75">
      <c r="B684" s="10"/>
      <c r="F684" s="280"/>
    </row>
    <row r="685" spans="2:6" ht="12.75">
      <c r="B685" s="10"/>
      <c r="F685" s="280"/>
    </row>
    <row r="686" spans="2:6" ht="12.75">
      <c r="B686" s="10"/>
      <c r="F686" s="280"/>
    </row>
    <row r="687" spans="2:6" ht="12.75">
      <c r="B687" s="10"/>
      <c r="F687" s="280"/>
    </row>
    <row r="688" spans="2:6" ht="12.75">
      <c r="B688" s="10"/>
      <c r="F688" s="280"/>
    </row>
    <row r="689" spans="2:6" ht="12.75">
      <c r="B689" s="10"/>
      <c r="F689" s="280"/>
    </row>
    <row r="690" spans="2:6" ht="12.75">
      <c r="B690" s="10"/>
      <c r="F690" s="280"/>
    </row>
    <row r="691" spans="2:6" ht="12.75">
      <c r="B691" s="10"/>
      <c r="F691" s="280"/>
    </row>
    <row r="692" spans="2:6" ht="12.75">
      <c r="B692" s="10"/>
      <c r="F692" s="280"/>
    </row>
    <row r="693" spans="2:6" ht="12.75">
      <c r="B693" s="10"/>
      <c r="F693" s="280"/>
    </row>
    <row r="694" spans="2:6" ht="12.75">
      <c r="B694" s="10"/>
      <c r="F694" s="280"/>
    </row>
    <row r="695" spans="2:6" ht="12.75">
      <c r="B695" s="10"/>
      <c r="F695" s="280"/>
    </row>
    <row r="696" spans="2:6" ht="12.75">
      <c r="B696" s="10"/>
      <c r="F696" s="280"/>
    </row>
    <row r="697" spans="2:6" ht="12.75">
      <c r="B697" s="10"/>
      <c r="F697" s="280"/>
    </row>
    <row r="698" spans="2:6" ht="12.75">
      <c r="B698" s="10"/>
      <c r="F698" s="280"/>
    </row>
    <row r="699" spans="2:6" ht="12.75">
      <c r="B699" s="10"/>
      <c r="F699" s="280"/>
    </row>
    <row r="700" spans="2:6" ht="12.75">
      <c r="B700" s="10"/>
      <c r="F700" s="280"/>
    </row>
    <row r="701" spans="2:6" ht="12.75">
      <c r="B701" s="10"/>
      <c r="F701" s="280"/>
    </row>
    <row r="702" spans="2:6" ht="12.75">
      <c r="B702" s="10"/>
      <c r="F702" s="280"/>
    </row>
    <row r="703" spans="2:6" ht="12.75">
      <c r="B703" s="10"/>
      <c r="F703" s="280"/>
    </row>
    <row r="704" spans="2:6" ht="12.75">
      <c r="B704" s="10"/>
      <c r="F704" s="280"/>
    </row>
    <row r="705" spans="2:6" ht="12.75">
      <c r="B705" s="10"/>
      <c r="F705" s="280"/>
    </row>
    <row r="706" spans="2:6" ht="12.75">
      <c r="B706" s="10"/>
      <c r="F706" s="280"/>
    </row>
    <row r="707" spans="2:6" ht="12.75">
      <c r="B707" s="10"/>
      <c r="F707" s="280"/>
    </row>
    <row r="708" spans="2:6" ht="12.75">
      <c r="B708" s="10"/>
      <c r="F708" s="280"/>
    </row>
    <row r="709" spans="2:6" ht="12.75">
      <c r="B709" s="10"/>
      <c r="F709" s="280"/>
    </row>
    <row r="710" spans="2:6" ht="12.75">
      <c r="B710" s="10"/>
      <c r="F710" s="280"/>
    </row>
    <row r="711" spans="2:6" ht="12.75">
      <c r="B711" s="10"/>
      <c r="F711" s="280"/>
    </row>
    <row r="712" spans="2:6" ht="12.75">
      <c r="B712" s="10"/>
      <c r="F712" s="280"/>
    </row>
    <row r="713" spans="2:6" ht="12.75">
      <c r="B713" s="10"/>
      <c r="F713" s="280"/>
    </row>
    <row r="714" spans="2:6" ht="12.75">
      <c r="B714" s="10"/>
      <c r="F714" s="280"/>
    </row>
    <row r="715" spans="2:6" ht="12.75">
      <c r="B715" s="10"/>
      <c r="F715" s="280"/>
    </row>
    <row r="716" spans="2:6" ht="12.75">
      <c r="B716" s="10"/>
      <c r="F716" s="280"/>
    </row>
    <row r="717" spans="2:6" ht="12.75">
      <c r="B717" s="10"/>
      <c r="F717" s="280"/>
    </row>
    <row r="718" spans="2:6" ht="12.75">
      <c r="B718" s="10"/>
      <c r="F718" s="280"/>
    </row>
    <row r="719" spans="2:6" ht="12.75">
      <c r="B719" s="10"/>
      <c r="F719" s="280"/>
    </row>
    <row r="720" spans="2:6" ht="12.75">
      <c r="B720" s="10"/>
      <c r="F720" s="280"/>
    </row>
    <row r="721" spans="2:6" ht="12.75">
      <c r="B721" s="10"/>
      <c r="F721" s="280"/>
    </row>
    <row r="722" spans="2:6" ht="12.75">
      <c r="B722" s="10"/>
      <c r="F722" s="280"/>
    </row>
    <row r="723" spans="2:6" ht="12.75">
      <c r="B723" s="10"/>
      <c r="F723" s="280"/>
    </row>
    <row r="724" spans="2:6" ht="12.75">
      <c r="B724" s="10"/>
      <c r="F724" s="280"/>
    </row>
    <row r="725" spans="2:6" ht="12.75">
      <c r="B725" s="10"/>
      <c r="F725" s="280"/>
    </row>
    <row r="726" spans="2:6" ht="12.75">
      <c r="B726" s="10"/>
      <c r="F726" s="280"/>
    </row>
    <row r="727" spans="2:6" ht="12.75">
      <c r="B727" s="10"/>
      <c r="F727" s="280"/>
    </row>
    <row r="728" spans="2:6" ht="12.75">
      <c r="B728" s="10"/>
      <c r="F728" s="280"/>
    </row>
    <row r="729" spans="2:6" ht="12.75">
      <c r="B729" s="10"/>
      <c r="F729" s="280"/>
    </row>
    <row r="730" spans="2:6" ht="12.75">
      <c r="B730" s="10"/>
      <c r="F730" s="280"/>
    </row>
    <row r="731" spans="2:6" ht="12.75">
      <c r="B731" s="10"/>
      <c r="F731" s="280"/>
    </row>
    <row r="732" spans="2:6" ht="12.75">
      <c r="B732" s="10"/>
      <c r="F732" s="280"/>
    </row>
    <row r="733" spans="2:6" ht="12.75">
      <c r="B733" s="10"/>
      <c r="F733" s="280"/>
    </row>
    <row r="734" spans="2:6" ht="12.75">
      <c r="B734" s="10"/>
      <c r="F734" s="280"/>
    </row>
    <row r="735" spans="2:6" ht="12.75">
      <c r="B735" s="10"/>
      <c r="F735" s="280"/>
    </row>
    <row r="736" spans="2:6" ht="12.75">
      <c r="B736" s="10"/>
      <c r="F736" s="280"/>
    </row>
    <row r="737" spans="2:6" ht="12.75">
      <c r="B737" s="10"/>
      <c r="F737" s="280"/>
    </row>
    <row r="738" spans="2:6" ht="12.75">
      <c r="B738" s="10"/>
      <c r="F738" s="280"/>
    </row>
    <row r="739" spans="2:6" ht="12.75">
      <c r="B739" s="10"/>
      <c r="F739" s="280"/>
    </row>
    <row r="740" spans="2:6" ht="12.75">
      <c r="B740" s="10"/>
      <c r="F740" s="280"/>
    </row>
    <row r="741" spans="2:6" ht="12.75">
      <c r="B741" s="10"/>
      <c r="F741" s="280"/>
    </row>
    <row r="742" spans="2:6" ht="12.75">
      <c r="B742" s="10"/>
      <c r="F742" s="280"/>
    </row>
    <row r="743" spans="2:6" ht="12.75">
      <c r="B743" s="10"/>
      <c r="F743" s="280"/>
    </row>
    <row r="744" spans="2:6" ht="12.75">
      <c r="B744" s="10"/>
      <c r="F744" s="280"/>
    </row>
    <row r="745" spans="2:6" ht="12.75">
      <c r="B745" s="10"/>
      <c r="F745" s="280"/>
    </row>
    <row r="746" spans="2:6" ht="12.75">
      <c r="B746" s="10"/>
      <c r="F746" s="280"/>
    </row>
    <row r="747" spans="2:6" ht="12.75">
      <c r="B747" s="10"/>
      <c r="F747" s="280"/>
    </row>
    <row r="748" spans="2:6" ht="12.75">
      <c r="B748" s="10"/>
      <c r="F748" s="280"/>
    </row>
    <row r="749" spans="2:6" ht="12.75">
      <c r="B749" s="10"/>
      <c r="F749" s="280"/>
    </row>
    <row r="750" spans="2:6" ht="12.75">
      <c r="B750" s="10"/>
      <c r="F750" s="280"/>
    </row>
    <row r="751" spans="2:6" ht="12.75">
      <c r="B751" s="10"/>
      <c r="F751" s="280"/>
    </row>
    <row r="752" spans="2:6" ht="12.75">
      <c r="B752" s="10"/>
      <c r="F752" s="280"/>
    </row>
    <row r="753" spans="2:6" ht="12.75">
      <c r="B753" s="10"/>
      <c r="F753" s="280"/>
    </row>
    <row r="754" spans="2:6" ht="12.75">
      <c r="B754" s="10"/>
      <c r="F754" s="280"/>
    </row>
    <row r="755" spans="2:6" ht="12.75">
      <c r="B755" s="10"/>
      <c r="F755" s="280"/>
    </row>
    <row r="756" spans="2:6" ht="12.75">
      <c r="B756" s="10"/>
      <c r="F756" s="280"/>
    </row>
    <row r="757" spans="2:6" ht="12.75">
      <c r="B757" s="10"/>
      <c r="F757" s="280"/>
    </row>
    <row r="758" spans="2:6" ht="12.75">
      <c r="B758" s="10"/>
      <c r="F758" s="280"/>
    </row>
    <row r="759" spans="2:6" ht="12.75">
      <c r="B759" s="10"/>
      <c r="F759" s="280"/>
    </row>
    <row r="760" spans="2:6" ht="12.75">
      <c r="B760" s="10"/>
      <c r="F760" s="280"/>
    </row>
    <row r="761" spans="2:6" ht="12.75">
      <c r="B761" s="10"/>
      <c r="F761" s="280"/>
    </row>
    <row r="762" spans="2:6" ht="12.75">
      <c r="B762" s="10"/>
      <c r="F762" s="280"/>
    </row>
    <row r="763" spans="2:6" ht="12.75">
      <c r="B763" s="10"/>
      <c r="F763" s="280"/>
    </row>
    <row r="764" spans="2:6" ht="12.75">
      <c r="B764" s="10"/>
      <c r="F764" s="280"/>
    </row>
    <row r="765" spans="2:6" ht="12.75">
      <c r="B765" s="10"/>
      <c r="F765" s="280"/>
    </row>
    <row r="766" spans="2:6" ht="12.75">
      <c r="B766" s="10"/>
      <c r="F766" s="280"/>
    </row>
    <row r="767" spans="2:6" ht="12.75">
      <c r="B767" s="10"/>
      <c r="F767" s="280"/>
    </row>
    <row r="768" spans="2:6" ht="12.75">
      <c r="B768" s="10"/>
      <c r="F768" s="280"/>
    </row>
    <row r="769" spans="2:6" ht="12.75">
      <c r="B769" s="10"/>
      <c r="F769" s="280"/>
    </row>
    <row r="770" spans="2:6" ht="12.75">
      <c r="B770" s="10"/>
      <c r="F770" s="280"/>
    </row>
    <row r="771" spans="2:6" ht="12.75">
      <c r="B771" s="10"/>
      <c r="F771" s="280"/>
    </row>
    <row r="772" spans="2:6" ht="12.75">
      <c r="B772" s="10"/>
      <c r="F772" s="280"/>
    </row>
    <row r="773" spans="2:6" ht="12.75">
      <c r="B773" s="10"/>
      <c r="F773" s="280"/>
    </row>
    <row r="774" spans="2:6" ht="12.75">
      <c r="B774" s="10"/>
      <c r="F774" s="280"/>
    </row>
    <row r="775" spans="2:6" ht="12.75">
      <c r="B775" s="10"/>
      <c r="F775" s="280"/>
    </row>
    <row r="776" spans="2:6" ht="12.75">
      <c r="B776" s="10"/>
      <c r="F776" s="280"/>
    </row>
    <row r="777" spans="2:6" ht="12.75">
      <c r="B777" s="10"/>
      <c r="F777" s="280"/>
    </row>
    <row r="778" spans="2:6" ht="12.75">
      <c r="B778" s="10"/>
      <c r="F778" s="280"/>
    </row>
    <row r="779" spans="2:6" ht="12.75">
      <c r="B779" s="10"/>
      <c r="F779" s="280"/>
    </row>
    <row r="780" spans="2:6" ht="12.75">
      <c r="B780" s="10"/>
      <c r="F780" s="280"/>
    </row>
    <row r="781" spans="2:6" ht="12.75">
      <c r="B781" s="10"/>
      <c r="F781" s="280"/>
    </row>
    <row r="782" spans="2:6" ht="12.75">
      <c r="B782" s="10"/>
      <c r="F782" s="280"/>
    </row>
    <row r="783" spans="2:6" ht="12.75">
      <c r="B783" s="10"/>
      <c r="F783" s="280"/>
    </row>
    <row r="784" spans="2:6" ht="12.75">
      <c r="B784" s="10"/>
      <c r="F784" s="280"/>
    </row>
    <row r="785" spans="2:6" ht="12.75">
      <c r="B785" s="10"/>
      <c r="F785" s="280"/>
    </row>
    <row r="786" spans="2:6" ht="12.75">
      <c r="B786" s="10"/>
      <c r="F786" s="280"/>
    </row>
    <row r="787" spans="2:6" ht="12.75">
      <c r="B787" s="10"/>
      <c r="F787" s="280"/>
    </row>
    <row r="788" spans="2:6" ht="12.75">
      <c r="B788" s="10"/>
      <c r="F788" s="280"/>
    </row>
    <row r="789" spans="2:6" ht="12.75">
      <c r="B789" s="10"/>
      <c r="F789" s="280"/>
    </row>
    <row r="790" spans="2:6" ht="12.75">
      <c r="B790" s="10"/>
      <c r="F790" s="280"/>
    </row>
    <row r="791" spans="2:6" ht="12.75">
      <c r="B791" s="10"/>
      <c r="F791" s="280"/>
    </row>
    <row r="792" spans="2:6" ht="12.75">
      <c r="B792" s="10"/>
      <c r="F792" s="280"/>
    </row>
    <row r="793" spans="2:6" ht="12.75">
      <c r="B793" s="10"/>
      <c r="F793" s="280"/>
    </row>
    <row r="794" spans="2:6" ht="12.75">
      <c r="B794" s="10"/>
      <c r="F794" s="280"/>
    </row>
    <row r="795" spans="2:6" ht="12.75">
      <c r="B795" s="10"/>
      <c r="F795" s="280"/>
    </row>
    <row r="796" spans="2:6" ht="12.75">
      <c r="B796" s="10"/>
      <c r="F796" s="280"/>
    </row>
    <row r="797" spans="2:6" ht="12.75">
      <c r="B797" s="10"/>
      <c r="F797" s="280"/>
    </row>
    <row r="798" spans="2:6" ht="12.75">
      <c r="B798" s="10"/>
      <c r="F798" s="280"/>
    </row>
    <row r="799" spans="2:6" ht="12.75">
      <c r="B799" s="10"/>
      <c r="F799" s="280"/>
    </row>
    <row r="800" spans="2:6" ht="12.75">
      <c r="B800" s="10"/>
      <c r="F800" s="280"/>
    </row>
    <row r="801" spans="2:6" ht="12.75">
      <c r="B801" s="10"/>
      <c r="F801" s="280"/>
    </row>
    <row r="802" spans="2:6" ht="12.75">
      <c r="B802" s="10"/>
      <c r="F802" s="280"/>
    </row>
    <row r="803" spans="2:6" ht="12.75">
      <c r="B803" s="10"/>
      <c r="F803" s="280"/>
    </row>
    <row r="804" spans="2:6" ht="12.75">
      <c r="B804" s="10"/>
      <c r="F804" s="280"/>
    </row>
    <row r="805" spans="2:6" ht="12.75">
      <c r="B805" s="10"/>
      <c r="F805" s="280"/>
    </row>
    <row r="806" spans="2:6" ht="12.75">
      <c r="B806" s="10"/>
      <c r="F806" s="280"/>
    </row>
    <row r="807" spans="2:6" ht="12.75">
      <c r="B807" s="10"/>
      <c r="F807" s="280"/>
    </row>
    <row r="808" spans="2:6" ht="12.75">
      <c r="B808" s="10"/>
      <c r="F808" s="280"/>
    </row>
    <row r="809" spans="2:6" ht="12.75">
      <c r="B809" s="10"/>
      <c r="F809" s="280"/>
    </row>
    <row r="810" spans="2:6" ht="12.75">
      <c r="B810" s="10"/>
      <c r="F810" s="280"/>
    </row>
    <row r="811" spans="2:6" ht="12.75">
      <c r="B811" s="10"/>
      <c r="F811" s="280"/>
    </row>
    <row r="812" spans="2:6" ht="12.75">
      <c r="B812" s="10"/>
      <c r="F812" s="280"/>
    </row>
    <row r="813" spans="2:6" ht="12.75">
      <c r="B813" s="10"/>
      <c r="F813" s="280"/>
    </row>
    <row r="814" spans="2:6" ht="12.75">
      <c r="B814" s="10"/>
      <c r="F814" s="280"/>
    </row>
    <row r="815" spans="2:6" ht="12.75">
      <c r="B815" s="10"/>
      <c r="F815" s="280"/>
    </row>
    <row r="816" spans="2:6" ht="12.75">
      <c r="B816" s="10"/>
      <c r="F816" s="280"/>
    </row>
    <row r="817" spans="2:6" ht="12.75">
      <c r="B817" s="10"/>
      <c r="F817" s="280"/>
    </row>
    <row r="818" spans="2:6" ht="12.75">
      <c r="B818" s="10"/>
      <c r="F818" s="280"/>
    </row>
    <row r="819" spans="2:6" ht="12.75">
      <c r="B819" s="10"/>
      <c r="F819" s="280"/>
    </row>
    <row r="820" spans="2:6" ht="12.75">
      <c r="B820" s="10"/>
      <c r="F820" s="280"/>
    </row>
    <row r="821" spans="2:6" ht="12.75">
      <c r="B821" s="10"/>
      <c r="F821" s="280"/>
    </row>
    <row r="822" spans="2:6" ht="12.75">
      <c r="B822" s="10"/>
      <c r="F822" s="280"/>
    </row>
    <row r="823" spans="2:6" ht="12.75">
      <c r="B823" s="10"/>
      <c r="F823" s="280"/>
    </row>
    <row r="824" spans="2:6" ht="12.75">
      <c r="B824" s="10"/>
      <c r="F824" s="280"/>
    </row>
    <row r="825" spans="2:6" ht="12.75">
      <c r="B825" s="10"/>
      <c r="F825" s="280"/>
    </row>
    <row r="826" spans="2:6" ht="12.75">
      <c r="B826" s="10"/>
      <c r="F826" s="280"/>
    </row>
    <row r="827" spans="2:6" ht="12.75">
      <c r="B827" s="10"/>
      <c r="F827" s="280"/>
    </row>
    <row r="828" spans="2:6" ht="12.75">
      <c r="B828" s="10"/>
      <c r="F828" s="280"/>
    </row>
    <row r="829" spans="2:6" ht="12.75">
      <c r="B829" s="10"/>
      <c r="F829" s="280"/>
    </row>
    <row r="830" spans="2:6" ht="12.75">
      <c r="B830" s="10"/>
      <c r="F830" s="280"/>
    </row>
    <row r="831" spans="2:6" ht="12.75">
      <c r="B831" s="10"/>
      <c r="F831" s="280"/>
    </row>
    <row r="832" spans="2:6" ht="12.75">
      <c r="B832" s="10"/>
      <c r="F832" s="280"/>
    </row>
    <row r="833" spans="2:6" ht="12.75">
      <c r="B833" s="10"/>
      <c r="F833" s="280"/>
    </row>
    <row r="834" spans="2:6" ht="12.75">
      <c r="B834" s="10"/>
      <c r="F834" s="280"/>
    </row>
    <row r="835" spans="2:6" ht="12.75">
      <c r="B835" s="10"/>
      <c r="F835" s="280"/>
    </row>
    <row r="836" spans="2:6" ht="12.75">
      <c r="B836" s="10"/>
      <c r="F836" s="280"/>
    </row>
    <row r="837" spans="2:6" ht="12.75">
      <c r="B837" s="10"/>
      <c r="F837" s="280"/>
    </row>
    <row r="838" spans="2:6" ht="12.75">
      <c r="B838" s="10"/>
      <c r="F838" s="280"/>
    </row>
    <row r="839" spans="2:6" ht="12.75">
      <c r="B839" s="10"/>
      <c r="F839" s="280"/>
    </row>
    <row r="840" spans="2:6" ht="12.75">
      <c r="B840" s="10"/>
      <c r="F840" s="280"/>
    </row>
    <row r="841" spans="2:6" ht="12.75">
      <c r="B841" s="10"/>
      <c r="F841" s="280"/>
    </row>
    <row r="842" spans="2:6" ht="12.75">
      <c r="B842" s="10"/>
      <c r="F842" s="280"/>
    </row>
    <row r="843" spans="2:6" ht="12.75">
      <c r="B843" s="10"/>
      <c r="F843" s="280"/>
    </row>
    <row r="844" spans="2:6" ht="12.75">
      <c r="B844" s="10"/>
      <c r="F844" s="280"/>
    </row>
    <row r="845" spans="2:6" ht="12.75">
      <c r="B845" s="10"/>
      <c r="F845" s="280"/>
    </row>
    <row r="846" spans="2:6" ht="12.75">
      <c r="B846" s="10"/>
      <c r="F846" s="280"/>
    </row>
    <row r="847" spans="2:6" ht="12.75">
      <c r="B847" s="10"/>
      <c r="F847" s="280"/>
    </row>
    <row r="848" spans="2:6" ht="12.75">
      <c r="B848" s="10"/>
      <c r="F848" s="280"/>
    </row>
    <row r="849" spans="2:6" ht="12.75">
      <c r="B849" s="10"/>
      <c r="F849" s="280"/>
    </row>
    <row r="850" spans="2:6" ht="12.75">
      <c r="B850" s="10"/>
      <c r="F850" s="280"/>
    </row>
    <row r="851" spans="2:6" ht="12.75">
      <c r="B851" s="10"/>
      <c r="F851" s="280"/>
    </row>
    <row r="852" spans="2:6" ht="12.75">
      <c r="B852" s="10"/>
      <c r="F852" s="280"/>
    </row>
    <row r="853" spans="2:6" ht="12.75">
      <c r="B853" s="10"/>
      <c r="F853" s="280"/>
    </row>
    <row r="854" spans="2:6" ht="12.75">
      <c r="B854" s="10"/>
      <c r="F854" s="280"/>
    </row>
    <row r="855" spans="2:6" ht="12.75">
      <c r="B855" s="10"/>
      <c r="F855" s="280"/>
    </row>
    <row r="856" spans="2:6" ht="12.75">
      <c r="B856" s="10"/>
      <c r="F856" s="280"/>
    </row>
    <row r="857" spans="2:6" ht="12.75">
      <c r="B857" s="10"/>
      <c r="F857" s="280"/>
    </row>
    <row r="858" spans="2:6" ht="12.75">
      <c r="B858" s="10"/>
      <c r="F858" s="280"/>
    </row>
    <row r="859" spans="2:6" ht="12.75">
      <c r="B859" s="10"/>
      <c r="F859" s="280"/>
    </row>
    <row r="860" spans="2:6" ht="12.75">
      <c r="B860" s="10"/>
      <c r="F860" s="280"/>
    </row>
    <row r="861" spans="2:6" ht="12.75">
      <c r="B861" s="10"/>
      <c r="F861" s="280"/>
    </row>
    <row r="862" spans="2:6" ht="12.75">
      <c r="B862" s="10"/>
      <c r="F862" s="280"/>
    </row>
    <row r="863" spans="2:6" ht="12.75">
      <c r="B863" s="10"/>
      <c r="F863" s="280"/>
    </row>
    <row r="864" spans="2:6" ht="12.75">
      <c r="B864" s="10"/>
      <c r="F864" s="280"/>
    </row>
    <row r="865" spans="2:6" ht="12.75">
      <c r="B865" s="10"/>
      <c r="F865" s="280"/>
    </row>
    <row r="866" spans="2:6" ht="12.75">
      <c r="B866" s="10"/>
      <c r="F866" s="280"/>
    </row>
    <row r="867" spans="2:6" ht="12.75">
      <c r="B867" s="10"/>
      <c r="F867" s="280"/>
    </row>
    <row r="868" spans="2:6" ht="12.75">
      <c r="B868" s="10"/>
      <c r="F868" s="280"/>
    </row>
    <row r="869" spans="2:6" ht="12.75">
      <c r="B869" s="10"/>
      <c r="F869" s="280"/>
    </row>
    <row r="870" spans="2:6" ht="12.75">
      <c r="B870" s="10"/>
      <c r="F870" s="280"/>
    </row>
    <row r="871" spans="2:6" ht="12.75">
      <c r="B871" s="10"/>
      <c r="F871" s="280"/>
    </row>
    <row r="872" spans="2:6" ht="12.75">
      <c r="B872" s="10"/>
      <c r="F872" s="280"/>
    </row>
    <row r="873" spans="2:6" ht="12.75">
      <c r="B873" s="10"/>
      <c r="F873" s="280"/>
    </row>
    <row r="874" spans="2:6" ht="12.75">
      <c r="B874" s="10"/>
      <c r="F874" s="280"/>
    </row>
    <row r="875" spans="2:6" ht="12.75">
      <c r="B875" s="10"/>
      <c r="F875" s="280"/>
    </row>
    <row r="876" spans="2:6" ht="12.75">
      <c r="B876" s="10"/>
      <c r="F876" s="280"/>
    </row>
    <row r="877" spans="2:6" ht="12.75">
      <c r="B877" s="10"/>
      <c r="F877" s="280"/>
    </row>
    <row r="878" spans="2:6" ht="12.75">
      <c r="B878" s="10"/>
      <c r="F878" s="280"/>
    </row>
    <row r="879" spans="2:6" ht="12.75">
      <c r="B879" s="10"/>
      <c r="F879" s="280"/>
    </row>
    <row r="880" spans="2:6" ht="12.75">
      <c r="B880" s="10"/>
      <c r="F880" s="280"/>
    </row>
    <row r="881" spans="2:6" ht="12.75">
      <c r="B881" s="10"/>
      <c r="F881" s="280"/>
    </row>
    <row r="882" spans="2:6" ht="12.75">
      <c r="B882" s="10"/>
      <c r="F882" s="280"/>
    </row>
    <row r="883" spans="2:6" ht="12.75">
      <c r="B883" s="10"/>
      <c r="F883" s="280"/>
    </row>
    <row r="884" spans="2:6" ht="12.75">
      <c r="B884" s="10"/>
      <c r="F884" s="280"/>
    </row>
    <row r="885" spans="2:6" ht="12.75">
      <c r="B885" s="10"/>
      <c r="F885" s="280"/>
    </row>
    <row r="886" spans="2:6" ht="12.75">
      <c r="B886" s="10"/>
      <c r="F886" s="280"/>
    </row>
    <row r="887" spans="2:6" ht="12.75">
      <c r="B887" s="10"/>
      <c r="F887" s="280"/>
    </row>
    <row r="888" spans="2:6" ht="12.75">
      <c r="B888" s="10"/>
      <c r="F888" s="280"/>
    </row>
    <row r="889" spans="2:6" ht="12.75">
      <c r="B889" s="10"/>
      <c r="F889" s="280"/>
    </row>
    <row r="890" spans="2:6" ht="12.75">
      <c r="B890" s="10"/>
      <c r="F890" s="280"/>
    </row>
    <row r="891" spans="2:6" ht="12.75">
      <c r="B891" s="10"/>
      <c r="F891" s="280"/>
    </row>
    <row r="892" spans="2:6" ht="12.75">
      <c r="B892" s="10"/>
      <c r="F892" s="280"/>
    </row>
    <row r="893" spans="2:6" ht="12.75">
      <c r="B893" s="10"/>
      <c r="F893" s="280"/>
    </row>
    <row r="894" spans="2:6" ht="12.75">
      <c r="B894" s="10"/>
      <c r="F894" s="280"/>
    </row>
    <row r="895" spans="2:6" ht="12.75">
      <c r="B895" s="10"/>
      <c r="F895" s="280"/>
    </row>
    <row r="896" spans="2:6" ht="12.75">
      <c r="B896" s="10"/>
      <c r="F896" s="280"/>
    </row>
    <row r="897" spans="2:6" ht="12.75">
      <c r="B897" s="10"/>
      <c r="F897" s="280"/>
    </row>
    <row r="898" spans="2:6" ht="12.75">
      <c r="B898" s="10"/>
      <c r="F898" s="280"/>
    </row>
    <row r="899" spans="2:6" ht="12.75">
      <c r="B899" s="10"/>
      <c r="F899" s="280"/>
    </row>
    <row r="900" spans="2:6" ht="12.75">
      <c r="B900" s="10"/>
      <c r="F900" s="280"/>
    </row>
    <row r="901" spans="2:6" ht="12.75">
      <c r="B901" s="10"/>
      <c r="F901" s="280"/>
    </row>
    <row r="902" spans="2:6" ht="12.75">
      <c r="B902" s="10"/>
      <c r="F902" s="280"/>
    </row>
    <row r="903" spans="2:6" ht="12.75">
      <c r="B903" s="10"/>
      <c r="F903" s="280"/>
    </row>
    <row r="904" spans="2:6" ht="12.75">
      <c r="B904" s="10"/>
      <c r="F904" s="280"/>
    </row>
    <row r="905" spans="2:6" ht="12.75">
      <c r="B905" s="10"/>
      <c r="F905" s="280"/>
    </row>
    <row r="906" spans="2:6" ht="12.75">
      <c r="B906" s="10"/>
      <c r="F906" s="280"/>
    </row>
    <row r="907" spans="2:6" ht="12.75">
      <c r="B907" s="10"/>
      <c r="F907" s="280"/>
    </row>
    <row r="908" spans="2:6" ht="12.75">
      <c r="B908" s="10"/>
      <c r="F908" s="280"/>
    </row>
    <row r="909" spans="2:6" ht="12.75">
      <c r="B909" s="10"/>
      <c r="F909" s="280"/>
    </row>
    <row r="910" spans="2:6" ht="12.75">
      <c r="B910" s="10"/>
      <c r="F910" s="280"/>
    </row>
    <row r="911" spans="2:6" ht="12.75">
      <c r="B911" s="10"/>
      <c r="F911" s="280"/>
    </row>
    <row r="912" spans="2:6" ht="12.75">
      <c r="B912" s="10"/>
      <c r="F912" s="280"/>
    </row>
    <row r="913" spans="2:6" ht="12.75">
      <c r="B913" s="10"/>
      <c r="F913" s="280"/>
    </row>
    <row r="914" spans="2:6" ht="12.75">
      <c r="B914" s="10"/>
      <c r="F914" s="280"/>
    </row>
    <row r="915" spans="2:6" ht="12.75">
      <c r="B915" s="10"/>
      <c r="F915" s="280"/>
    </row>
    <row r="916" spans="2:6" ht="12.75">
      <c r="B916" s="10"/>
      <c r="F916" s="280"/>
    </row>
    <row r="917" spans="2:6" ht="12.75">
      <c r="B917" s="10"/>
      <c r="F917" s="280"/>
    </row>
    <row r="918" spans="2:6" ht="12.75">
      <c r="B918" s="10"/>
      <c r="F918" s="280"/>
    </row>
    <row r="919" spans="2:6" ht="12.75">
      <c r="B919" s="10"/>
      <c r="F919" s="280"/>
    </row>
    <row r="920" spans="2:6" ht="12.75">
      <c r="B920" s="10"/>
      <c r="F920" s="280"/>
    </row>
    <row r="921" spans="2:6" ht="12.75">
      <c r="B921" s="10"/>
      <c r="F921" s="280"/>
    </row>
    <row r="922" spans="2:6" ht="12.75">
      <c r="B922" s="10"/>
      <c r="F922" s="280"/>
    </row>
    <row r="923" spans="2:6" ht="12.75">
      <c r="B923" s="10"/>
      <c r="F923" s="280"/>
    </row>
    <row r="924" spans="2:6" ht="12.75">
      <c r="B924" s="10"/>
      <c r="F924" s="280"/>
    </row>
    <row r="925" spans="2:6" ht="12.75">
      <c r="B925" s="10"/>
      <c r="F925" s="280"/>
    </row>
    <row r="926" spans="2:6" ht="12.75">
      <c r="B926" s="10"/>
      <c r="F926" s="280"/>
    </row>
    <row r="927" spans="2:6" ht="12.75">
      <c r="B927" s="10"/>
      <c r="F927" s="280"/>
    </row>
    <row r="928" spans="2:6" ht="12.75">
      <c r="B928" s="10"/>
      <c r="F928" s="280"/>
    </row>
    <row r="929" spans="2:6" ht="12.75">
      <c r="B929" s="10"/>
      <c r="F929" s="280"/>
    </row>
    <row r="930" spans="2:6" ht="12.75">
      <c r="B930" s="10"/>
      <c r="F930" s="280"/>
    </row>
    <row r="931" spans="2:6" ht="12.75">
      <c r="B931" s="10"/>
      <c r="F931" s="280"/>
    </row>
    <row r="932" spans="2:6" ht="12.75">
      <c r="B932" s="10"/>
      <c r="F932" s="280"/>
    </row>
    <row r="933" spans="2:6" ht="12.75">
      <c r="B933" s="10"/>
      <c r="F933" s="280"/>
    </row>
    <row r="934" spans="2:6" ht="12.75">
      <c r="B934" s="10"/>
      <c r="F934" s="280"/>
    </row>
    <row r="935" spans="2:6" ht="12.75">
      <c r="B935" s="10"/>
      <c r="F935" s="280"/>
    </row>
    <row r="936" spans="2:6" ht="12.75">
      <c r="B936" s="10"/>
      <c r="F936" s="280"/>
    </row>
    <row r="937" spans="2:6" ht="12.75">
      <c r="B937" s="10"/>
      <c r="F937" s="280"/>
    </row>
    <row r="938" spans="2:6" ht="12.75">
      <c r="B938" s="10"/>
      <c r="F938" s="280"/>
    </row>
    <row r="939" spans="2:6" ht="12.75">
      <c r="B939" s="10"/>
      <c r="F939" s="280"/>
    </row>
    <row r="940" spans="2:6" ht="12.75">
      <c r="B940" s="10"/>
      <c r="F940" s="280"/>
    </row>
    <row r="941" spans="2:6" ht="12.75">
      <c r="B941" s="10"/>
      <c r="F941" s="280"/>
    </row>
    <row r="942" spans="2:6" ht="12.75">
      <c r="B942" s="10"/>
      <c r="F942" s="280"/>
    </row>
    <row r="943" spans="2:6" ht="12.75">
      <c r="B943" s="10"/>
      <c r="F943" s="280"/>
    </row>
    <row r="944" spans="2:6" ht="12.75">
      <c r="B944" s="10"/>
      <c r="F944" s="280"/>
    </row>
    <row r="945" spans="2:6" ht="12.75">
      <c r="B945" s="10"/>
      <c r="F945" s="280"/>
    </row>
    <row r="946" spans="2:6" ht="12.75">
      <c r="B946" s="10"/>
      <c r="F946" s="280"/>
    </row>
    <row r="947" spans="2:6" ht="12.75">
      <c r="B947" s="10"/>
      <c r="F947" s="280"/>
    </row>
    <row r="948" spans="2:6" ht="12.75">
      <c r="B948" s="10"/>
      <c r="F948" s="280"/>
    </row>
    <row r="949" spans="2:6" ht="12.75">
      <c r="B949" s="10"/>
      <c r="F949" s="280"/>
    </row>
    <row r="950" spans="2:6" ht="12.75">
      <c r="B950" s="10"/>
      <c r="F950" s="280"/>
    </row>
    <row r="951" spans="2:6" ht="12.75">
      <c r="B951" s="10"/>
      <c r="F951" s="280"/>
    </row>
    <row r="952" spans="2:6" ht="12.75">
      <c r="B952" s="10"/>
      <c r="F952" s="280"/>
    </row>
    <row r="953" spans="2:6" ht="12.75">
      <c r="B953" s="10"/>
      <c r="F953" s="280"/>
    </row>
    <row r="954" spans="2:6" ht="12.75">
      <c r="B954" s="10"/>
      <c r="F954" s="280"/>
    </row>
    <row r="955" spans="2:6" ht="12.75">
      <c r="B955" s="10"/>
      <c r="F955" s="280"/>
    </row>
    <row r="956" spans="2:6" ht="12.75">
      <c r="B956" s="10"/>
      <c r="F956" s="280"/>
    </row>
    <row r="957" spans="2:6" ht="12.75">
      <c r="B957" s="10"/>
      <c r="F957" s="280"/>
    </row>
    <row r="958" spans="2:6" ht="12.75">
      <c r="B958" s="10"/>
      <c r="F958" s="280"/>
    </row>
    <row r="959" spans="2:6" ht="12.75">
      <c r="B959" s="10"/>
      <c r="F959" s="280"/>
    </row>
    <row r="960" spans="2:6" ht="12.75">
      <c r="B960" s="10"/>
      <c r="F960" s="280"/>
    </row>
    <row r="961" spans="2:6" ht="12.75">
      <c r="B961" s="10"/>
      <c r="F961" s="280"/>
    </row>
    <row r="962" spans="2:6" ht="12.75">
      <c r="B962" s="10"/>
      <c r="F962" s="280"/>
    </row>
    <row r="963" spans="2:6" ht="12.75">
      <c r="B963" s="10"/>
      <c r="F963" s="280"/>
    </row>
    <row r="964" spans="2:6" ht="12.75">
      <c r="B964" s="10"/>
      <c r="F964" s="280"/>
    </row>
    <row r="965" spans="2:6" ht="12.75">
      <c r="B965" s="10"/>
      <c r="F965" s="280"/>
    </row>
    <row r="966" spans="2:6" ht="12.75">
      <c r="B966" s="10"/>
      <c r="F966" s="280"/>
    </row>
    <row r="967" spans="2:6" ht="12.75">
      <c r="B967" s="10"/>
      <c r="F967" s="280"/>
    </row>
    <row r="968" spans="2:6" ht="12.75">
      <c r="B968" s="10"/>
      <c r="F968" s="280"/>
    </row>
    <row r="969" spans="2:6" ht="12.75">
      <c r="B969" s="10"/>
      <c r="F969" s="280"/>
    </row>
    <row r="970" spans="2:6" ht="12.75">
      <c r="B970" s="10"/>
      <c r="F970" s="280"/>
    </row>
    <row r="971" spans="2:6" ht="12.75">
      <c r="B971" s="10"/>
      <c r="F971" s="280"/>
    </row>
    <row r="972" spans="2:6" ht="12.75">
      <c r="B972" s="10"/>
      <c r="F972" s="280"/>
    </row>
    <row r="973" spans="2:6" ht="12.75">
      <c r="B973" s="10"/>
      <c r="F973" s="280"/>
    </row>
    <row r="974" spans="2:6" ht="12.75">
      <c r="B974" s="10"/>
      <c r="F974" s="280"/>
    </row>
    <row r="975" spans="2:6" ht="12.75">
      <c r="B975" s="10"/>
      <c r="F975" s="280"/>
    </row>
    <row r="976" spans="2:6" ht="12.75">
      <c r="B976" s="10"/>
      <c r="F976" s="280"/>
    </row>
    <row r="977" spans="2:6" ht="12.75">
      <c r="B977" s="10"/>
      <c r="F977" s="280"/>
    </row>
    <row r="978" spans="2:6" ht="12.75">
      <c r="B978" s="10"/>
      <c r="F978" s="280"/>
    </row>
    <row r="979" spans="2:6" ht="12.75">
      <c r="B979" s="10"/>
      <c r="F979" s="280"/>
    </row>
    <row r="980" spans="2:6" ht="12.75">
      <c r="B980" s="10"/>
      <c r="F980" s="280"/>
    </row>
    <row r="981" spans="2:6" ht="12.75">
      <c r="B981" s="10"/>
      <c r="F981" s="280"/>
    </row>
    <row r="982" spans="2:6" ht="12.75">
      <c r="B982" s="10"/>
      <c r="F982" s="280"/>
    </row>
    <row r="983" spans="2:6" ht="12.75">
      <c r="B983" s="10"/>
      <c r="F983" s="280"/>
    </row>
    <row r="984" spans="2:6" ht="12.75">
      <c r="B984" s="10"/>
      <c r="F984" s="280"/>
    </row>
    <row r="985" spans="2:6" ht="12.75">
      <c r="B985" s="10"/>
      <c r="F985" s="280"/>
    </row>
    <row r="986" spans="2:6" ht="12.75">
      <c r="B986" s="10"/>
      <c r="F986" s="280"/>
    </row>
    <row r="987" spans="2:6" ht="12.75">
      <c r="B987" s="10"/>
      <c r="F987" s="280"/>
    </row>
    <row r="988" spans="2:6" ht="12.75">
      <c r="B988" s="10"/>
      <c r="F988" s="280"/>
    </row>
    <row r="989" spans="2:6" ht="12.75">
      <c r="B989" s="10"/>
      <c r="F989" s="280"/>
    </row>
    <row r="990" spans="2:6" ht="12.75">
      <c r="B990" s="10"/>
      <c r="F990" s="280"/>
    </row>
    <row r="991" spans="2:6" ht="12.75">
      <c r="B991" s="10"/>
      <c r="F991" s="280"/>
    </row>
    <row r="992" spans="2:6" ht="12.75">
      <c r="B992" s="10"/>
      <c r="F992" s="280"/>
    </row>
    <row r="993" spans="2:6" ht="12.75">
      <c r="B993" s="10"/>
      <c r="F993" s="280"/>
    </row>
  </sheetData>
  <autoFilter ref="A1:Z37" xr:uid="{00000000-0009-0000-0000-00000A000000}"/>
  <phoneticPr fontId="6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5BBE-F5AC-4F54-9E08-A060BCD62E9A}">
  <sheetPr>
    <tabColor rgb="FF6AA84F"/>
    <outlinePr summaryBelow="0" summaryRight="0"/>
  </sheetPr>
  <dimension ref="A1:AB930"/>
  <sheetViews>
    <sheetView zoomScale="85" zoomScaleNormal="85" workbookViewId="0">
      <selection activeCell="D4" sqref="D4"/>
    </sheetView>
  </sheetViews>
  <sheetFormatPr defaultColWidth="14.42578125" defaultRowHeight="15.75" customHeight="1" outlineLevelRow="1"/>
  <cols>
    <col min="1" max="2" width="22.85546875" style="533" customWidth="1"/>
    <col min="3" max="3" width="21.140625" style="533" customWidth="1"/>
    <col min="4" max="9" width="14.42578125" style="533"/>
    <col min="10" max="10" width="14.42578125" style="570"/>
    <col min="11" max="16384" width="14.42578125" style="533"/>
  </cols>
  <sheetData>
    <row r="1" spans="1:28" ht="16.5">
      <c r="A1" s="558" t="s">
        <v>137</v>
      </c>
      <c r="B1" s="534"/>
      <c r="C1" s="532"/>
      <c r="D1" s="532"/>
      <c r="E1" s="532"/>
      <c r="F1" s="532"/>
      <c r="G1" s="532"/>
      <c r="H1" s="532"/>
    </row>
    <row r="2" spans="1:28" ht="12.75">
      <c r="A2" s="559">
        <v>1670</v>
      </c>
      <c r="B2" s="559"/>
      <c r="C2" s="204"/>
      <c r="D2" s="204"/>
      <c r="E2" s="204"/>
      <c r="F2" s="532"/>
      <c r="G2" s="532"/>
      <c r="H2" s="532"/>
      <c r="I2" s="560"/>
    </row>
    <row r="3" spans="1:28" ht="15" customHeight="1">
      <c r="A3" s="618" t="s">
        <v>0</v>
      </c>
      <c r="B3" s="618"/>
      <c r="C3" s="615"/>
      <c r="D3" s="531" t="s">
        <v>497</v>
      </c>
      <c r="E3" s="531" t="s">
        <v>141</v>
      </c>
      <c r="F3" s="531" t="s">
        <v>6</v>
      </c>
      <c r="G3" s="531" t="s">
        <v>7</v>
      </c>
      <c r="H3" s="531" t="s">
        <v>8</v>
      </c>
      <c r="I3" s="535" t="s">
        <v>493</v>
      </c>
      <c r="J3" s="572" t="s">
        <v>515</v>
      </c>
      <c r="K3" s="573" t="s">
        <v>512</v>
      </c>
      <c r="L3" s="542" t="s">
        <v>510</v>
      </c>
      <c r="M3" s="542" t="s">
        <v>511</v>
      </c>
      <c r="N3" s="542" t="s">
        <v>512</v>
      </c>
      <c r="O3" s="542"/>
      <c r="P3" s="542"/>
      <c r="Q3" s="542"/>
      <c r="R3" s="543" t="s">
        <v>492</v>
      </c>
      <c r="S3" s="542"/>
      <c r="T3" s="542"/>
      <c r="U3" s="542"/>
      <c r="V3" s="542"/>
      <c r="W3" s="542"/>
      <c r="X3" s="542"/>
      <c r="Y3" s="542"/>
      <c r="Z3" s="542"/>
      <c r="AA3" s="542"/>
      <c r="AB3" s="542"/>
    </row>
    <row r="4" spans="1:28" ht="13.5">
      <c r="A4" s="619" t="s">
        <v>15</v>
      </c>
      <c r="B4" s="536">
        <f>_xlfn.XLOOKUP(C4,'메디컬 SKU'!C:C,'메디컬 SKU'!A:A)</f>
        <v>117547</v>
      </c>
      <c r="C4" s="536" t="s">
        <v>142</v>
      </c>
      <c r="D4" s="537">
        <v>42.677419354838719</v>
      </c>
      <c r="E4" s="537">
        <v>96</v>
      </c>
      <c r="F4" s="537">
        <v>324</v>
      </c>
      <c r="G4" s="537">
        <v>324</v>
      </c>
      <c r="H4" s="537">
        <v>360</v>
      </c>
      <c r="I4" s="538">
        <f>K4</f>
        <v>240</v>
      </c>
      <c r="J4" s="572">
        <v>40</v>
      </c>
      <c r="K4" s="574">
        <f>J4*M4</f>
        <v>240</v>
      </c>
      <c r="L4" s="544">
        <v>108</v>
      </c>
      <c r="M4" s="544">
        <v>6</v>
      </c>
      <c r="N4" s="544">
        <f>L4*M4</f>
        <v>648</v>
      </c>
      <c r="O4" s="542" t="s">
        <v>485</v>
      </c>
      <c r="P4" s="542" t="s">
        <v>509</v>
      </c>
      <c r="Q4" s="566" t="s">
        <v>491</v>
      </c>
      <c r="R4" s="567">
        <f>D22</f>
        <v>471490242.55376357</v>
      </c>
      <c r="S4" s="544"/>
      <c r="T4" s="544"/>
      <c r="U4" s="544"/>
      <c r="V4" s="544"/>
      <c r="W4" s="542"/>
      <c r="X4" s="542"/>
      <c r="Y4" s="542"/>
      <c r="Z4" s="542"/>
      <c r="AA4" s="542"/>
      <c r="AB4" s="542"/>
    </row>
    <row r="5" spans="1:28" ht="13.5">
      <c r="A5" s="615"/>
      <c r="B5" s="536">
        <f>_xlfn.XLOOKUP(C5,'메디컬 SKU'!C:C,'메디컬 SKU'!A:A)</f>
        <v>552897</v>
      </c>
      <c r="C5" s="536" t="s">
        <v>143</v>
      </c>
      <c r="D5" s="537">
        <v>6566</v>
      </c>
      <c r="E5" s="537">
        <v>0</v>
      </c>
      <c r="F5" s="537">
        <v>0</v>
      </c>
      <c r="G5" s="537">
        <v>0</v>
      </c>
      <c r="H5" s="537">
        <v>0</v>
      </c>
      <c r="I5" s="538">
        <f t="shared" ref="I5:I19" si="0">K5</f>
        <v>0</v>
      </c>
      <c r="J5" s="572">
        <v>0</v>
      </c>
      <c r="K5" s="574">
        <f t="shared" ref="K5:K19" si="1">J5*M5</f>
        <v>0</v>
      </c>
      <c r="L5" s="542">
        <v>245</v>
      </c>
      <c r="M5" s="542">
        <v>10</v>
      </c>
      <c r="N5" s="544">
        <f t="shared" ref="N5:N19" si="2">L5*M5</f>
        <v>2450</v>
      </c>
      <c r="O5" s="542" t="s">
        <v>486</v>
      </c>
      <c r="P5" s="542" t="s">
        <v>499</v>
      </c>
      <c r="Q5" s="563" t="s">
        <v>504</v>
      </c>
      <c r="R5" s="562">
        <f>E22</f>
        <v>828863501.5</v>
      </c>
      <c r="S5" s="542"/>
      <c r="T5" s="542"/>
      <c r="U5" s="542"/>
      <c r="V5" s="542"/>
      <c r="W5" s="542"/>
      <c r="X5" s="542"/>
      <c r="Y5" s="542"/>
      <c r="Z5" s="542"/>
      <c r="AA5" s="542"/>
      <c r="AB5" s="542"/>
    </row>
    <row r="6" spans="1:28" ht="13.5">
      <c r="A6" s="615"/>
      <c r="B6" s="536">
        <f>_xlfn.XLOOKUP(C6,'메디컬 SKU'!C:C,'메디컬 SKU'!A:A)</f>
        <v>117771</v>
      </c>
      <c r="C6" s="536" t="s">
        <v>144</v>
      </c>
      <c r="D6" s="537">
        <v>220</v>
      </c>
      <c r="E6" s="537">
        <v>0</v>
      </c>
      <c r="F6" s="537">
        <v>60</v>
      </c>
      <c r="G6" s="537">
        <v>60</v>
      </c>
      <c r="H6" s="537">
        <v>120</v>
      </c>
      <c r="I6" s="538">
        <f t="shared" si="0"/>
        <v>204</v>
      </c>
      <c r="J6" s="572">
        <v>68</v>
      </c>
      <c r="K6" s="574">
        <f t="shared" si="1"/>
        <v>204</v>
      </c>
      <c r="L6" s="542">
        <v>200</v>
      </c>
      <c r="M6" s="542">
        <v>3</v>
      </c>
      <c r="N6" s="544">
        <f t="shared" si="2"/>
        <v>600</v>
      </c>
      <c r="O6" s="542" t="s">
        <v>487</v>
      </c>
      <c r="P6" s="542" t="s">
        <v>500</v>
      </c>
      <c r="Q6" s="568" t="s">
        <v>503</v>
      </c>
      <c r="R6" s="567">
        <f>F22</f>
        <v>300870317.33333331</v>
      </c>
      <c r="S6" s="542"/>
      <c r="T6" s="542"/>
      <c r="U6" s="542"/>
      <c r="V6" s="542"/>
      <c r="W6" s="542"/>
      <c r="X6" s="542"/>
      <c r="Y6" s="542"/>
      <c r="Z6" s="542"/>
      <c r="AA6" s="542"/>
      <c r="AB6" s="542"/>
    </row>
    <row r="7" spans="1:28" ht="13.5">
      <c r="A7" s="615"/>
      <c r="B7" s="536">
        <f>_xlfn.XLOOKUP(C7,'메디컬 SKU'!C:C,'메디컬 SKU'!A:A)</f>
        <v>646546</v>
      </c>
      <c r="C7" s="536" t="s">
        <v>145</v>
      </c>
      <c r="D7" s="537">
        <v>28.709677419354833</v>
      </c>
      <c r="E7" s="537">
        <v>0</v>
      </c>
      <c r="F7" s="537">
        <v>68</v>
      </c>
      <c r="G7" s="537">
        <v>0</v>
      </c>
      <c r="H7" s="537">
        <v>0</v>
      </c>
      <c r="I7" s="538">
        <f t="shared" si="0"/>
        <v>165</v>
      </c>
      <c r="J7" s="572">
        <v>55</v>
      </c>
      <c r="K7" s="574">
        <f t="shared" si="1"/>
        <v>165</v>
      </c>
      <c r="L7" s="542">
        <v>225</v>
      </c>
      <c r="M7" s="542">
        <v>3</v>
      </c>
      <c r="N7" s="544">
        <f t="shared" si="2"/>
        <v>675</v>
      </c>
      <c r="O7" s="542" t="s">
        <v>488</v>
      </c>
      <c r="P7" s="542" t="s">
        <v>501</v>
      </c>
      <c r="Q7" s="564" t="s">
        <v>502</v>
      </c>
      <c r="R7" s="562">
        <f>G22</f>
        <v>156893160</v>
      </c>
      <c r="S7" s="542"/>
      <c r="T7" s="542"/>
      <c r="U7" s="542"/>
      <c r="V7" s="542"/>
      <c r="W7" s="542"/>
      <c r="X7" s="542"/>
      <c r="Y7" s="542"/>
      <c r="Z7" s="542"/>
      <c r="AA7" s="542"/>
      <c r="AB7" s="542"/>
    </row>
    <row r="8" spans="1:28" ht="13.5">
      <c r="A8" s="615"/>
      <c r="B8" s="536">
        <f>_xlfn.XLOOKUP(C8,'메디컬 SKU'!C:C,'메디컬 SKU'!A:A)</f>
        <v>646567</v>
      </c>
      <c r="C8" s="536" t="s">
        <v>146</v>
      </c>
      <c r="D8" s="537">
        <v>61.258064516129032</v>
      </c>
      <c r="E8" s="537">
        <v>68</v>
      </c>
      <c r="F8" s="537">
        <v>0</v>
      </c>
      <c r="G8" s="537">
        <v>0</v>
      </c>
      <c r="H8" s="537">
        <v>0</v>
      </c>
      <c r="I8" s="538">
        <f t="shared" si="0"/>
        <v>159</v>
      </c>
      <c r="J8" s="572">
        <v>53</v>
      </c>
      <c r="K8" s="574">
        <f t="shared" si="1"/>
        <v>159</v>
      </c>
      <c r="L8" s="542">
        <v>225</v>
      </c>
      <c r="M8" s="542">
        <v>3</v>
      </c>
      <c r="N8" s="544">
        <f t="shared" si="2"/>
        <v>675</v>
      </c>
      <c r="O8" s="542" t="s">
        <v>489</v>
      </c>
      <c r="P8" s="561" t="s">
        <v>505</v>
      </c>
      <c r="Q8" s="563" t="s">
        <v>507</v>
      </c>
      <c r="R8" s="562">
        <f>H22</f>
        <v>63795670</v>
      </c>
      <c r="S8" s="542"/>
      <c r="T8" s="542"/>
      <c r="U8" s="542"/>
      <c r="V8" s="542"/>
      <c r="W8" s="542"/>
      <c r="X8" s="542"/>
      <c r="Y8" s="542"/>
      <c r="Z8" s="542"/>
      <c r="AA8" s="542"/>
      <c r="AB8" s="542"/>
    </row>
    <row r="9" spans="1:28" ht="13.5">
      <c r="A9" s="615"/>
      <c r="B9" s="536">
        <f>_xlfn.XLOOKUP(C9,'메디컬 SKU'!C:C,'메디컬 SKU'!A:A)</f>
        <v>691217</v>
      </c>
      <c r="C9" s="536" t="s">
        <v>147</v>
      </c>
      <c r="D9" s="537">
        <v>20</v>
      </c>
      <c r="E9" s="537">
        <v>48</v>
      </c>
      <c r="F9" s="537">
        <v>84</v>
      </c>
      <c r="G9" s="537">
        <v>0</v>
      </c>
      <c r="H9" s="537">
        <v>0</v>
      </c>
      <c r="I9" s="538">
        <f t="shared" si="0"/>
        <v>84</v>
      </c>
      <c r="J9" s="572">
        <v>7</v>
      </c>
      <c r="K9" s="574">
        <f t="shared" si="1"/>
        <v>84</v>
      </c>
      <c r="L9" s="542">
        <v>70</v>
      </c>
      <c r="M9" s="542">
        <v>12</v>
      </c>
      <c r="N9" s="544">
        <f t="shared" si="2"/>
        <v>840</v>
      </c>
      <c r="O9" s="542" t="s">
        <v>490</v>
      </c>
      <c r="P9" s="561" t="s">
        <v>506</v>
      </c>
      <c r="Q9" s="563" t="s">
        <v>508</v>
      </c>
      <c r="R9" s="565">
        <f>I22</f>
        <v>409132131</v>
      </c>
      <c r="S9" s="542"/>
      <c r="T9" s="542"/>
      <c r="U9" s="542"/>
      <c r="V9" s="542"/>
      <c r="W9" s="542"/>
      <c r="X9" s="542"/>
      <c r="Y9" s="542"/>
      <c r="Z9" s="542"/>
      <c r="AA9" s="542"/>
      <c r="AB9" s="542"/>
    </row>
    <row r="10" spans="1:28" ht="12.75">
      <c r="A10" s="615"/>
      <c r="B10" s="536">
        <f>_xlfn.XLOOKUP(C10,'메디컬 SKU'!C:C,'메디컬 SKU'!A:A)</f>
        <v>611174</v>
      </c>
      <c r="C10" s="536" t="s">
        <v>148</v>
      </c>
      <c r="D10" s="537">
        <v>3472</v>
      </c>
      <c r="E10" s="537">
        <v>19008</v>
      </c>
      <c r="F10" s="537">
        <v>0</v>
      </c>
      <c r="G10" s="537">
        <v>0</v>
      </c>
      <c r="H10" s="537">
        <v>0</v>
      </c>
      <c r="I10" s="538">
        <f t="shared" si="0"/>
        <v>0</v>
      </c>
      <c r="J10" s="572">
        <v>0</v>
      </c>
      <c r="K10" s="574">
        <f t="shared" si="1"/>
        <v>0</v>
      </c>
      <c r="L10" s="542">
        <v>72</v>
      </c>
      <c r="M10" s="542">
        <v>12</v>
      </c>
      <c r="N10" s="544">
        <f t="shared" si="2"/>
        <v>864</v>
      </c>
      <c r="O10" s="542"/>
      <c r="P10" s="542"/>
      <c r="Q10" s="542"/>
      <c r="R10" s="569">
        <f>SUM(R4:R9)</f>
        <v>2231045022.3870969</v>
      </c>
      <c r="S10" s="542"/>
      <c r="T10" s="542"/>
      <c r="U10" s="542"/>
      <c r="V10" s="542"/>
      <c r="W10" s="542"/>
      <c r="X10" s="542"/>
      <c r="Y10" s="542"/>
      <c r="Z10" s="542"/>
      <c r="AA10" s="542"/>
      <c r="AB10" s="542"/>
    </row>
    <row r="11" spans="1:28" ht="12.75">
      <c r="A11" s="615"/>
      <c r="B11" s="536">
        <f>_xlfn.XLOOKUP(C11,'메디컬 SKU'!C:C,'메디컬 SKU'!A:A)</f>
        <v>701775</v>
      </c>
      <c r="C11" s="536" t="s">
        <v>149</v>
      </c>
      <c r="D11" s="537">
        <v>4116.3870967741932</v>
      </c>
      <c r="E11" s="537">
        <v>0</v>
      </c>
      <c r="F11" s="537">
        <v>4536</v>
      </c>
      <c r="G11" s="537">
        <v>2592</v>
      </c>
      <c r="H11" s="537">
        <v>0</v>
      </c>
      <c r="I11" s="538">
        <f t="shared" si="0"/>
        <v>1944</v>
      </c>
      <c r="J11" s="572">
        <v>324</v>
      </c>
      <c r="K11" s="574">
        <f t="shared" si="1"/>
        <v>1944</v>
      </c>
      <c r="L11" s="542">
        <v>108</v>
      </c>
      <c r="M11" s="542">
        <v>6</v>
      </c>
      <c r="N11" s="544">
        <f t="shared" si="2"/>
        <v>648</v>
      </c>
      <c r="O11" s="542"/>
      <c r="P11" s="542"/>
      <c r="Q11" s="542"/>
      <c r="R11" s="542"/>
      <c r="S11" s="542"/>
      <c r="T11" s="542"/>
      <c r="U11" s="542"/>
      <c r="V11" s="542"/>
      <c r="W11" s="542"/>
      <c r="X11" s="542"/>
      <c r="Y11" s="542"/>
      <c r="Z11" s="542"/>
      <c r="AA11" s="542"/>
      <c r="AB11" s="542"/>
    </row>
    <row r="12" spans="1:28" ht="12.75">
      <c r="A12" s="615"/>
      <c r="B12" s="536">
        <f>_xlfn.XLOOKUP(C12,'메디컬 SKU'!C:C,'메디컬 SKU'!A:A)</f>
        <v>646548</v>
      </c>
      <c r="C12" s="536" t="s">
        <v>150</v>
      </c>
      <c r="D12" s="537">
        <v>38.41935483870968</v>
      </c>
      <c r="E12" s="537">
        <v>168</v>
      </c>
      <c r="F12" s="537">
        <v>0</v>
      </c>
      <c r="G12" s="537">
        <v>0</v>
      </c>
      <c r="H12" s="537">
        <v>60</v>
      </c>
      <c r="I12" s="538">
        <f t="shared" si="0"/>
        <v>138</v>
      </c>
      <c r="J12" s="572">
        <v>46</v>
      </c>
      <c r="K12" s="574">
        <f t="shared" si="1"/>
        <v>138</v>
      </c>
      <c r="L12" s="542">
        <v>225</v>
      </c>
      <c r="M12" s="542">
        <v>3</v>
      </c>
      <c r="N12" s="544">
        <f t="shared" si="2"/>
        <v>675</v>
      </c>
      <c r="O12" s="542"/>
      <c r="P12" s="542"/>
      <c r="Q12" s="542"/>
      <c r="R12" s="542"/>
      <c r="S12" s="542"/>
      <c r="T12" s="542"/>
      <c r="U12" s="542"/>
      <c r="V12" s="542"/>
      <c r="W12" s="542"/>
      <c r="X12" s="542"/>
      <c r="Y12" s="542"/>
      <c r="Z12" s="542"/>
      <c r="AA12" s="542"/>
      <c r="AB12" s="542"/>
    </row>
    <row r="13" spans="1:28" ht="12.75">
      <c r="A13" s="615"/>
      <c r="B13" s="536">
        <f>_xlfn.XLOOKUP(C13,'메디컬 SKU'!C:C,'메디컬 SKU'!A:A)</f>
        <v>589462</v>
      </c>
      <c r="C13" s="536" t="s">
        <v>151</v>
      </c>
      <c r="D13" s="537">
        <v>141</v>
      </c>
      <c r="E13" s="537">
        <v>96</v>
      </c>
      <c r="F13" s="537">
        <v>0</v>
      </c>
      <c r="G13" s="537">
        <v>65</v>
      </c>
      <c r="H13" s="537">
        <v>60</v>
      </c>
      <c r="I13" s="538">
        <f t="shared" si="0"/>
        <v>132</v>
      </c>
      <c r="J13" s="572">
        <v>22</v>
      </c>
      <c r="K13" s="574">
        <f t="shared" si="1"/>
        <v>132</v>
      </c>
      <c r="L13" s="542">
        <v>108</v>
      </c>
      <c r="M13" s="542">
        <v>6</v>
      </c>
      <c r="N13" s="544">
        <f t="shared" si="2"/>
        <v>648</v>
      </c>
      <c r="O13" s="542"/>
      <c r="P13" s="542"/>
      <c r="Q13" s="542"/>
      <c r="R13" s="542"/>
      <c r="S13" s="542"/>
      <c r="T13" s="542"/>
      <c r="U13" s="542"/>
      <c r="V13" s="542"/>
      <c r="W13" s="542"/>
      <c r="X13" s="542"/>
      <c r="Y13" s="542"/>
      <c r="Z13" s="542"/>
      <c r="AA13" s="542"/>
      <c r="AB13" s="542"/>
    </row>
    <row r="14" spans="1:28" ht="12.75">
      <c r="A14" s="615"/>
      <c r="B14" s="536">
        <f>_xlfn.XLOOKUP(C14,'메디컬 SKU'!C:C,'메디컬 SKU'!A:A)</f>
        <v>589466</v>
      </c>
      <c r="C14" s="536" t="s">
        <v>152</v>
      </c>
      <c r="D14" s="537">
        <v>9.1290322580645125</v>
      </c>
      <c r="E14" s="537">
        <v>259</v>
      </c>
      <c r="F14" s="537">
        <v>0</v>
      </c>
      <c r="G14" s="537">
        <v>0</v>
      </c>
      <c r="H14" s="537">
        <v>180</v>
      </c>
      <c r="I14" s="538">
        <f t="shared" si="0"/>
        <v>330</v>
      </c>
      <c r="J14" s="572">
        <v>55</v>
      </c>
      <c r="K14" s="574">
        <f t="shared" si="1"/>
        <v>330</v>
      </c>
      <c r="L14" s="542">
        <v>108</v>
      </c>
      <c r="M14" s="542">
        <v>6</v>
      </c>
      <c r="N14" s="544">
        <f t="shared" si="2"/>
        <v>648</v>
      </c>
      <c r="O14" s="542"/>
      <c r="P14" s="542"/>
      <c r="Q14" s="542"/>
      <c r="R14" s="542"/>
      <c r="S14" s="542"/>
      <c r="T14" s="542"/>
      <c r="U14" s="542"/>
      <c r="V14" s="542"/>
      <c r="W14" s="542"/>
      <c r="X14" s="542"/>
      <c r="Y14" s="542"/>
      <c r="Z14" s="542"/>
      <c r="AA14" s="542"/>
      <c r="AB14" s="542"/>
    </row>
    <row r="15" spans="1:28" ht="12.75">
      <c r="A15" s="615"/>
      <c r="B15" s="536">
        <f>_xlfn.XLOOKUP(C15,'메디컬 SKU'!C:C,'메디컬 SKU'!A:A)</f>
        <v>116180</v>
      </c>
      <c r="C15" s="536" t="s">
        <v>153</v>
      </c>
      <c r="D15" s="537">
        <v>82</v>
      </c>
      <c r="E15" s="537">
        <v>420</v>
      </c>
      <c r="F15" s="537">
        <v>60</v>
      </c>
      <c r="G15" s="537">
        <v>60</v>
      </c>
      <c r="H15" s="537">
        <v>90</v>
      </c>
      <c r="I15" s="538">
        <f t="shared" si="0"/>
        <v>735</v>
      </c>
      <c r="J15" s="572">
        <v>245</v>
      </c>
      <c r="K15" s="574">
        <f t="shared" si="1"/>
        <v>735</v>
      </c>
      <c r="L15" s="542">
        <v>200</v>
      </c>
      <c r="M15" s="542">
        <v>3</v>
      </c>
      <c r="N15" s="544">
        <f t="shared" si="2"/>
        <v>600</v>
      </c>
      <c r="O15" s="542"/>
      <c r="P15" s="542"/>
      <c r="Q15" s="542"/>
      <c r="R15" s="542"/>
      <c r="S15" s="542"/>
      <c r="T15" s="542"/>
      <c r="U15" s="542"/>
      <c r="V15" s="542"/>
      <c r="W15" s="542"/>
      <c r="X15" s="542"/>
      <c r="Y15" s="542"/>
      <c r="Z15" s="542"/>
      <c r="AA15" s="542"/>
      <c r="AB15" s="542"/>
    </row>
    <row r="16" spans="1:28" ht="12.75">
      <c r="A16" s="615"/>
      <c r="B16" s="536">
        <f>_xlfn.XLOOKUP(C16,'메디컬 SKU'!C:C,'메디컬 SKU'!A:A)</f>
        <v>695413</v>
      </c>
      <c r="C16" s="536" t="s">
        <v>154</v>
      </c>
      <c r="D16" s="537">
        <v>25.516129032258064</v>
      </c>
      <c r="E16" s="537">
        <v>238</v>
      </c>
      <c r="F16" s="537">
        <v>0</v>
      </c>
      <c r="G16" s="537">
        <v>0</v>
      </c>
      <c r="H16" s="537">
        <v>120</v>
      </c>
      <c r="I16" s="538">
        <f t="shared" si="0"/>
        <v>96</v>
      </c>
      <c r="J16" s="572">
        <v>16</v>
      </c>
      <c r="K16" s="574">
        <f t="shared" si="1"/>
        <v>96</v>
      </c>
      <c r="L16" s="542">
        <v>132</v>
      </c>
      <c r="M16" s="542">
        <v>6</v>
      </c>
      <c r="N16" s="544">
        <f t="shared" si="2"/>
        <v>792</v>
      </c>
      <c r="O16" s="542"/>
      <c r="P16" s="542"/>
      <c r="Q16" s="542"/>
      <c r="R16" s="542"/>
      <c r="S16" s="542"/>
      <c r="T16" s="542"/>
      <c r="U16" s="542"/>
      <c r="V16" s="542"/>
      <c r="W16" s="542"/>
      <c r="X16" s="542"/>
      <c r="Y16" s="542"/>
      <c r="Z16" s="542"/>
      <c r="AA16" s="542"/>
      <c r="AB16" s="542"/>
    </row>
    <row r="17" spans="1:28" ht="12.75">
      <c r="A17" s="615"/>
      <c r="B17" s="536">
        <f>_xlfn.XLOOKUP(C17,'메디컬 SKU'!C:C,'메디컬 SKU'!A:A)</f>
        <v>699883</v>
      </c>
      <c r="C17" s="536" t="s">
        <v>155</v>
      </c>
      <c r="D17" s="537">
        <v>72.838709677419359</v>
      </c>
      <c r="E17" s="537">
        <v>86</v>
      </c>
      <c r="F17" s="537">
        <v>0</v>
      </c>
      <c r="G17" s="537">
        <v>0</v>
      </c>
      <c r="H17" s="537">
        <v>90</v>
      </c>
      <c r="I17" s="538">
        <f t="shared" si="0"/>
        <v>144</v>
      </c>
      <c r="J17" s="572">
        <v>24</v>
      </c>
      <c r="K17" s="574">
        <f t="shared" si="1"/>
        <v>144</v>
      </c>
      <c r="L17" s="542">
        <v>144</v>
      </c>
      <c r="M17" s="542">
        <v>6</v>
      </c>
      <c r="N17" s="544">
        <f t="shared" si="2"/>
        <v>864</v>
      </c>
      <c r="O17" s="542"/>
      <c r="P17" s="542"/>
      <c r="Q17" s="542"/>
      <c r="R17" s="542"/>
      <c r="S17" s="542"/>
      <c r="T17" s="542"/>
      <c r="U17" s="542"/>
      <c r="V17" s="542"/>
      <c r="W17" s="542"/>
      <c r="X17" s="542"/>
      <c r="Y17" s="542"/>
      <c r="Z17" s="542"/>
      <c r="AA17" s="542"/>
      <c r="AB17" s="542"/>
    </row>
    <row r="18" spans="1:28" ht="12.75">
      <c r="A18" s="615"/>
      <c r="B18" s="536">
        <f>_xlfn.XLOOKUP(C18,'메디컬 SKU'!C:C,'메디컬 SKU'!A:A)</f>
        <v>645380</v>
      </c>
      <c r="C18" s="536" t="s">
        <v>156</v>
      </c>
      <c r="D18" s="537">
        <v>261.1935483870966</v>
      </c>
      <c r="E18" s="537">
        <v>3454</v>
      </c>
      <c r="F18" s="537">
        <v>864</v>
      </c>
      <c r="G18" s="537">
        <v>0</v>
      </c>
      <c r="H18" s="537">
        <v>0</v>
      </c>
      <c r="I18" s="538">
        <f t="shared" si="0"/>
        <v>2400</v>
      </c>
      <c r="J18" s="572">
        <v>200</v>
      </c>
      <c r="K18" s="574">
        <f t="shared" si="1"/>
        <v>2400</v>
      </c>
      <c r="L18" s="542">
        <v>72</v>
      </c>
      <c r="M18" s="542">
        <v>12</v>
      </c>
      <c r="N18" s="544">
        <f t="shared" si="2"/>
        <v>864</v>
      </c>
      <c r="O18" s="542"/>
      <c r="P18" s="542"/>
      <c r="Q18" s="542"/>
      <c r="R18" s="542"/>
      <c r="S18" s="542"/>
      <c r="T18" s="542"/>
      <c r="U18" s="542"/>
      <c r="V18" s="542"/>
      <c r="W18" s="542"/>
      <c r="X18" s="542"/>
      <c r="Y18" s="542"/>
      <c r="Z18" s="542"/>
      <c r="AA18" s="542"/>
      <c r="AB18" s="542"/>
    </row>
    <row r="19" spans="1:28" ht="12.75">
      <c r="A19" s="615"/>
      <c r="B19" s="536">
        <f>_xlfn.XLOOKUP(C19,'메디컬 SKU'!C:C,'메디컬 SKU'!A:A)</f>
        <v>578785</v>
      </c>
      <c r="C19" s="536" t="s">
        <v>157</v>
      </c>
      <c r="D19" s="537">
        <v>176.70967741935488</v>
      </c>
      <c r="E19" s="537">
        <v>735</v>
      </c>
      <c r="F19" s="537">
        <v>0</v>
      </c>
      <c r="G19" s="537">
        <v>0</v>
      </c>
      <c r="H19" s="537">
        <v>0</v>
      </c>
      <c r="I19" s="538">
        <f t="shared" si="0"/>
        <v>3310</v>
      </c>
      <c r="J19" s="572">
        <v>331</v>
      </c>
      <c r="K19" s="574">
        <f t="shared" si="1"/>
        <v>3310</v>
      </c>
      <c r="L19" s="542">
        <v>245</v>
      </c>
      <c r="M19" s="542">
        <v>10</v>
      </c>
      <c r="N19" s="544">
        <f t="shared" si="2"/>
        <v>2450</v>
      </c>
      <c r="O19" s="542"/>
      <c r="P19" s="542"/>
      <c r="Q19" s="542"/>
      <c r="R19" s="542"/>
      <c r="S19" s="542"/>
      <c r="T19" s="542"/>
      <c r="U19" s="542"/>
      <c r="V19" s="542"/>
      <c r="W19" s="542"/>
      <c r="X19" s="542"/>
      <c r="Y19" s="542"/>
      <c r="Z19" s="542"/>
      <c r="AA19" s="542"/>
      <c r="AB19" s="542"/>
    </row>
    <row r="20" spans="1:28" ht="12.75">
      <c r="A20" s="615"/>
      <c r="B20" s="622" t="s">
        <v>18</v>
      </c>
      <c r="C20" s="622"/>
      <c r="D20" s="539">
        <f t="shared" ref="D20:I20" si="3">SUM(D4:D19)</f>
        <v>15333.838709677417</v>
      </c>
      <c r="E20" s="539">
        <f t="shared" si="3"/>
        <v>24676</v>
      </c>
      <c r="F20" s="539">
        <f t="shared" si="3"/>
        <v>5996</v>
      </c>
      <c r="G20" s="539">
        <f t="shared" si="3"/>
        <v>3101</v>
      </c>
      <c r="H20" s="539">
        <f t="shared" si="3"/>
        <v>1080</v>
      </c>
      <c r="I20" s="539">
        <f t="shared" si="3"/>
        <v>10081</v>
      </c>
      <c r="J20" s="571"/>
      <c r="K20" s="542"/>
      <c r="L20" s="542"/>
      <c r="M20" s="542"/>
      <c r="N20" s="542"/>
      <c r="O20" s="542"/>
      <c r="P20" s="542"/>
      <c r="Q20" s="542"/>
      <c r="R20" s="542"/>
      <c r="S20" s="542"/>
      <c r="T20" s="542"/>
      <c r="U20" s="542"/>
      <c r="V20" s="542"/>
      <c r="W20" s="542"/>
      <c r="X20" s="542"/>
      <c r="Y20" s="542"/>
      <c r="Z20" s="542"/>
      <c r="AA20" s="542"/>
      <c r="AB20" s="542"/>
    </row>
    <row r="21" spans="1:28" ht="12.75">
      <c r="A21" s="615"/>
      <c r="B21" s="622" t="s">
        <v>19</v>
      </c>
      <c r="C21" s="622"/>
      <c r="D21" s="539">
        <f>금액!H56</f>
        <v>282329.48655913986</v>
      </c>
      <c r="E21" s="539">
        <f>금액!I56</f>
        <v>496325.45</v>
      </c>
      <c r="F21" s="539">
        <f>금액!J56</f>
        <v>180161.86666666667</v>
      </c>
      <c r="G21" s="539">
        <f>금액!K56</f>
        <v>93948</v>
      </c>
      <c r="H21" s="539">
        <f>금액!L56</f>
        <v>38201</v>
      </c>
      <c r="I21" s="539">
        <f>'금액(2)'!M56</f>
        <v>244989.3</v>
      </c>
      <c r="J21" s="571"/>
      <c r="K21" s="542"/>
      <c r="L21" s="542"/>
      <c r="M21" s="542"/>
      <c r="N21" s="542"/>
      <c r="O21" s="542"/>
      <c r="P21" s="542"/>
      <c r="Q21" s="542"/>
      <c r="R21" s="542"/>
      <c r="S21" s="542"/>
      <c r="T21" s="542"/>
      <c r="U21" s="542"/>
      <c r="V21" s="542"/>
      <c r="W21" s="542"/>
      <c r="X21" s="542"/>
      <c r="Y21" s="542"/>
      <c r="Z21" s="542"/>
      <c r="AA21" s="542"/>
      <c r="AB21" s="542"/>
    </row>
    <row r="22" spans="1:28" ht="12.75">
      <c r="A22" s="615"/>
      <c r="B22" s="622" t="s">
        <v>20</v>
      </c>
      <c r="C22" s="622"/>
      <c r="D22" s="539">
        <f t="shared" ref="D22:I22" si="4">D21*$A$2</f>
        <v>471490242.55376357</v>
      </c>
      <c r="E22" s="539">
        <f t="shared" si="4"/>
        <v>828863501.5</v>
      </c>
      <c r="F22" s="539">
        <f t="shared" si="4"/>
        <v>300870317.33333331</v>
      </c>
      <c r="G22" s="539">
        <f t="shared" si="4"/>
        <v>156893160</v>
      </c>
      <c r="H22" s="539">
        <f t="shared" si="4"/>
        <v>63795670</v>
      </c>
      <c r="I22" s="539">
        <f t="shared" si="4"/>
        <v>409132131</v>
      </c>
      <c r="J22" s="571"/>
      <c r="K22" s="542"/>
      <c r="L22" s="542" t="s">
        <v>515</v>
      </c>
      <c r="M22" s="542"/>
      <c r="N22" s="542"/>
      <c r="O22" s="542"/>
      <c r="P22" s="542"/>
      <c r="Q22" s="542"/>
      <c r="R22" s="542"/>
      <c r="S22" s="542"/>
      <c r="T22" s="542"/>
      <c r="U22" s="542"/>
      <c r="V22" s="542"/>
      <c r="W22" s="542"/>
      <c r="X22" s="542"/>
      <c r="Y22" s="542"/>
      <c r="Z22" s="542"/>
      <c r="AA22" s="542"/>
      <c r="AB22" s="542"/>
    </row>
    <row r="23" spans="1:28" ht="13.5">
      <c r="A23" s="532"/>
      <c r="B23" s="532"/>
      <c r="C23" s="532"/>
      <c r="D23" s="532"/>
      <c r="E23" s="532"/>
      <c r="F23" s="532"/>
      <c r="G23" s="532"/>
      <c r="H23" s="532"/>
      <c r="K23" s="575" t="s">
        <v>513</v>
      </c>
      <c r="L23" s="576">
        <v>1500</v>
      </c>
      <c r="M23" s="576">
        <f>L23*M5</f>
        <v>15000</v>
      </c>
    </row>
    <row r="24" spans="1:28" ht="12.75" outlineLevel="1">
      <c r="A24" s="532"/>
      <c r="B24" s="532"/>
      <c r="C24" s="532"/>
      <c r="D24" s="540"/>
      <c r="E24" s="540" t="s">
        <v>22</v>
      </c>
      <c r="F24" s="540" t="s">
        <v>22</v>
      </c>
      <c r="G24" s="540" t="s">
        <v>22</v>
      </c>
      <c r="H24" s="540" t="s">
        <v>22</v>
      </c>
      <c r="L24" s="576"/>
      <c r="M24" s="576"/>
    </row>
    <row r="25" spans="1:28" ht="12.75" outlineLevel="1">
      <c r="A25" s="620" t="s">
        <v>23</v>
      </c>
      <c r="B25" s="620"/>
      <c r="C25" s="615"/>
      <c r="D25" s="545" t="s">
        <v>140</v>
      </c>
      <c r="E25" s="545" t="s">
        <v>141</v>
      </c>
      <c r="F25" s="545" t="s">
        <v>6</v>
      </c>
      <c r="G25" s="545" t="s">
        <v>7</v>
      </c>
      <c r="H25" s="545" t="s">
        <v>8</v>
      </c>
      <c r="I25" s="546" t="s">
        <v>493</v>
      </c>
      <c r="J25" s="571"/>
      <c r="K25" s="542"/>
      <c r="L25" s="577"/>
      <c r="M25" s="577"/>
      <c r="N25" s="542"/>
      <c r="O25" s="542"/>
      <c r="P25" s="542"/>
      <c r="Q25" s="542"/>
      <c r="R25" s="542"/>
      <c r="S25" s="542"/>
      <c r="T25" s="542"/>
      <c r="U25" s="542"/>
      <c r="V25" s="542"/>
      <c r="W25" s="542"/>
      <c r="X25" s="542"/>
      <c r="Y25" s="542"/>
      <c r="Z25" s="542"/>
      <c r="AA25" s="542"/>
      <c r="AB25" s="542"/>
    </row>
    <row r="26" spans="1:28" ht="12.75" outlineLevel="1">
      <c r="A26" s="621" t="s">
        <v>158</v>
      </c>
      <c r="B26" s="536">
        <f>_xlfn.XLOOKUP(C26,'메디컬 SKU'!C:C,'메디컬 SKU'!A:A)</f>
        <v>117547</v>
      </c>
      <c r="C26" s="547" t="s">
        <v>142</v>
      </c>
      <c r="D26" s="537"/>
      <c r="E26" s="537">
        <v>187</v>
      </c>
      <c r="F26" s="537">
        <v>187</v>
      </c>
      <c r="G26" s="537">
        <v>187</v>
      </c>
      <c r="H26" s="537">
        <v>187</v>
      </c>
      <c r="I26" s="537">
        <f>AVERAGE(G26:H26)</f>
        <v>187</v>
      </c>
      <c r="J26" s="571"/>
      <c r="K26" s="544"/>
      <c r="L26" s="577"/>
      <c r="M26" s="577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</row>
    <row r="27" spans="1:28" ht="12.75" outlineLevel="1">
      <c r="A27" s="615"/>
      <c r="B27" s="536">
        <f>_xlfn.XLOOKUP(C27,'메디컬 SKU'!C:C,'메디컬 SKU'!A:A)</f>
        <v>552897</v>
      </c>
      <c r="C27" s="547" t="s">
        <v>143</v>
      </c>
      <c r="D27" s="537"/>
      <c r="E27" s="537">
        <v>1453</v>
      </c>
      <c r="F27" s="537">
        <v>593</v>
      </c>
      <c r="G27" s="537">
        <v>593</v>
      </c>
      <c r="H27" s="537">
        <v>1453</v>
      </c>
      <c r="I27" s="537">
        <f t="shared" ref="I27:I41" si="5">AVERAGE(G27:H27)</f>
        <v>1023</v>
      </c>
      <c r="J27" s="571"/>
      <c r="K27" s="544"/>
      <c r="L27" s="577"/>
      <c r="M27" s="577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</row>
    <row r="28" spans="1:28" ht="12.75" outlineLevel="1">
      <c r="A28" s="615"/>
      <c r="B28" s="536">
        <f>_xlfn.XLOOKUP(C28,'메디컬 SKU'!C:C,'메디컬 SKU'!A:A)</f>
        <v>117771</v>
      </c>
      <c r="C28" s="547" t="s">
        <v>144</v>
      </c>
      <c r="D28" s="537"/>
      <c r="E28" s="537">
        <v>121</v>
      </c>
      <c r="F28" s="537">
        <v>56</v>
      </c>
      <c r="G28" s="537">
        <v>56</v>
      </c>
      <c r="H28" s="537">
        <v>121</v>
      </c>
      <c r="I28" s="537">
        <f t="shared" si="5"/>
        <v>88.5</v>
      </c>
      <c r="J28" s="571"/>
      <c r="K28" s="544"/>
      <c r="L28" s="577"/>
      <c r="M28" s="577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</row>
    <row r="29" spans="1:28" ht="12.75" outlineLevel="1">
      <c r="A29" s="615"/>
      <c r="B29" s="536">
        <f>_xlfn.XLOOKUP(C29,'메디컬 SKU'!C:C,'메디컬 SKU'!A:A)</f>
        <v>646546</v>
      </c>
      <c r="C29" s="547" t="s">
        <v>145</v>
      </c>
      <c r="D29" s="537"/>
      <c r="E29" s="537">
        <v>35</v>
      </c>
      <c r="F29" s="537">
        <v>35</v>
      </c>
      <c r="G29" s="537">
        <v>35</v>
      </c>
      <c r="H29" s="537">
        <v>35</v>
      </c>
      <c r="I29" s="537">
        <f t="shared" si="5"/>
        <v>35</v>
      </c>
      <c r="J29" s="571"/>
      <c r="K29" s="544"/>
      <c r="L29" s="577"/>
      <c r="M29" s="577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</row>
    <row r="30" spans="1:28" ht="12.75" outlineLevel="1">
      <c r="A30" s="615"/>
      <c r="B30" s="536">
        <f>_xlfn.XLOOKUP(C30,'메디컬 SKU'!C:C,'메디컬 SKU'!A:A)</f>
        <v>646567</v>
      </c>
      <c r="C30" s="547" t="s">
        <v>146</v>
      </c>
      <c r="D30" s="537"/>
      <c r="E30" s="537">
        <v>55</v>
      </c>
      <c r="F30" s="537">
        <v>22</v>
      </c>
      <c r="G30" s="537">
        <v>22</v>
      </c>
      <c r="H30" s="537">
        <v>55</v>
      </c>
      <c r="I30" s="537">
        <f t="shared" si="5"/>
        <v>38.5</v>
      </c>
      <c r="J30" s="571"/>
      <c r="K30" s="544"/>
      <c r="L30" s="577"/>
      <c r="M30" s="577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</row>
    <row r="31" spans="1:28" ht="12.75" outlineLevel="1">
      <c r="A31" s="615"/>
      <c r="B31" s="536">
        <f>_xlfn.XLOOKUP(C31,'메디컬 SKU'!C:C,'메디컬 SKU'!A:A)</f>
        <v>691217</v>
      </c>
      <c r="C31" s="547" t="s">
        <v>147</v>
      </c>
      <c r="D31" s="537"/>
      <c r="E31" s="537">
        <v>31</v>
      </c>
      <c r="F31" s="537">
        <v>31</v>
      </c>
      <c r="G31" s="537">
        <v>31</v>
      </c>
      <c r="H31" s="537">
        <v>31</v>
      </c>
      <c r="I31" s="537">
        <f t="shared" si="5"/>
        <v>31</v>
      </c>
      <c r="J31" s="571"/>
      <c r="K31" s="544"/>
      <c r="L31" s="577"/>
      <c r="M31" s="577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</row>
    <row r="32" spans="1:28" ht="12.75" outlineLevel="1">
      <c r="A32" s="615"/>
      <c r="B32" s="536">
        <f>_xlfn.XLOOKUP(C32,'메디컬 SKU'!C:C,'메디컬 SKU'!A:A)</f>
        <v>611174</v>
      </c>
      <c r="C32" s="547" t="s">
        <v>148</v>
      </c>
      <c r="D32" s="537"/>
      <c r="E32" s="537">
        <v>2951</v>
      </c>
      <c r="F32" s="537">
        <v>3000</v>
      </c>
      <c r="G32" s="537">
        <v>3000</v>
      </c>
      <c r="H32" s="537">
        <v>2951</v>
      </c>
      <c r="I32" s="537">
        <f t="shared" si="5"/>
        <v>2975.5</v>
      </c>
      <c r="J32" s="571"/>
      <c r="K32" s="544"/>
      <c r="L32" s="577"/>
      <c r="M32" s="577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</row>
    <row r="33" spans="1:28" ht="12.75" outlineLevel="1">
      <c r="A33" s="615"/>
      <c r="B33" s="536">
        <f>_xlfn.XLOOKUP(C33,'메디컬 SKU'!C:C,'메디컬 SKU'!A:A)</f>
        <v>701775</v>
      </c>
      <c r="C33" s="547" t="s">
        <v>149</v>
      </c>
      <c r="D33" s="537"/>
      <c r="E33" s="537">
        <v>2237</v>
      </c>
      <c r="F33" s="537">
        <v>1763</v>
      </c>
      <c r="G33" s="537">
        <v>1763</v>
      </c>
      <c r="H33" s="537">
        <v>2237</v>
      </c>
      <c r="I33" s="537">
        <f t="shared" si="5"/>
        <v>2000</v>
      </c>
      <c r="J33" s="571"/>
      <c r="K33" s="544"/>
      <c r="L33" s="577"/>
      <c r="M33" s="577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</row>
    <row r="34" spans="1:28" ht="12.75" outlineLevel="1">
      <c r="A34" s="615"/>
      <c r="B34" s="536">
        <f>_xlfn.XLOOKUP(C34,'메디컬 SKU'!C:C,'메디컬 SKU'!A:A)</f>
        <v>646548</v>
      </c>
      <c r="C34" s="547" t="s">
        <v>150</v>
      </c>
      <c r="D34" s="537"/>
      <c r="E34" s="537">
        <v>70</v>
      </c>
      <c r="F34" s="537">
        <v>38</v>
      </c>
      <c r="G34" s="537">
        <v>38</v>
      </c>
      <c r="H34" s="537">
        <v>70</v>
      </c>
      <c r="I34" s="537">
        <f t="shared" si="5"/>
        <v>54</v>
      </c>
      <c r="J34" s="571"/>
      <c r="K34" s="544"/>
      <c r="L34" s="577"/>
      <c r="M34" s="577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</row>
    <row r="35" spans="1:28" ht="12.75" outlineLevel="1">
      <c r="A35" s="615"/>
      <c r="B35" s="536">
        <f>_xlfn.XLOOKUP(C35,'메디컬 SKU'!C:C,'메디컬 SKU'!A:A)</f>
        <v>589462</v>
      </c>
      <c r="C35" s="547" t="s">
        <v>151</v>
      </c>
      <c r="D35" s="537"/>
      <c r="E35" s="537">
        <v>102</v>
      </c>
      <c r="F35" s="537">
        <v>30</v>
      </c>
      <c r="G35" s="537">
        <v>30</v>
      </c>
      <c r="H35" s="537">
        <v>102</v>
      </c>
      <c r="I35" s="537">
        <f t="shared" si="5"/>
        <v>66</v>
      </c>
      <c r="J35" s="571"/>
      <c r="K35" s="544"/>
      <c r="L35" s="577"/>
      <c r="M35" s="577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</row>
    <row r="36" spans="1:28" ht="12.75" outlineLevel="1">
      <c r="A36" s="615"/>
      <c r="B36" s="536">
        <f>_xlfn.XLOOKUP(C36,'메디컬 SKU'!C:C,'메디컬 SKU'!A:A)</f>
        <v>589466</v>
      </c>
      <c r="C36" s="547" t="s">
        <v>152</v>
      </c>
      <c r="D36" s="537"/>
      <c r="E36" s="537">
        <v>136</v>
      </c>
      <c r="F36" s="537">
        <v>72</v>
      </c>
      <c r="G36" s="537">
        <v>72</v>
      </c>
      <c r="H36" s="537">
        <v>136</v>
      </c>
      <c r="I36" s="537">
        <f t="shared" si="5"/>
        <v>104</v>
      </c>
      <c r="J36" s="571"/>
      <c r="K36" s="544"/>
      <c r="L36" s="577"/>
      <c r="M36" s="577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</row>
    <row r="37" spans="1:28" ht="12.75" outlineLevel="1">
      <c r="A37" s="615"/>
      <c r="B37" s="536">
        <f>_xlfn.XLOOKUP(C37,'메디컬 SKU'!C:C,'메디컬 SKU'!A:A)</f>
        <v>116180</v>
      </c>
      <c r="C37" s="547" t="s">
        <v>153</v>
      </c>
      <c r="D37" s="537"/>
      <c r="E37" s="537">
        <v>357</v>
      </c>
      <c r="F37" s="537">
        <v>30</v>
      </c>
      <c r="G37" s="537">
        <v>30</v>
      </c>
      <c r="H37" s="537">
        <v>357</v>
      </c>
      <c r="I37" s="537">
        <f t="shared" si="5"/>
        <v>193.5</v>
      </c>
      <c r="J37" s="571"/>
      <c r="K37" s="544"/>
      <c r="L37" s="577"/>
      <c r="M37" s="577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</row>
    <row r="38" spans="1:28" ht="12.75" outlineLevel="1">
      <c r="A38" s="615"/>
      <c r="B38" s="536">
        <f>_xlfn.XLOOKUP(C38,'메디컬 SKU'!C:C,'메디컬 SKU'!A:A)</f>
        <v>695413</v>
      </c>
      <c r="C38" s="547" t="s">
        <v>154</v>
      </c>
      <c r="D38" s="537"/>
      <c r="E38" s="537">
        <v>79</v>
      </c>
      <c r="F38" s="537">
        <v>49</v>
      </c>
      <c r="G38" s="537">
        <v>49</v>
      </c>
      <c r="H38" s="537">
        <v>79</v>
      </c>
      <c r="I38" s="537">
        <f t="shared" si="5"/>
        <v>64</v>
      </c>
      <c r="J38" s="571"/>
      <c r="K38" s="544"/>
      <c r="L38" s="577"/>
      <c r="M38" s="577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</row>
    <row r="39" spans="1:28" ht="12.75" outlineLevel="1">
      <c r="A39" s="615"/>
      <c r="B39" s="536">
        <f>_xlfn.XLOOKUP(C39,'메디컬 SKU'!C:C,'메디컬 SKU'!A:A)</f>
        <v>699883</v>
      </c>
      <c r="C39" s="547" t="s">
        <v>155</v>
      </c>
      <c r="D39" s="537"/>
      <c r="E39" s="537">
        <v>78</v>
      </c>
      <c r="F39" s="537">
        <v>26</v>
      </c>
      <c r="G39" s="537">
        <v>26</v>
      </c>
      <c r="H39" s="537">
        <v>78</v>
      </c>
      <c r="I39" s="537">
        <f t="shared" si="5"/>
        <v>52</v>
      </c>
      <c r="J39" s="571"/>
      <c r="K39" s="544"/>
      <c r="L39" s="577"/>
      <c r="M39" s="577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</row>
    <row r="40" spans="1:28" ht="12.75" outlineLevel="1">
      <c r="A40" s="615"/>
      <c r="B40" s="536">
        <f>_xlfn.XLOOKUP(C40,'메디컬 SKU'!C:C,'메디컬 SKU'!A:A)</f>
        <v>645380</v>
      </c>
      <c r="C40" s="547" t="s">
        <v>156</v>
      </c>
      <c r="D40" s="537"/>
      <c r="E40" s="537">
        <v>917</v>
      </c>
      <c r="F40" s="537">
        <v>917</v>
      </c>
      <c r="G40" s="537">
        <v>917</v>
      </c>
      <c r="H40" s="537">
        <v>917</v>
      </c>
      <c r="I40" s="537">
        <f t="shared" si="5"/>
        <v>917</v>
      </c>
      <c r="J40" s="571"/>
      <c r="K40" s="544"/>
      <c r="L40" s="577"/>
      <c r="M40" s="577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</row>
    <row r="41" spans="1:28" ht="12.75" outlineLevel="1">
      <c r="A41" s="615"/>
      <c r="B41" s="536">
        <f>_xlfn.XLOOKUP(C41,'메디컬 SKU'!C:C,'메디컬 SKU'!A:A)</f>
        <v>578785</v>
      </c>
      <c r="C41" s="547" t="s">
        <v>157</v>
      </c>
      <c r="D41" s="537"/>
      <c r="E41" s="537">
        <v>345</v>
      </c>
      <c r="F41" s="537">
        <v>185</v>
      </c>
      <c r="G41" s="537">
        <v>185</v>
      </c>
      <c r="H41" s="537">
        <v>345</v>
      </c>
      <c r="I41" s="537">
        <f t="shared" si="5"/>
        <v>265</v>
      </c>
      <c r="J41" s="571"/>
      <c r="K41" s="544"/>
      <c r="L41" s="577"/>
      <c r="M41" s="577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</row>
    <row r="42" spans="1:28" ht="12.75" outlineLevel="1">
      <c r="A42" s="615"/>
      <c r="B42" s="623" t="s">
        <v>18</v>
      </c>
      <c r="C42" s="623"/>
      <c r="D42" s="548">
        <f t="shared" ref="D42:H42" si="6">SUM(D26:D41)</f>
        <v>0</v>
      </c>
      <c r="E42" s="548">
        <f t="shared" si="6"/>
        <v>9154</v>
      </c>
      <c r="F42" s="548">
        <f t="shared" si="6"/>
        <v>7034</v>
      </c>
      <c r="G42" s="548">
        <f t="shared" si="6"/>
        <v>7034</v>
      </c>
      <c r="H42" s="548">
        <f t="shared" si="6"/>
        <v>9154</v>
      </c>
      <c r="I42" s="548">
        <f t="shared" ref="I42" si="7">SUM(I26:I41)</f>
        <v>8094</v>
      </c>
      <c r="J42" s="571"/>
      <c r="K42" s="542"/>
      <c r="L42" s="577"/>
      <c r="M42" s="577"/>
      <c r="N42" s="542"/>
      <c r="O42" s="542"/>
      <c r="P42" s="542"/>
      <c r="Q42" s="542"/>
      <c r="R42" s="542"/>
      <c r="S42" s="542"/>
      <c r="T42" s="542"/>
      <c r="U42" s="542"/>
      <c r="V42" s="542"/>
      <c r="W42" s="542"/>
      <c r="X42" s="542"/>
      <c r="Y42" s="542"/>
      <c r="Z42" s="542"/>
      <c r="AA42" s="542"/>
      <c r="AB42" s="542"/>
    </row>
    <row r="43" spans="1:28" ht="13.5" collapsed="1">
      <c r="A43" s="532"/>
      <c r="B43" s="532"/>
      <c r="C43" s="532"/>
      <c r="D43" s="532"/>
      <c r="E43" s="532"/>
      <c r="F43" s="532"/>
      <c r="G43" s="532"/>
      <c r="H43" s="532"/>
      <c r="K43" s="575" t="s">
        <v>514</v>
      </c>
      <c r="L43" s="576">
        <v>1008</v>
      </c>
      <c r="M43" s="576">
        <f>L43*M10</f>
        <v>12096</v>
      </c>
    </row>
    <row r="44" spans="1:28" ht="12.75" hidden="1" outlineLevel="1">
      <c r="A44" s="532"/>
      <c r="B44" s="532"/>
      <c r="C44" s="532"/>
      <c r="D44" s="541" t="s">
        <v>496</v>
      </c>
      <c r="E44" s="532"/>
      <c r="F44" s="532"/>
      <c r="G44" s="532"/>
      <c r="H44" s="532"/>
      <c r="L44" s="576"/>
      <c r="M44" s="576"/>
    </row>
    <row r="45" spans="1:28" ht="12.75" hidden="1" outlineLevel="1">
      <c r="A45" s="616" t="s">
        <v>159</v>
      </c>
      <c r="B45" s="616"/>
      <c r="C45" s="615"/>
      <c r="D45" s="549" t="s">
        <v>4</v>
      </c>
      <c r="E45" s="549" t="s">
        <v>141</v>
      </c>
      <c r="F45" s="549" t="s">
        <v>6</v>
      </c>
      <c r="G45" s="549" t="s">
        <v>7</v>
      </c>
      <c r="H45" s="549" t="s">
        <v>8</v>
      </c>
      <c r="I45" s="550" t="s">
        <v>493</v>
      </c>
      <c r="J45" s="571"/>
      <c r="K45" s="542"/>
      <c r="L45" s="577"/>
      <c r="M45" s="577"/>
      <c r="N45" s="542"/>
      <c r="O45" s="542"/>
      <c r="P45" s="542"/>
      <c r="Q45" s="542"/>
      <c r="R45" s="542"/>
      <c r="S45" s="542"/>
      <c r="T45" s="542"/>
      <c r="U45" s="542"/>
      <c r="V45" s="542"/>
      <c r="W45" s="542"/>
      <c r="X45" s="542"/>
      <c r="Y45" s="542"/>
      <c r="Z45" s="542"/>
      <c r="AA45" s="542"/>
      <c r="AB45" s="542"/>
    </row>
    <row r="46" spans="1:28" ht="12.75" hidden="1" outlineLevel="1">
      <c r="A46" s="614" t="s">
        <v>27</v>
      </c>
      <c r="B46" s="536">
        <f>_xlfn.XLOOKUP(C46,'메디컬 SKU'!C:C,'메디컬 SKU'!A:A)</f>
        <v>117547</v>
      </c>
      <c r="C46" s="547" t="s">
        <v>142</v>
      </c>
      <c r="D46" s="551">
        <v>43</v>
      </c>
      <c r="E46" s="552">
        <f t="shared" ref="E46:I61" si="8">D46+E4-E26</f>
        <v>-48</v>
      </c>
      <c r="F46" s="551">
        <f t="shared" si="8"/>
        <v>89</v>
      </c>
      <c r="G46" s="551">
        <f t="shared" si="8"/>
        <v>226</v>
      </c>
      <c r="H46" s="551">
        <f t="shared" si="8"/>
        <v>399</v>
      </c>
      <c r="I46" s="551">
        <f t="shared" si="8"/>
        <v>452</v>
      </c>
      <c r="J46" s="571"/>
      <c r="K46" s="544"/>
      <c r="L46" s="577"/>
      <c r="M46" s="577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</row>
    <row r="47" spans="1:28" ht="12.75" hidden="1" outlineLevel="1">
      <c r="A47" s="615"/>
      <c r="B47" s="536">
        <f>_xlfn.XLOOKUP(C47,'메디컬 SKU'!C:C,'메디컬 SKU'!A:A)</f>
        <v>552897</v>
      </c>
      <c r="C47" s="547" t="s">
        <v>143</v>
      </c>
      <c r="D47" s="537">
        <v>6566</v>
      </c>
      <c r="E47" s="537">
        <f t="shared" si="8"/>
        <v>5113</v>
      </c>
      <c r="F47" s="537">
        <f t="shared" si="8"/>
        <v>4520</v>
      </c>
      <c r="G47" s="537">
        <f t="shared" si="8"/>
        <v>3927</v>
      </c>
      <c r="H47" s="537">
        <f t="shared" si="8"/>
        <v>2474</v>
      </c>
      <c r="I47" s="537">
        <f t="shared" si="8"/>
        <v>1451</v>
      </c>
      <c r="J47" s="571"/>
      <c r="K47" s="544"/>
      <c r="L47" s="577"/>
      <c r="M47" s="577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</row>
    <row r="48" spans="1:28" ht="12.75" hidden="1" outlineLevel="1">
      <c r="A48" s="615"/>
      <c r="B48" s="536">
        <f>_xlfn.XLOOKUP(C48,'메디컬 SKU'!C:C,'메디컬 SKU'!A:A)</f>
        <v>117771</v>
      </c>
      <c r="C48" s="547" t="s">
        <v>144</v>
      </c>
      <c r="D48" s="537">
        <v>220</v>
      </c>
      <c r="E48" s="537">
        <f t="shared" si="8"/>
        <v>99</v>
      </c>
      <c r="F48" s="537">
        <f t="shared" si="8"/>
        <v>103</v>
      </c>
      <c r="G48" s="537">
        <f t="shared" si="8"/>
        <v>107</v>
      </c>
      <c r="H48" s="537">
        <f t="shared" si="8"/>
        <v>106</v>
      </c>
      <c r="I48" s="537">
        <f t="shared" si="8"/>
        <v>221.5</v>
      </c>
      <c r="J48" s="571"/>
      <c r="K48" s="544"/>
      <c r="L48" s="577"/>
      <c r="M48" s="577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</row>
    <row r="49" spans="1:28" ht="12.75" hidden="1" outlineLevel="1">
      <c r="A49" s="615"/>
      <c r="B49" s="536">
        <f>_xlfn.XLOOKUP(C49,'메디컬 SKU'!C:C,'메디컬 SKU'!A:A)</f>
        <v>646546</v>
      </c>
      <c r="C49" s="547" t="s">
        <v>145</v>
      </c>
      <c r="D49" s="551">
        <v>29</v>
      </c>
      <c r="E49" s="552">
        <f t="shared" si="8"/>
        <v>-6</v>
      </c>
      <c r="F49" s="551">
        <f t="shared" si="8"/>
        <v>27</v>
      </c>
      <c r="G49" s="552">
        <f t="shared" si="8"/>
        <v>-8</v>
      </c>
      <c r="H49" s="552">
        <f t="shared" si="8"/>
        <v>-43</v>
      </c>
      <c r="I49" s="552">
        <f t="shared" si="8"/>
        <v>87</v>
      </c>
      <c r="J49" s="571"/>
      <c r="K49" s="544"/>
      <c r="L49" s="577"/>
      <c r="M49" s="577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</row>
    <row r="50" spans="1:28" ht="12.75" hidden="1" outlineLevel="1">
      <c r="A50" s="615"/>
      <c r="B50" s="536">
        <f>_xlfn.XLOOKUP(C50,'메디컬 SKU'!C:C,'메디컬 SKU'!A:A)</f>
        <v>646567</v>
      </c>
      <c r="C50" s="547" t="s">
        <v>146</v>
      </c>
      <c r="D50" s="537">
        <v>61</v>
      </c>
      <c r="E50" s="537">
        <f t="shared" si="8"/>
        <v>74</v>
      </c>
      <c r="F50" s="537">
        <f t="shared" si="8"/>
        <v>52</v>
      </c>
      <c r="G50" s="537">
        <f t="shared" si="8"/>
        <v>30</v>
      </c>
      <c r="H50" s="537">
        <f t="shared" si="8"/>
        <v>-25</v>
      </c>
      <c r="I50" s="537">
        <f t="shared" si="8"/>
        <v>95.5</v>
      </c>
      <c r="J50" s="571"/>
      <c r="K50" s="544"/>
      <c r="L50" s="577"/>
      <c r="M50" s="577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</row>
    <row r="51" spans="1:28" ht="12.75" hidden="1" outlineLevel="1">
      <c r="A51" s="615"/>
      <c r="B51" s="536">
        <f>_xlfn.XLOOKUP(C51,'메디컬 SKU'!C:C,'메디컬 SKU'!A:A)</f>
        <v>691217</v>
      </c>
      <c r="C51" s="547" t="s">
        <v>147</v>
      </c>
      <c r="D51" s="537">
        <v>20</v>
      </c>
      <c r="E51" s="537">
        <f t="shared" si="8"/>
        <v>37</v>
      </c>
      <c r="F51" s="537">
        <f t="shared" si="8"/>
        <v>90</v>
      </c>
      <c r="G51" s="537">
        <f t="shared" si="8"/>
        <v>59</v>
      </c>
      <c r="H51" s="537">
        <f t="shared" si="8"/>
        <v>28</v>
      </c>
      <c r="I51" s="537">
        <f t="shared" si="8"/>
        <v>81</v>
      </c>
      <c r="J51" s="571"/>
      <c r="K51" s="544"/>
      <c r="L51" s="577"/>
      <c r="M51" s="577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</row>
    <row r="52" spans="1:28" ht="12.75" hidden="1" outlineLevel="1">
      <c r="A52" s="615"/>
      <c r="B52" s="536">
        <f>_xlfn.XLOOKUP(C52,'메디컬 SKU'!C:C,'메디컬 SKU'!A:A)</f>
        <v>611174</v>
      </c>
      <c r="C52" s="547" t="s">
        <v>148</v>
      </c>
      <c r="D52" s="537">
        <v>3472</v>
      </c>
      <c r="E52" s="537">
        <f t="shared" si="8"/>
        <v>19529</v>
      </c>
      <c r="F52" s="537">
        <f t="shared" si="8"/>
        <v>16529</v>
      </c>
      <c r="G52" s="537">
        <f t="shared" si="8"/>
        <v>13529</v>
      </c>
      <c r="H52" s="537">
        <f t="shared" si="8"/>
        <v>10578</v>
      </c>
      <c r="I52" s="537">
        <f t="shared" si="8"/>
        <v>7602.5</v>
      </c>
      <c r="J52" s="571"/>
      <c r="K52" s="544"/>
      <c r="L52" s="577"/>
      <c r="M52" s="577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</row>
    <row r="53" spans="1:28" ht="12.75" hidden="1" outlineLevel="1">
      <c r="A53" s="615"/>
      <c r="B53" s="536">
        <f>_xlfn.XLOOKUP(C53,'메디컬 SKU'!C:C,'메디컬 SKU'!A:A)</f>
        <v>701775</v>
      </c>
      <c r="C53" s="547" t="s">
        <v>149</v>
      </c>
      <c r="D53" s="537">
        <v>4116</v>
      </c>
      <c r="E53" s="537">
        <f t="shared" si="8"/>
        <v>1879</v>
      </c>
      <c r="F53" s="537">
        <f t="shared" si="8"/>
        <v>4652</v>
      </c>
      <c r="G53" s="537">
        <f t="shared" si="8"/>
        <v>5481</v>
      </c>
      <c r="H53" s="537">
        <f t="shared" si="8"/>
        <v>3244</v>
      </c>
      <c r="I53" s="537">
        <f t="shared" si="8"/>
        <v>3188</v>
      </c>
      <c r="J53" s="571"/>
      <c r="K53" s="544"/>
      <c r="L53" s="577"/>
      <c r="M53" s="577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</row>
    <row r="54" spans="1:28" ht="12.75" hidden="1" outlineLevel="1">
      <c r="A54" s="615"/>
      <c r="B54" s="536">
        <f>_xlfn.XLOOKUP(C54,'메디컬 SKU'!C:C,'메디컬 SKU'!A:A)</f>
        <v>646548</v>
      </c>
      <c r="C54" s="547" t="s">
        <v>150</v>
      </c>
      <c r="D54" s="537">
        <v>38</v>
      </c>
      <c r="E54" s="537">
        <f t="shared" si="8"/>
        <v>136</v>
      </c>
      <c r="F54" s="537">
        <f t="shared" si="8"/>
        <v>98</v>
      </c>
      <c r="G54" s="537">
        <f t="shared" si="8"/>
        <v>60</v>
      </c>
      <c r="H54" s="537">
        <f t="shared" si="8"/>
        <v>50</v>
      </c>
      <c r="I54" s="537">
        <f t="shared" si="8"/>
        <v>134</v>
      </c>
      <c r="J54" s="571"/>
      <c r="K54" s="544"/>
      <c r="L54" s="577"/>
      <c r="M54" s="577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</row>
    <row r="55" spans="1:28" ht="12.75" hidden="1" outlineLevel="1">
      <c r="A55" s="615"/>
      <c r="B55" s="536">
        <f>_xlfn.XLOOKUP(C55,'메디컬 SKU'!C:C,'메디컬 SKU'!A:A)</f>
        <v>589462</v>
      </c>
      <c r="C55" s="547" t="s">
        <v>151</v>
      </c>
      <c r="D55" s="537">
        <v>141</v>
      </c>
      <c r="E55" s="537">
        <f t="shared" si="8"/>
        <v>135</v>
      </c>
      <c r="F55" s="537">
        <f t="shared" si="8"/>
        <v>105</v>
      </c>
      <c r="G55" s="537">
        <f t="shared" si="8"/>
        <v>140</v>
      </c>
      <c r="H55" s="537">
        <f t="shared" si="8"/>
        <v>98</v>
      </c>
      <c r="I55" s="537">
        <f t="shared" si="8"/>
        <v>164</v>
      </c>
      <c r="J55" s="571"/>
      <c r="K55" s="544"/>
      <c r="L55" s="577"/>
      <c r="M55" s="577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</row>
    <row r="56" spans="1:28" ht="12.75" hidden="1" outlineLevel="1">
      <c r="A56" s="615"/>
      <c r="B56" s="536">
        <f>_xlfn.XLOOKUP(C56,'메디컬 SKU'!C:C,'메디컬 SKU'!A:A)</f>
        <v>589466</v>
      </c>
      <c r="C56" s="547" t="s">
        <v>152</v>
      </c>
      <c r="D56" s="537">
        <v>9</v>
      </c>
      <c r="E56" s="537">
        <f t="shared" si="8"/>
        <v>132</v>
      </c>
      <c r="F56" s="537">
        <f t="shared" si="8"/>
        <v>60</v>
      </c>
      <c r="G56" s="537">
        <f t="shared" si="8"/>
        <v>-12</v>
      </c>
      <c r="H56" s="537">
        <f t="shared" si="8"/>
        <v>32</v>
      </c>
      <c r="I56" s="537">
        <f t="shared" si="8"/>
        <v>258</v>
      </c>
      <c r="J56" s="571"/>
      <c r="K56" s="544"/>
      <c r="L56" s="577"/>
      <c r="M56" s="577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</row>
    <row r="57" spans="1:28" ht="12.75" hidden="1" outlineLevel="1">
      <c r="A57" s="615"/>
      <c r="B57" s="536">
        <f>_xlfn.XLOOKUP(C57,'메디컬 SKU'!C:C,'메디컬 SKU'!A:A)</f>
        <v>116180</v>
      </c>
      <c r="C57" s="547" t="s">
        <v>153</v>
      </c>
      <c r="D57" s="537">
        <v>82</v>
      </c>
      <c r="E57" s="537">
        <f t="shared" si="8"/>
        <v>145</v>
      </c>
      <c r="F57" s="537">
        <f t="shared" si="8"/>
        <v>175</v>
      </c>
      <c r="G57" s="537">
        <f t="shared" si="8"/>
        <v>205</v>
      </c>
      <c r="H57" s="537">
        <f t="shared" si="8"/>
        <v>-62</v>
      </c>
      <c r="I57" s="537">
        <f t="shared" si="8"/>
        <v>479.5</v>
      </c>
      <c r="J57" s="571"/>
      <c r="K57" s="544"/>
      <c r="L57" s="577"/>
      <c r="M57" s="577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</row>
    <row r="58" spans="1:28" ht="12.75" hidden="1" outlineLevel="1">
      <c r="A58" s="615"/>
      <c r="B58" s="536">
        <f>_xlfn.XLOOKUP(C58,'메디컬 SKU'!C:C,'메디컬 SKU'!A:A)</f>
        <v>695413</v>
      </c>
      <c r="C58" s="547" t="s">
        <v>154</v>
      </c>
      <c r="D58" s="537">
        <v>26</v>
      </c>
      <c r="E58" s="537">
        <f t="shared" si="8"/>
        <v>185</v>
      </c>
      <c r="F58" s="537">
        <f t="shared" si="8"/>
        <v>136</v>
      </c>
      <c r="G58" s="537">
        <f t="shared" si="8"/>
        <v>87</v>
      </c>
      <c r="H58" s="537">
        <f t="shared" si="8"/>
        <v>128</v>
      </c>
      <c r="I58" s="537">
        <f t="shared" si="8"/>
        <v>160</v>
      </c>
      <c r="J58" s="571"/>
      <c r="K58" s="544"/>
      <c r="L58" s="577"/>
      <c r="M58" s="577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</row>
    <row r="59" spans="1:28" ht="12.75" hidden="1" outlineLevel="1">
      <c r="A59" s="615"/>
      <c r="B59" s="536">
        <f>_xlfn.XLOOKUP(C59,'메디컬 SKU'!C:C,'메디컬 SKU'!A:A)</f>
        <v>699883</v>
      </c>
      <c r="C59" s="547" t="s">
        <v>155</v>
      </c>
      <c r="D59" s="537">
        <v>73</v>
      </c>
      <c r="E59" s="537">
        <f t="shared" si="8"/>
        <v>81</v>
      </c>
      <c r="F59" s="537">
        <f t="shared" si="8"/>
        <v>55</v>
      </c>
      <c r="G59" s="537">
        <f t="shared" si="8"/>
        <v>29</v>
      </c>
      <c r="H59" s="537">
        <f t="shared" si="8"/>
        <v>41</v>
      </c>
      <c r="I59" s="537">
        <f t="shared" si="8"/>
        <v>133</v>
      </c>
      <c r="J59" s="571"/>
      <c r="K59" s="544"/>
      <c r="L59" s="577"/>
      <c r="M59" s="577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</row>
    <row r="60" spans="1:28" ht="12.75" hidden="1" outlineLevel="1">
      <c r="A60" s="615"/>
      <c r="B60" s="536">
        <f>_xlfn.XLOOKUP(C60,'메디컬 SKU'!C:C,'메디컬 SKU'!A:A)</f>
        <v>645380</v>
      </c>
      <c r="C60" s="547" t="s">
        <v>156</v>
      </c>
      <c r="D60" s="537">
        <v>261</v>
      </c>
      <c r="E60" s="537">
        <f t="shared" si="8"/>
        <v>2798</v>
      </c>
      <c r="F60" s="537">
        <f t="shared" si="8"/>
        <v>2745</v>
      </c>
      <c r="G60" s="537">
        <f t="shared" si="8"/>
        <v>1828</v>
      </c>
      <c r="H60" s="537">
        <f t="shared" si="8"/>
        <v>911</v>
      </c>
      <c r="I60" s="537">
        <f t="shared" si="8"/>
        <v>2394</v>
      </c>
      <c r="J60" s="571"/>
      <c r="K60" s="544"/>
      <c r="L60" s="577"/>
      <c r="M60" s="577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</row>
    <row r="61" spans="1:28" ht="12.75" hidden="1" outlineLevel="1">
      <c r="A61" s="615"/>
      <c r="B61" s="536">
        <f>_xlfn.XLOOKUP(C61,'메디컬 SKU'!C:C,'메디컬 SKU'!A:A)</f>
        <v>578785</v>
      </c>
      <c r="C61" s="547" t="s">
        <v>157</v>
      </c>
      <c r="D61" s="537">
        <v>177</v>
      </c>
      <c r="E61" s="537">
        <f t="shared" si="8"/>
        <v>567</v>
      </c>
      <c r="F61" s="537">
        <f t="shared" si="8"/>
        <v>382</v>
      </c>
      <c r="G61" s="537">
        <f t="shared" si="8"/>
        <v>197</v>
      </c>
      <c r="H61" s="537">
        <f t="shared" si="8"/>
        <v>-148</v>
      </c>
      <c r="I61" s="537">
        <f t="shared" si="8"/>
        <v>2897</v>
      </c>
      <c r="J61" s="571"/>
      <c r="K61" s="544"/>
      <c r="L61" s="577"/>
      <c r="M61" s="577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</row>
    <row r="62" spans="1:28" ht="12.75" hidden="1" outlineLevel="1">
      <c r="A62" s="615"/>
      <c r="B62" s="624" t="s">
        <v>18</v>
      </c>
      <c r="C62" s="624"/>
      <c r="D62" s="553">
        <f t="shared" ref="D62:I62" si="9">SUM(D46:D61)</f>
        <v>15334</v>
      </c>
      <c r="E62" s="553">
        <f t="shared" si="9"/>
        <v>30856</v>
      </c>
      <c r="F62" s="553">
        <f t="shared" si="9"/>
        <v>29818</v>
      </c>
      <c r="G62" s="553">
        <f t="shared" si="9"/>
        <v>25885</v>
      </c>
      <c r="H62" s="553">
        <f t="shared" si="9"/>
        <v>17811</v>
      </c>
      <c r="I62" s="553">
        <f t="shared" si="9"/>
        <v>19798</v>
      </c>
      <c r="J62" s="571"/>
      <c r="K62" s="544"/>
      <c r="L62" s="577"/>
      <c r="M62" s="577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</row>
    <row r="63" spans="1:28" ht="13.5">
      <c r="A63" s="532"/>
      <c r="B63" s="532"/>
      <c r="C63" s="532"/>
      <c r="D63" s="532"/>
      <c r="E63" s="532"/>
      <c r="F63" s="532"/>
      <c r="G63" s="532"/>
      <c r="H63" s="532"/>
      <c r="K63" s="575" t="s">
        <v>516</v>
      </c>
      <c r="L63" s="576">
        <v>331</v>
      </c>
      <c r="M63" s="576">
        <f>L63*M19</f>
        <v>3310</v>
      </c>
    </row>
    <row r="64" spans="1:28" ht="12.75">
      <c r="A64" s="532"/>
      <c r="B64" s="532"/>
      <c r="C64" s="532"/>
      <c r="D64" s="532"/>
      <c r="E64" s="532"/>
      <c r="F64" s="532"/>
      <c r="G64" s="532"/>
      <c r="H64" s="532"/>
    </row>
    <row r="65" spans="1:28" ht="12.75">
      <c r="A65" s="616" t="s">
        <v>160</v>
      </c>
      <c r="B65" s="616"/>
      <c r="C65" s="615"/>
      <c r="D65" s="549" t="s">
        <v>497</v>
      </c>
      <c r="E65" s="549" t="s">
        <v>141</v>
      </c>
      <c r="F65" s="549" t="s">
        <v>6</v>
      </c>
      <c r="G65" s="549" t="s">
        <v>7</v>
      </c>
      <c r="H65" s="549" t="s">
        <v>8</v>
      </c>
      <c r="I65" s="550" t="s">
        <v>493</v>
      </c>
      <c r="J65" s="571"/>
      <c r="K65" s="542"/>
      <c r="L65" s="542"/>
      <c r="M65" s="542"/>
      <c r="N65" s="542"/>
      <c r="O65" s="542"/>
      <c r="P65" s="542"/>
      <c r="Q65" s="542"/>
      <c r="R65" s="542"/>
      <c r="S65" s="542"/>
      <c r="T65" s="542"/>
      <c r="U65" s="542"/>
      <c r="V65" s="542"/>
      <c r="W65" s="542"/>
      <c r="X65" s="542"/>
      <c r="Y65" s="542"/>
      <c r="Z65" s="542"/>
      <c r="AA65" s="542"/>
      <c r="AB65" s="542"/>
    </row>
    <row r="66" spans="1:28" ht="12.75">
      <c r="A66" s="617" t="s">
        <v>161</v>
      </c>
      <c r="B66" s="536">
        <f>_xlfn.XLOOKUP(C66,'메디컬 SKU'!C:C,'메디컬 SKU'!A:A)</f>
        <v>117547</v>
      </c>
      <c r="C66" s="536" t="s">
        <v>142</v>
      </c>
      <c r="D66" s="554"/>
      <c r="E66" s="554">
        <f t="shared" ref="E66:I81" si="10">E46/E26</f>
        <v>-0.25668449197860965</v>
      </c>
      <c r="F66" s="554">
        <f t="shared" si="10"/>
        <v>0.47593582887700536</v>
      </c>
      <c r="G66" s="554">
        <f t="shared" si="10"/>
        <v>1.2085561497326203</v>
      </c>
      <c r="H66" s="554">
        <f t="shared" si="10"/>
        <v>2.1336898395721926</v>
      </c>
      <c r="I66" s="554">
        <f t="shared" si="10"/>
        <v>2.4171122994652405</v>
      </c>
      <c r="J66" s="571"/>
      <c r="K66" s="542"/>
      <c r="L66" s="542"/>
      <c r="M66" s="542"/>
      <c r="N66" s="542"/>
      <c r="O66" s="542"/>
      <c r="P66" s="542"/>
      <c r="Q66" s="542"/>
      <c r="R66" s="542"/>
      <c r="S66" s="542"/>
      <c r="T66" s="542"/>
      <c r="U66" s="542"/>
      <c r="V66" s="542"/>
      <c r="W66" s="542"/>
      <c r="X66" s="542"/>
      <c r="Y66" s="542"/>
      <c r="Z66" s="542"/>
      <c r="AA66" s="542"/>
      <c r="AB66" s="542"/>
    </row>
    <row r="67" spans="1:28" ht="12.75">
      <c r="A67" s="615"/>
      <c r="B67" s="536">
        <f>_xlfn.XLOOKUP(C67,'메디컬 SKU'!C:C,'메디컬 SKU'!A:A)</f>
        <v>552897</v>
      </c>
      <c r="C67" s="536" t="s">
        <v>143</v>
      </c>
      <c r="D67" s="555"/>
      <c r="E67" s="555">
        <f t="shared" si="10"/>
        <v>3.5189263592567102</v>
      </c>
      <c r="F67" s="555">
        <f t="shared" si="10"/>
        <v>7.6222596964586851</v>
      </c>
      <c r="G67" s="555">
        <f t="shared" si="10"/>
        <v>6.6222596964586851</v>
      </c>
      <c r="H67" s="555">
        <f t="shared" si="10"/>
        <v>1.7026841018582244</v>
      </c>
      <c r="I67" s="555">
        <f t="shared" si="10"/>
        <v>1.4183773216031281</v>
      </c>
      <c r="J67" s="571"/>
      <c r="K67" s="542"/>
      <c r="L67" s="542"/>
      <c r="M67" s="542"/>
      <c r="N67" s="542"/>
      <c r="O67" s="542"/>
      <c r="P67" s="542"/>
      <c r="Q67" s="542"/>
      <c r="R67" s="542"/>
      <c r="S67" s="542"/>
      <c r="T67" s="542"/>
      <c r="U67" s="542"/>
      <c r="V67" s="542"/>
      <c r="W67" s="542"/>
      <c r="X67" s="542"/>
      <c r="Y67" s="542"/>
      <c r="Z67" s="542"/>
      <c r="AA67" s="542"/>
      <c r="AB67" s="542"/>
    </row>
    <row r="68" spans="1:28" ht="12.75">
      <c r="A68" s="615"/>
      <c r="B68" s="536">
        <f>_xlfn.XLOOKUP(C68,'메디컬 SKU'!C:C,'메디컬 SKU'!A:A)</f>
        <v>117771</v>
      </c>
      <c r="C68" s="536" t="s">
        <v>144</v>
      </c>
      <c r="D68" s="555"/>
      <c r="E68" s="555">
        <f t="shared" si="10"/>
        <v>0.81818181818181823</v>
      </c>
      <c r="F68" s="555">
        <f t="shared" si="10"/>
        <v>1.8392857142857142</v>
      </c>
      <c r="G68" s="555">
        <f t="shared" si="10"/>
        <v>1.9107142857142858</v>
      </c>
      <c r="H68" s="555">
        <f t="shared" si="10"/>
        <v>0.87603305785123964</v>
      </c>
      <c r="I68" s="555">
        <f t="shared" si="10"/>
        <v>2.5028248587570623</v>
      </c>
      <c r="J68" s="571"/>
      <c r="K68" s="542"/>
      <c r="L68" s="542"/>
      <c r="M68" s="542"/>
      <c r="N68" s="542"/>
      <c r="O68" s="542"/>
      <c r="P68" s="542"/>
      <c r="Q68" s="542"/>
      <c r="R68" s="542"/>
      <c r="S68" s="542"/>
      <c r="T68" s="542"/>
      <c r="U68" s="542"/>
      <c r="V68" s="542"/>
      <c r="W68" s="542"/>
      <c r="X68" s="542"/>
      <c r="Y68" s="542"/>
      <c r="Z68" s="542"/>
      <c r="AA68" s="542"/>
      <c r="AB68" s="542"/>
    </row>
    <row r="69" spans="1:28" ht="12.75">
      <c r="A69" s="615"/>
      <c r="B69" s="536">
        <f>_xlfn.XLOOKUP(C69,'메디컬 SKU'!C:C,'메디컬 SKU'!A:A)</f>
        <v>646546</v>
      </c>
      <c r="C69" s="536" t="s">
        <v>145</v>
      </c>
      <c r="D69" s="554"/>
      <c r="E69" s="554">
        <f t="shared" si="10"/>
        <v>-0.17142857142857143</v>
      </c>
      <c r="F69" s="554">
        <f t="shared" si="10"/>
        <v>0.77142857142857146</v>
      </c>
      <c r="G69" s="554">
        <f t="shared" si="10"/>
        <v>-0.22857142857142856</v>
      </c>
      <c r="H69" s="554">
        <f t="shared" si="10"/>
        <v>-1.2285714285714286</v>
      </c>
      <c r="I69" s="554">
        <f t="shared" si="10"/>
        <v>2.4857142857142858</v>
      </c>
      <c r="J69" s="571"/>
      <c r="K69" s="542"/>
      <c r="L69" s="542"/>
      <c r="M69" s="542"/>
      <c r="N69" s="542"/>
      <c r="O69" s="542"/>
      <c r="P69" s="542"/>
      <c r="Q69" s="542"/>
      <c r="R69" s="542"/>
      <c r="S69" s="542"/>
      <c r="T69" s="542"/>
      <c r="U69" s="542"/>
      <c r="V69" s="542"/>
      <c r="W69" s="542"/>
      <c r="X69" s="542"/>
      <c r="Y69" s="542"/>
      <c r="Z69" s="542"/>
      <c r="AA69" s="542"/>
      <c r="AB69" s="542"/>
    </row>
    <row r="70" spans="1:28" ht="12.75">
      <c r="A70" s="615"/>
      <c r="B70" s="536">
        <f>_xlfn.XLOOKUP(C70,'메디컬 SKU'!C:C,'메디컬 SKU'!A:A)</f>
        <v>646567</v>
      </c>
      <c r="C70" s="536" t="s">
        <v>146</v>
      </c>
      <c r="D70" s="556"/>
      <c r="E70" s="556">
        <f t="shared" si="10"/>
        <v>1.3454545454545455</v>
      </c>
      <c r="F70" s="556">
        <f t="shared" si="10"/>
        <v>2.3636363636363638</v>
      </c>
      <c r="G70" s="556">
        <f t="shared" si="10"/>
        <v>1.3636363636363635</v>
      </c>
      <c r="H70" s="556">
        <f t="shared" si="10"/>
        <v>-0.45454545454545453</v>
      </c>
      <c r="I70" s="556">
        <f t="shared" si="10"/>
        <v>2.4805194805194803</v>
      </c>
      <c r="J70" s="571"/>
      <c r="K70" s="542"/>
      <c r="L70" s="542"/>
      <c r="M70" s="542"/>
      <c r="N70" s="542"/>
      <c r="O70" s="542"/>
      <c r="P70" s="542"/>
      <c r="Q70" s="542"/>
      <c r="R70" s="542"/>
      <c r="S70" s="542"/>
      <c r="T70" s="542"/>
      <c r="U70" s="542"/>
      <c r="V70" s="542"/>
      <c r="W70" s="542"/>
      <c r="X70" s="542"/>
      <c r="Y70" s="542"/>
      <c r="Z70" s="542"/>
      <c r="AA70" s="542"/>
      <c r="AB70" s="542"/>
    </row>
    <row r="71" spans="1:28" ht="12.75">
      <c r="A71" s="615"/>
      <c r="B71" s="536">
        <f>_xlfn.XLOOKUP(C71,'메디컬 SKU'!C:C,'메디컬 SKU'!A:A)</f>
        <v>691217</v>
      </c>
      <c r="C71" s="536" t="s">
        <v>147</v>
      </c>
      <c r="D71" s="556"/>
      <c r="E71" s="556">
        <f t="shared" si="10"/>
        <v>1.1935483870967742</v>
      </c>
      <c r="F71" s="556">
        <f t="shared" si="10"/>
        <v>2.903225806451613</v>
      </c>
      <c r="G71" s="556">
        <f t="shared" si="10"/>
        <v>1.903225806451613</v>
      </c>
      <c r="H71" s="556">
        <f t="shared" si="10"/>
        <v>0.90322580645161288</v>
      </c>
      <c r="I71" s="556">
        <f t="shared" si="10"/>
        <v>2.6129032258064515</v>
      </c>
      <c r="J71" s="571"/>
      <c r="K71" s="542"/>
      <c r="L71" s="542"/>
      <c r="M71" s="542"/>
      <c r="N71" s="542"/>
      <c r="O71" s="542"/>
      <c r="P71" s="542"/>
      <c r="Q71" s="542"/>
      <c r="R71" s="542"/>
      <c r="S71" s="542"/>
      <c r="T71" s="542"/>
      <c r="U71" s="542"/>
      <c r="V71" s="542"/>
      <c r="W71" s="542"/>
      <c r="X71" s="542"/>
      <c r="Y71" s="542"/>
      <c r="Z71" s="542"/>
      <c r="AA71" s="542"/>
      <c r="AB71" s="542"/>
    </row>
    <row r="72" spans="1:28" ht="12.75">
      <c r="A72" s="615"/>
      <c r="B72" s="536">
        <f>_xlfn.XLOOKUP(C72,'메디컬 SKU'!C:C,'메디컬 SKU'!A:A)</f>
        <v>611174</v>
      </c>
      <c r="C72" s="536" t="s">
        <v>148</v>
      </c>
      <c r="D72" s="556"/>
      <c r="E72" s="556">
        <f t="shared" si="10"/>
        <v>6.6177566926465605</v>
      </c>
      <c r="F72" s="556">
        <f t="shared" si="10"/>
        <v>5.5096666666666669</v>
      </c>
      <c r="G72" s="556">
        <f t="shared" si="10"/>
        <v>4.5096666666666669</v>
      </c>
      <c r="H72" s="556">
        <f t="shared" si="10"/>
        <v>3.5845476109793291</v>
      </c>
      <c r="I72" s="556">
        <f t="shared" si="10"/>
        <v>2.5550327676020839</v>
      </c>
      <c r="J72" s="571"/>
      <c r="K72" s="542"/>
      <c r="L72" s="542"/>
      <c r="M72" s="542"/>
      <c r="N72" s="542"/>
      <c r="O72" s="542"/>
      <c r="P72" s="542"/>
      <c r="Q72" s="542"/>
      <c r="R72" s="542"/>
      <c r="S72" s="542"/>
      <c r="T72" s="542"/>
      <c r="U72" s="542"/>
      <c r="V72" s="542"/>
      <c r="W72" s="542"/>
      <c r="X72" s="542"/>
      <c r="Y72" s="542"/>
      <c r="Z72" s="542"/>
      <c r="AA72" s="542"/>
      <c r="AB72" s="542"/>
    </row>
    <row r="73" spans="1:28" ht="12.75">
      <c r="A73" s="615"/>
      <c r="B73" s="536">
        <f>_xlfn.XLOOKUP(C73,'메디컬 SKU'!C:C,'메디컬 SKU'!A:A)</f>
        <v>701775</v>
      </c>
      <c r="C73" s="536" t="s">
        <v>149</v>
      </c>
      <c r="D73" s="556"/>
      <c r="E73" s="556">
        <f t="shared" si="10"/>
        <v>0.83996423781850693</v>
      </c>
      <c r="F73" s="556">
        <f t="shared" si="10"/>
        <v>2.6386840612592173</v>
      </c>
      <c r="G73" s="556">
        <f t="shared" si="10"/>
        <v>3.1089052750992625</v>
      </c>
      <c r="H73" s="556">
        <f t="shared" si="10"/>
        <v>1.4501564595440322</v>
      </c>
      <c r="I73" s="556">
        <f t="shared" si="10"/>
        <v>1.5940000000000001</v>
      </c>
      <c r="J73" s="571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  <c r="AA73" s="542"/>
      <c r="AB73" s="542"/>
    </row>
    <row r="74" spans="1:28" ht="12.75">
      <c r="A74" s="615"/>
      <c r="B74" s="536">
        <f>_xlfn.XLOOKUP(C74,'메디컬 SKU'!C:C,'메디컬 SKU'!A:A)</f>
        <v>646548</v>
      </c>
      <c r="C74" s="536" t="s">
        <v>150</v>
      </c>
      <c r="D74" s="556"/>
      <c r="E74" s="556">
        <f t="shared" si="10"/>
        <v>1.9428571428571428</v>
      </c>
      <c r="F74" s="556">
        <f t="shared" si="10"/>
        <v>2.5789473684210527</v>
      </c>
      <c r="G74" s="556">
        <f t="shared" si="10"/>
        <v>1.5789473684210527</v>
      </c>
      <c r="H74" s="556">
        <f t="shared" si="10"/>
        <v>0.7142857142857143</v>
      </c>
      <c r="I74" s="556">
        <f t="shared" si="10"/>
        <v>2.4814814814814814</v>
      </c>
      <c r="J74" s="571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  <c r="Y74" s="542"/>
      <c r="Z74" s="542"/>
      <c r="AA74" s="542"/>
      <c r="AB74" s="542"/>
    </row>
    <row r="75" spans="1:28" ht="12.75">
      <c r="A75" s="615"/>
      <c r="B75" s="536">
        <f>_xlfn.XLOOKUP(C75,'메디컬 SKU'!C:C,'메디컬 SKU'!A:A)</f>
        <v>589462</v>
      </c>
      <c r="C75" s="536" t="s">
        <v>151</v>
      </c>
      <c r="D75" s="556"/>
      <c r="E75" s="556">
        <f t="shared" si="10"/>
        <v>1.3235294117647058</v>
      </c>
      <c r="F75" s="556">
        <f t="shared" si="10"/>
        <v>3.5</v>
      </c>
      <c r="G75" s="556">
        <f t="shared" si="10"/>
        <v>4.666666666666667</v>
      </c>
      <c r="H75" s="556">
        <f t="shared" si="10"/>
        <v>0.96078431372549022</v>
      </c>
      <c r="I75" s="556">
        <f t="shared" si="10"/>
        <v>2.4848484848484849</v>
      </c>
      <c r="J75" s="571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  <c r="Y75" s="542"/>
      <c r="Z75" s="542"/>
      <c r="AA75" s="542"/>
      <c r="AB75" s="542"/>
    </row>
    <row r="76" spans="1:28" ht="12.75">
      <c r="A76" s="615"/>
      <c r="B76" s="536">
        <f>_xlfn.XLOOKUP(C76,'메디컬 SKU'!C:C,'메디컬 SKU'!A:A)</f>
        <v>589466</v>
      </c>
      <c r="C76" s="536" t="s">
        <v>152</v>
      </c>
      <c r="D76" s="556"/>
      <c r="E76" s="556">
        <f t="shared" si="10"/>
        <v>0.97058823529411764</v>
      </c>
      <c r="F76" s="556">
        <f t="shared" si="10"/>
        <v>0.83333333333333337</v>
      </c>
      <c r="G76" s="556">
        <f t="shared" si="10"/>
        <v>-0.16666666666666666</v>
      </c>
      <c r="H76" s="556">
        <f t="shared" si="10"/>
        <v>0.23529411764705882</v>
      </c>
      <c r="I76" s="556">
        <f t="shared" si="10"/>
        <v>2.4807692307692308</v>
      </c>
      <c r="J76" s="571"/>
      <c r="K76" s="542"/>
      <c r="L76" s="542"/>
      <c r="M76" s="542"/>
      <c r="N76" s="542"/>
      <c r="O76" s="542"/>
      <c r="P76" s="542"/>
      <c r="Q76" s="542"/>
      <c r="R76" s="542"/>
      <c r="S76" s="542"/>
      <c r="T76" s="542"/>
      <c r="U76" s="542"/>
      <c r="V76" s="542"/>
      <c r="W76" s="542"/>
      <c r="X76" s="542"/>
      <c r="Y76" s="542"/>
      <c r="Z76" s="542"/>
      <c r="AA76" s="542"/>
      <c r="AB76" s="542"/>
    </row>
    <row r="77" spans="1:28" ht="12.75">
      <c r="A77" s="615"/>
      <c r="B77" s="536">
        <f>_xlfn.XLOOKUP(C77,'메디컬 SKU'!C:C,'메디컬 SKU'!A:A)</f>
        <v>116180</v>
      </c>
      <c r="C77" s="536" t="s">
        <v>153</v>
      </c>
      <c r="D77" s="556"/>
      <c r="E77" s="556">
        <f t="shared" si="10"/>
        <v>0.4061624649859944</v>
      </c>
      <c r="F77" s="556">
        <f t="shared" si="10"/>
        <v>5.833333333333333</v>
      </c>
      <c r="G77" s="556">
        <f t="shared" si="10"/>
        <v>6.833333333333333</v>
      </c>
      <c r="H77" s="556">
        <f t="shared" si="10"/>
        <v>-0.17366946778711484</v>
      </c>
      <c r="I77" s="556">
        <f t="shared" si="10"/>
        <v>2.4780361757105944</v>
      </c>
      <c r="J77" s="571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  <c r="Y77" s="542"/>
      <c r="Z77" s="542"/>
      <c r="AA77" s="542"/>
      <c r="AB77" s="542"/>
    </row>
    <row r="78" spans="1:28" ht="12.75">
      <c r="A78" s="615"/>
      <c r="B78" s="536">
        <f>_xlfn.XLOOKUP(C78,'메디컬 SKU'!C:C,'메디컬 SKU'!A:A)</f>
        <v>695413</v>
      </c>
      <c r="C78" s="536" t="s">
        <v>154</v>
      </c>
      <c r="D78" s="556"/>
      <c r="E78" s="556">
        <f t="shared" si="10"/>
        <v>2.3417721518987342</v>
      </c>
      <c r="F78" s="556">
        <f t="shared" si="10"/>
        <v>2.7755102040816326</v>
      </c>
      <c r="G78" s="556">
        <f t="shared" si="10"/>
        <v>1.7755102040816326</v>
      </c>
      <c r="H78" s="556">
        <f t="shared" si="10"/>
        <v>1.620253164556962</v>
      </c>
      <c r="I78" s="556">
        <f t="shared" si="10"/>
        <v>2.5</v>
      </c>
      <c r="J78" s="571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2"/>
      <c r="V78" s="542"/>
      <c r="W78" s="542"/>
      <c r="X78" s="542"/>
      <c r="Y78" s="542"/>
      <c r="Z78" s="542"/>
      <c r="AA78" s="542"/>
      <c r="AB78" s="542"/>
    </row>
    <row r="79" spans="1:28" ht="12.75">
      <c r="A79" s="615"/>
      <c r="B79" s="536">
        <f>_xlfn.XLOOKUP(C79,'메디컬 SKU'!C:C,'메디컬 SKU'!A:A)</f>
        <v>699883</v>
      </c>
      <c r="C79" s="536" t="s">
        <v>155</v>
      </c>
      <c r="D79" s="556"/>
      <c r="E79" s="556">
        <f t="shared" si="10"/>
        <v>1.0384615384615385</v>
      </c>
      <c r="F79" s="556">
        <f t="shared" si="10"/>
        <v>2.1153846153846154</v>
      </c>
      <c r="G79" s="556">
        <f t="shared" si="10"/>
        <v>1.1153846153846154</v>
      </c>
      <c r="H79" s="556">
        <f t="shared" si="10"/>
        <v>0.52564102564102566</v>
      </c>
      <c r="I79" s="556">
        <f t="shared" si="10"/>
        <v>2.5576923076923075</v>
      </c>
      <c r="J79" s="571"/>
      <c r="K79" s="542"/>
      <c r="L79" s="542"/>
      <c r="M79" s="542"/>
      <c r="N79" s="542"/>
      <c r="O79" s="542"/>
      <c r="P79" s="542"/>
      <c r="Q79" s="542"/>
      <c r="R79" s="542"/>
      <c r="S79" s="542"/>
      <c r="T79" s="542"/>
      <c r="U79" s="542"/>
      <c r="V79" s="542"/>
      <c r="W79" s="542"/>
      <c r="X79" s="542"/>
      <c r="Y79" s="542"/>
      <c r="Z79" s="542"/>
      <c r="AA79" s="542"/>
      <c r="AB79" s="542"/>
    </row>
    <row r="80" spans="1:28" ht="12.75">
      <c r="A80" s="615"/>
      <c r="B80" s="536">
        <f>_xlfn.XLOOKUP(C80,'메디컬 SKU'!C:C,'메디컬 SKU'!A:A)</f>
        <v>645380</v>
      </c>
      <c r="C80" s="536" t="s">
        <v>156</v>
      </c>
      <c r="D80" s="556"/>
      <c r="E80" s="556">
        <f t="shared" si="10"/>
        <v>3.0512540894220281</v>
      </c>
      <c r="F80" s="556">
        <f t="shared" si="10"/>
        <v>2.9934569247546348</v>
      </c>
      <c r="G80" s="556">
        <f t="shared" si="10"/>
        <v>1.9934569247546348</v>
      </c>
      <c r="H80" s="556">
        <f t="shared" si="10"/>
        <v>0.99345692475463465</v>
      </c>
      <c r="I80" s="556">
        <f t="shared" si="10"/>
        <v>2.6106870229007635</v>
      </c>
      <c r="J80" s="571"/>
      <c r="K80" s="542"/>
      <c r="L80" s="542"/>
      <c r="M80" s="542"/>
      <c r="N80" s="542"/>
      <c r="O80" s="542"/>
      <c r="P80" s="542"/>
      <c r="Q80" s="542"/>
      <c r="R80" s="542"/>
      <c r="S80" s="542"/>
      <c r="T80" s="542"/>
      <c r="U80" s="542"/>
      <c r="V80" s="542"/>
      <c r="W80" s="542"/>
      <c r="X80" s="542"/>
      <c r="Y80" s="542"/>
      <c r="Z80" s="542"/>
      <c r="AA80" s="542"/>
      <c r="AB80" s="542"/>
    </row>
    <row r="81" spans="1:28" ht="12.75">
      <c r="A81" s="615"/>
      <c r="B81" s="536">
        <f>_xlfn.XLOOKUP(C81,'메디컬 SKU'!C:C,'메디컬 SKU'!A:A)</f>
        <v>578785</v>
      </c>
      <c r="C81" s="536" t="s">
        <v>157</v>
      </c>
      <c r="D81" s="556"/>
      <c r="E81" s="556">
        <f t="shared" si="10"/>
        <v>1.6434782608695653</v>
      </c>
      <c r="F81" s="556">
        <f t="shared" si="10"/>
        <v>2.0648648648648646</v>
      </c>
      <c r="G81" s="556">
        <f t="shared" si="10"/>
        <v>1.0648648648648649</v>
      </c>
      <c r="H81" s="556">
        <f t="shared" si="10"/>
        <v>-0.4289855072463768</v>
      </c>
      <c r="I81" s="556">
        <f t="shared" si="10"/>
        <v>10.932075471698113</v>
      </c>
      <c r="J81" s="571"/>
      <c r="K81" s="542"/>
      <c r="L81" s="542"/>
      <c r="M81" s="542"/>
      <c r="N81" s="542"/>
      <c r="O81" s="542"/>
      <c r="P81" s="542"/>
      <c r="Q81" s="542"/>
      <c r="R81" s="542"/>
      <c r="S81" s="542"/>
      <c r="T81" s="542"/>
      <c r="U81" s="542"/>
      <c r="V81" s="542"/>
      <c r="W81" s="542"/>
      <c r="X81" s="542"/>
      <c r="Y81" s="542"/>
      <c r="Z81" s="542"/>
      <c r="AA81" s="542"/>
      <c r="AB81" s="542"/>
    </row>
    <row r="82" spans="1:28" ht="12.75">
      <c r="A82" s="615"/>
      <c r="B82" s="625" t="s">
        <v>18</v>
      </c>
      <c r="C82" s="625"/>
      <c r="D82" s="557" t="e">
        <f t="shared" ref="D82:I82" si="11">AVERAGE(D66:D81)</f>
        <v>#DIV/0!</v>
      </c>
      <c r="E82" s="557">
        <f t="shared" si="11"/>
        <v>1.6639888920375974</v>
      </c>
      <c r="F82" s="557">
        <f t="shared" si="11"/>
        <v>2.9261845845773311</v>
      </c>
      <c r="G82" s="557">
        <f t="shared" si="11"/>
        <v>2.4537431328767623</v>
      </c>
      <c r="H82" s="557">
        <f t="shared" si="11"/>
        <v>0.83839251741982124</v>
      </c>
      <c r="I82" s="557">
        <f t="shared" si="11"/>
        <v>2.9120046509105442</v>
      </c>
      <c r="J82" s="571"/>
      <c r="K82" s="542"/>
      <c r="L82" s="542"/>
      <c r="M82" s="542"/>
      <c r="N82" s="542"/>
      <c r="O82" s="542"/>
      <c r="P82" s="542"/>
      <c r="Q82" s="542"/>
      <c r="R82" s="542"/>
      <c r="S82" s="542"/>
      <c r="T82" s="542"/>
      <c r="U82" s="542"/>
      <c r="V82" s="542"/>
      <c r="W82" s="542"/>
      <c r="X82" s="542"/>
      <c r="Y82" s="542"/>
      <c r="Z82" s="542"/>
      <c r="AA82" s="542"/>
      <c r="AB82" s="542"/>
    </row>
    <row r="83" spans="1:28" ht="12.75">
      <c r="A83" s="532"/>
      <c r="B83" s="532"/>
      <c r="C83" s="532"/>
      <c r="D83" s="532"/>
      <c r="E83" s="532"/>
      <c r="F83" s="532"/>
      <c r="G83" s="532"/>
      <c r="H83" s="532"/>
    </row>
    <row r="84" spans="1:28" ht="12.75">
      <c r="A84" s="532"/>
      <c r="B84" s="532"/>
      <c r="C84" s="532"/>
      <c r="D84" s="532"/>
      <c r="E84" s="532"/>
      <c r="F84" s="532"/>
      <c r="G84" s="532"/>
      <c r="H84" s="532"/>
    </row>
    <row r="85" spans="1:28" ht="12.75">
      <c r="A85" s="532"/>
      <c r="B85" s="532"/>
      <c r="C85" s="532"/>
      <c r="D85" s="532"/>
      <c r="E85" s="532"/>
      <c r="F85" s="532"/>
      <c r="G85" s="532"/>
      <c r="H85" s="532"/>
    </row>
    <row r="86" spans="1:28" ht="12.75">
      <c r="A86" s="532"/>
      <c r="B86" s="532"/>
      <c r="C86" s="532"/>
      <c r="D86" s="532"/>
      <c r="E86" s="532"/>
      <c r="F86" s="532"/>
      <c r="G86" s="532"/>
      <c r="H86" s="532"/>
    </row>
    <row r="87" spans="1:28" ht="12.75">
      <c r="A87" s="532"/>
      <c r="B87" s="532"/>
      <c r="C87" s="532"/>
      <c r="D87" s="532"/>
      <c r="E87" s="532"/>
      <c r="F87" s="532"/>
      <c r="G87" s="532"/>
      <c r="H87" s="532"/>
    </row>
    <row r="88" spans="1:28" ht="12.75">
      <c r="A88" s="532"/>
      <c r="B88" s="532"/>
      <c r="C88" s="532"/>
      <c r="D88" s="532"/>
      <c r="E88" s="532"/>
      <c r="F88" s="532"/>
      <c r="G88" s="532"/>
      <c r="H88" s="532"/>
    </row>
    <row r="89" spans="1:28" ht="12.75">
      <c r="A89" s="532"/>
      <c r="B89" s="532"/>
      <c r="C89" s="532"/>
      <c r="D89" s="532"/>
      <c r="E89" s="532"/>
      <c r="F89" s="532"/>
      <c r="G89" s="532"/>
      <c r="H89" s="532"/>
    </row>
    <row r="90" spans="1:28" ht="12.75">
      <c r="A90" s="532"/>
      <c r="B90" s="532"/>
      <c r="C90" s="532"/>
      <c r="D90" s="532"/>
      <c r="E90" s="532"/>
      <c r="F90" s="532"/>
      <c r="G90" s="532"/>
      <c r="H90" s="532"/>
    </row>
    <row r="91" spans="1:28" ht="12.75">
      <c r="A91" s="532"/>
      <c r="B91" s="532"/>
      <c r="C91" s="532"/>
      <c r="D91" s="532"/>
      <c r="E91" s="532"/>
      <c r="F91" s="532"/>
      <c r="G91" s="532"/>
      <c r="H91" s="532"/>
    </row>
    <row r="92" spans="1:28" ht="12.75">
      <c r="A92" s="532"/>
      <c r="B92" s="532"/>
      <c r="C92" s="532"/>
      <c r="D92" s="532"/>
      <c r="E92" s="532"/>
      <c r="F92" s="532"/>
      <c r="G92" s="532"/>
      <c r="H92" s="532"/>
    </row>
    <row r="93" spans="1:28" ht="12.75">
      <c r="A93" s="532"/>
      <c r="B93" s="532"/>
      <c r="C93" s="532"/>
      <c r="D93" s="532"/>
      <c r="E93" s="532"/>
      <c r="F93" s="532"/>
      <c r="G93" s="532"/>
      <c r="H93" s="532"/>
    </row>
    <row r="94" spans="1:28" ht="12.75">
      <c r="A94" s="532"/>
      <c r="B94" s="532"/>
      <c r="C94" s="532"/>
      <c r="D94" s="532"/>
      <c r="E94" s="532"/>
      <c r="F94" s="532"/>
      <c r="G94" s="532"/>
      <c r="H94" s="532"/>
    </row>
    <row r="95" spans="1:28" ht="12.75">
      <c r="A95" s="532"/>
      <c r="B95" s="532"/>
      <c r="C95" s="532"/>
      <c r="D95" s="532"/>
      <c r="E95" s="532"/>
      <c r="F95" s="532"/>
      <c r="G95" s="532"/>
      <c r="H95" s="532"/>
    </row>
    <row r="96" spans="1:28" ht="12.75">
      <c r="A96" s="532"/>
      <c r="B96" s="532"/>
      <c r="C96" s="532"/>
      <c r="D96" s="532"/>
      <c r="E96" s="532"/>
      <c r="F96" s="532"/>
      <c r="G96" s="532"/>
      <c r="H96" s="532"/>
    </row>
    <row r="97" spans="1:8" ht="12.75">
      <c r="A97" s="532"/>
      <c r="B97" s="532"/>
      <c r="C97" s="532"/>
      <c r="D97" s="532"/>
      <c r="E97" s="532"/>
      <c r="F97" s="532"/>
      <c r="G97" s="532"/>
      <c r="H97" s="532"/>
    </row>
    <row r="98" spans="1:8" ht="12.75">
      <c r="A98" s="532"/>
      <c r="B98" s="532"/>
      <c r="C98" s="532"/>
      <c r="D98" s="532"/>
      <c r="E98" s="532"/>
      <c r="F98" s="532"/>
      <c r="G98" s="532"/>
      <c r="H98" s="532"/>
    </row>
    <row r="99" spans="1:8" ht="12.75">
      <c r="A99" s="532"/>
      <c r="B99" s="532"/>
      <c r="C99" s="532"/>
      <c r="D99" s="532"/>
      <c r="E99" s="532"/>
      <c r="F99" s="532"/>
      <c r="G99" s="532"/>
      <c r="H99" s="532"/>
    </row>
    <row r="100" spans="1:8" ht="12.75">
      <c r="A100" s="532"/>
      <c r="B100" s="532"/>
      <c r="C100" s="532"/>
      <c r="D100" s="532"/>
      <c r="E100" s="532"/>
      <c r="F100" s="532"/>
      <c r="G100" s="532"/>
      <c r="H100" s="532"/>
    </row>
    <row r="101" spans="1:8" ht="12.75">
      <c r="A101" s="532"/>
      <c r="B101" s="532"/>
      <c r="C101" s="532"/>
      <c r="D101" s="532"/>
      <c r="E101" s="532"/>
      <c r="F101" s="532"/>
      <c r="G101" s="532"/>
      <c r="H101" s="532"/>
    </row>
    <row r="102" spans="1:8" ht="12.75">
      <c r="A102" s="532"/>
      <c r="B102" s="532"/>
      <c r="C102" s="532"/>
      <c r="D102" s="532"/>
      <c r="E102" s="532"/>
      <c r="F102" s="532"/>
      <c r="G102" s="532"/>
      <c r="H102" s="532"/>
    </row>
    <row r="103" spans="1:8" ht="12.75">
      <c r="A103" s="532"/>
      <c r="B103" s="532"/>
      <c r="C103" s="532"/>
      <c r="D103" s="532"/>
      <c r="E103" s="532"/>
      <c r="F103" s="532"/>
      <c r="G103" s="532"/>
      <c r="H103" s="532"/>
    </row>
    <row r="104" spans="1:8" ht="12.75">
      <c r="A104" s="532"/>
      <c r="B104" s="532"/>
      <c r="C104" s="532"/>
      <c r="D104" s="532"/>
      <c r="E104" s="532"/>
      <c r="F104" s="532"/>
      <c r="G104" s="532"/>
      <c r="H104" s="532"/>
    </row>
    <row r="105" spans="1:8" ht="12.75">
      <c r="A105" s="532"/>
      <c r="B105" s="532"/>
      <c r="C105" s="532"/>
      <c r="D105" s="532"/>
      <c r="E105" s="532"/>
      <c r="F105" s="532"/>
      <c r="G105" s="532"/>
      <c r="H105" s="532"/>
    </row>
    <row r="106" spans="1:8" ht="12.75">
      <c r="A106" s="532"/>
      <c r="B106" s="532"/>
      <c r="C106" s="532"/>
      <c r="D106" s="532"/>
      <c r="E106" s="532"/>
      <c r="F106" s="532"/>
      <c r="G106" s="532"/>
      <c r="H106" s="532"/>
    </row>
    <row r="107" spans="1:8" ht="12.75">
      <c r="A107" s="532"/>
      <c r="B107" s="532"/>
      <c r="C107" s="532"/>
      <c r="D107" s="532"/>
      <c r="E107" s="532"/>
      <c r="F107" s="532"/>
      <c r="G107" s="532"/>
      <c r="H107" s="532"/>
    </row>
    <row r="108" spans="1:8" ht="12.75">
      <c r="A108" s="532"/>
      <c r="B108" s="532"/>
      <c r="C108" s="532"/>
      <c r="D108" s="532"/>
      <c r="E108" s="532"/>
      <c r="F108" s="532"/>
      <c r="G108" s="532"/>
      <c r="H108" s="532"/>
    </row>
    <row r="109" spans="1:8" ht="12.75">
      <c r="A109" s="532"/>
      <c r="B109" s="532"/>
      <c r="C109" s="532"/>
      <c r="D109" s="532"/>
      <c r="E109" s="532"/>
      <c r="F109" s="532"/>
      <c r="G109" s="532"/>
      <c r="H109" s="532"/>
    </row>
    <row r="110" spans="1:8" ht="12.75">
      <c r="A110" s="532"/>
      <c r="B110" s="532"/>
      <c r="C110" s="532"/>
      <c r="D110" s="532"/>
      <c r="E110" s="532"/>
      <c r="F110" s="532"/>
      <c r="G110" s="532"/>
      <c r="H110" s="532"/>
    </row>
    <row r="111" spans="1:8" ht="12.75">
      <c r="A111" s="532"/>
      <c r="B111" s="532"/>
      <c r="C111" s="532"/>
      <c r="D111" s="532"/>
      <c r="E111" s="532"/>
      <c r="F111" s="532"/>
      <c r="G111" s="532"/>
      <c r="H111" s="532"/>
    </row>
    <row r="112" spans="1:8" ht="12.75">
      <c r="A112" s="532"/>
      <c r="B112" s="532"/>
      <c r="C112" s="532"/>
      <c r="D112" s="532"/>
      <c r="E112" s="532"/>
      <c r="F112" s="532"/>
      <c r="G112" s="532"/>
      <c r="H112" s="532"/>
    </row>
    <row r="113" spans="1:8" ht="12.75">
      <c r="A113" s="532"/>
      <c r="B113" s="532"/>
      <c r="C113" s="532"/>
      <c r="D113" s="532"/>
      <c r="E113" s="532"/>
      <c r="F113" s="532"/>
      <c r="G113" s="532"/>
      <c r="H113" s="532"/>
    </row>
    <row r="114" spans="1:8" ht="12.75">
      <c r="A114" s="532"/>
      <c r="B114" s="532"/>
      <c r="C114" s="532"/>
      <c r="D114" s="532"/>
      <c r="E114" s="532"/>
      <c r="F114" s="532"/>
      <c r="G114" s="532"/>
      <c r="H114" s="532"/>
    </row>
    <row r="115" spans="1:8" ht="12.75">
      <c r="A115" s="532"/>
      <c r="B115" s="532"/>
      <c r="C115" s="532"/>
      <c r="D115" s="532"/>
      <c r="E115" s="532"/>
      <c r="F115" s="532"/>
      <c r="G115" s="532"/>
      <c r="H115" s="532"/>
    </row>
    <row r="116" spans="1:8" ht="12.75">
      <c r="A116" s="532"/>
      <c r="B116" s="532"/>
      <c r="C116" s="532"/>
      <c r="D116" s="532"/>
      <c r="E116" s="532"/>
      <c r="F116" s="532"/>
      <c r="G116" s="532"/>
      <c r="H116" s="532"/>
    </row>
    <row r="117" spans="1:8" ht="12.75">
      <c r="A117" s="532"/>
      <c r="B117" s="532"/>
      <c r="C117" s="532"/>
      <c r="D117" s="532"/>
      <c r="E117" s="532"/>
      <c r="F117" s="532"/>
      <c r="G117" s="532"/>
      <c r="H117" s="532"/>
    </row>
    <row r="118" spans="1:8" ht="12.75">
      <c r="A118" s="532"/>
      <c r="B118" s="532"/>
      <c r="C118" s="532"/>
      <c r="D118" s="532"/>
      <c r="E118" s="532"/>
      <c r="F118" s="532"/>
      <c r="G118" s="532"/>
      <c r="H118" s="532"/>
    </row>
    <row r="119" spans="1:8" ht="12.75">
      <c r="A119" s="532"/>
      <c r="B119" s="532"/>
      <c r="C119" s="532"/>
      <c r="D119" s="532"/>
      <c r="E119" s="532"/>
      <c r="F119" s="532"/>
      <c r="G119" s="532"/>
      <c r="H119" s="532"/>
    </row>
    <row r="120" spans="1:8" ht="12.75">
      <c r="A120" s="532"/>
      <c r="B120" s="532"/>
      <c r="C120" s="532"/>
      <c r="D120" s="532"/>
      <c r="E120" s="532"/>
      <c r="F120" s="532"/>
      <c r="G120" s="532"/>
      <c r="H120" s="532"/>
    </row>
    <row r="121" spans="1:8" ht="12.75">
      <c r="A121" s="532"/>
      <c r="B121" s="532"/>
      <c r="C121" s="532"/>
      <c r="D121" s="532"/>
      <c r="E121" s="532"/>
      <c r="F121" s="532"/>
      <c r="G121" s="532"/>
      <c r="H121" s="532"/>
    </row>
    <row r="122" spans="1:8" ht="12.75">
      <c r="A122" s="532"/>
      <c r="B122" s="532"/>
      <c r="C122" s="532"/>
      <c r="D122" s="532"/>
      <c r="E122" s="532"/>
      <c r="F122" s="532"/>
      <c r="G122" s="532"/>
      <c r="H122" s="532"/>
    </row>
    <row r="123" spans="1:8" ht="12.75">
      <c r="A123" s="532"/>
      <c r="B123" s="532"/>
      <c r="C123" s="532"/>
      <c r="D123" s="532"/>
      <c r="E123" s="532"/>
      <c r="F123" s="532"/>
      <c r="G123" s="532"/>
      <c r="H123" s="532"/>
    </row>
    <row r="124" spans="1:8" ht="12.75">
      <c r="A124" s="532"/>
      <c r="B124" s="532"/>
      <c r="C124" s="532"/>
      <c r="D124" s="532"/>
      <c r="E124" s="532"/>
      <c r="F124" s="532"/>
      <c r="G124" s="532"/>
      <c r="H124" s="532"/>
    </row>
    <row r="125" spans="1:8" ht="12.75">
      <c r="A125" s="532"/>
      <c r="B125" s="532"/>
      <c r="C125" s="532"/>
      <c r="D125" s="532"/>
      <c r="E125" s="532"/>
      <c r="F125" s="532"/>
      <c r="G125" s="532"/>
      <c r="H125" s="532"/>
    </row>
    <row r="126" spans="1:8" ht="12.75">
      <c r="A126" s="532"/>
      <c r="B126" s="532"/>
      <c r="C126" s="532"/>
      <c r="D126" s="532"/>
      <c r="E126" s="532"/>
      <c r="F126" s="532"/>
      <c r="G126" s="532"/>
      <c r="H126" s="532"/>
    </row>
    <row r="127" spans="1:8" ht="12.75">
      <c r="A127" s="532"/>
      <c r="B127" s="532"/>
      <c r="C127" s="532"/>
      <c r="D127" s="532"/>
      <c r="E127" s="532"/>
      <c r="F127" s="532"/>
      <c r="G127" s="532"/>
      <c r="H127" s="532"/>
    </row>
    <row r="128" spans="1:8" ht="12.75">
      <c r="A128" s="532"/>
      <c r="B128" s="532"/>
      <c r="C128" s="532"/>
      <c r="D128" s="532"/>
      <c r="E128" s="532"/>
      <c r="F128" s="532"/>
      <c r="G128" s="532"/>
      <c r="H128" s="532"/>
    </row>
    <row r="129" spans="1:8" ht="12.75">
      <c r="A129" s="532"/>
      <c r="B129" s="532"/>
      <c r="C129" s="532"/>
      <c r="D129" s="532"/>
      <c r="E129" s="532"/>
      <c r="F129" s="532"/>
      <c r="G129" s="532"/>
      <c r="H129" s="532"/>
    </row>
    <row r="130" spans="1:8" ht="12.75">
      <c r="A130" s="532"/>
      <c r="B130" s="532"/>
      <c r="C130" s="532"/>
      <c r="D130" s="532"/>
      <c r="E130" s="532"/>
      <c r="F130" s="532"/>
      <c r="G130" s="532"/>
      <c r="H130" s="532"/>
    </row>
    <row r="131" spans="1:8" ht="12.75">
      <c r="A131" s="532"/>
      <c r="B131" s="532"/>
      <c r="C131" s="532"/>
      <c r="D131" s="532"/>
      <c r="E131" s="532"/>
      <c r="F131" s="532"/>
      <c r="G131" s="532"/>
      <c r="H131" s="532"/>
    </row>
    <row r="132" spans="1:8" ht="12.75">
      <c r="A132" s="532"/>
      <c r="B132" s="532"/>
      <c r="C132" s="532"/>
      <c r="D132" s="532"/>
      <c r="E132" s="532"/>
      <c r="F132" s="532"/>
      <c r="G132" s="532"/>
      <c r="H132" s="532"/>
    </row>
    <row r="133" spans="1:8" ht="12.75">
      <c r="A133" s="532"/>
      <c r="B133" s="532"/>
      <c r="C133" s="532"/>
      <c r="D133" s="532"/>
      <c r="E133" s="532"/>
      <c r="F133" s="532"/>
      <c r="G133" s="532"/>
      <c r="H133" s="532"/>
    </row>
    <row r="134" spans="1:8" ht="12.75">
      <c r="A134" s="532"/>
      <c r="B134" s="532"/>
      <c r="C134" s="532"/>
      <c r="D134" s="532"/>
      <c r="E134" s="532"/>
      <c r="F134" s="532"/>
      <c r="G134" s="532"/>
      <c r="H134" s="532"/>
    </row>
    <row r="135" spans="1:8" ht="12.75">
      <c r="A135" s="532"/>
      <c r="B135" s="532"/>
      <c r="C135" s="532"/>
      <c r="D135" s="532"/>
      <c r="E135" s="532"/>
      <c r="F135" s="532"/>
      <c r="G135" s="532"/>
      <c r="H135" s="532"/>
    </row>
    <row r="136" spans="1:8" ht="12.75">
      <c r="A136" s="532"/>
      <c r="B136" s="532"/>
      <c r="C136" s="532"/>
      <c r="D136" s="532"/>
      <c r="E136" s="532"/>
      <c r="F136" s="532"/>
      <c r="G136" s="532"/>
      <c r="H136" s="532"/>
    </row>
    <row r="137" spans="1:8" ht="12.75">
      <c r="A137" s="532"/>
      <c r="B137" s="532"/>
      <c r="C137" s="532"/>
      <c r="D137" s="532"/>
      <c r="E137" s="532"/>
      <c r="F137" s="532"/>
      <c r="G137" s="532"/>
      <c r="H137" s="532"/>
    </row>
    <row r="138" spans="1:8" ht="12.75">
      <c r="A138" s="532"/>
      <c r="B138" s="532"/>
      <c r="C138" s="532"/>
      <c r="D138" s="532"/>
      <c r="E138" s="532"/>
      <c r="F138" s="532"/>
      <c r="G138" s="532"/>
      <c r="H138" s="532"/>
    </row>
    <row r="139" spans="1:8" ht="12.75">
      <c r="A139" s="532"/>
      <c r="B139" s="532"/>
      <c r="C139" s="532"/>
      <c r="D139" s="532"/>
      <c r="E139" s="532"/>
      <c r="F139" s="532"/>
      <c r="G139" s="532"/>
      <c r="H139" s="532"/>
    </row>
    <row r="140" spans="1:8" ht="12.75">
      <c r="A140" s="532"/>
      <c r="B140" s="532"/>
      <c r="C140" s="532"/>
      <c r="D140" s="532"/>
      <c r="E140" s="532"/>
      <c r="F140" s="532"/>
      <c r="G140" s="532"/>
      <c r="H140" s="532"/>
    </row>
    <row r="141" spans="1:8" ht="12.75">
      <c r="A141" s="532"/>
      <c r="B141" s="532"/>
      <c r="C141" s="532"/>
      <c r="D141" s="532"/>
      <c r="E141" s="532"/>
      <c r="F141" s="532"/>
      <c r="G141" s="532"/>
      <c r="H141" s="532"/>
    </row>
    <row r="142" spans="1:8" ht="12.75">
      <c r="A142" s="532"/>
      <c r="B142" s="532"/>
      <c r="C142" s="532"/>
      <c r="D142" s="532"/>
      <c r="E142" s="532"/>
      <c r="F142" s="532"/>
      <c r="G142" s="532"/>
      <c r="H142" s="532"/>
    </row>
    <row r="143" spans="1:8" ht="12.75">
      <c r="A143" s="532"/>
      <c r="B143" s="532"/>
      <c r="C143" s="532"/>
      <c r="D143" s="532"/>
      <c r="E143" s="532"/>
      <c r="F143" s="532"/>
      <c r="G143" s="532"/>
      <c r="H143" s="532"/>
    </row>
    <row r="144" spans="1:8" ht="12.75">
      <c r="A144" s="532"/>
      <c r="B144" s="532"/>
      <c r="C144" s="532"/>
      <c r="D144" s="532"/>
      <c r="E144" s="532"/>
      <c r="F144" s="532"/>
      <c r="G144" s="532"/>
      <c r="H144" s="532"/>
    </row>
    <row r="145" spans="1:8" ht="12.75">
      <c r="A145" s="532"/>
      <c r="B145" s="532"/>
      <c r="C145" s="532"/>
      <c r="D145" s="532"/>
      <c r="E145" s="532"/>
      <c r="F145" s="532"/>
      <c r="G145" s="532"/>
      <c r="H145" s="532"/>
    </row>
    <row r="146" spans="1:8" ht="12.75">
      <c r="A146" s="532"/>
      <c r="B146" s="532"/>
      <c r="C146" s="532"/>
      <c r="D146" s="532"/>
      <c r="E146" s="532"/>
      <c r="F146" s="532"/>
      <c r="G146" s="532"/>
      <c r="H146" s="532"/>
    </row>
    <row r="147" spans="1:8" ht="12.75">
      <c r="A147" s="532"/>
      <c r="B147" s="532"/>
      <c r="C147" s="532"/>
      <c r="D147" s="532"/>
      <c r="E147" s="532"/>
      <c r="F147" s="532"/>
      <c r="G147" s="532"/>
      <c r="H147" s="532"/>
    </row>
    <row r="148" spans="1:8" ht="12.75">
      <c r="A148" s="532"/>
      <c r="B148" s="532"/>
      <c r="C148" s="532"/>
      <c r="D148" s="532"/>
      <c r="E148" s="532"/>
      <c r="F148" s="532"/>
      <c r="G148" s="532"/>
      <c r="H148" s="532"/>
    </row>
    <row r="149" spans="1:8" ht="12.75">
      <c r="A149" s="532"/>
      <c r="B149" s="532"/>
      <c r="C149" s="532"/>
      <c r="D149" s="532"/>
      <c r="E149" s="532"/>
      <c r="F149" s="532"/>
      <c r="G149" s="532"/>
      <c r="H149" s="532"/>
    </row>
    <row r="150" spans="1:8" ht="12.75">
      <c r="A150" s="532"/>
      <c r="B150" s="532"/>
      <c r="C150" s="532"/>
      <c r="D150" s="532"/>
      <c r="E150" s="532"/>
      <c r="F150" s="532"/>
      <c r="G150" s="532"/>
      <c r="H150" s="532"/>
    </row>
    <row r="151" spans="1:8" ht="12.75">
      <c r="A151" s="532"/>
      <c r="B151" s="532"/>
      <c r="C151" s="532"/>
      <c r="D151" s="532"/>
      <c r="E151" s="532"/>
      <c r="F151" s="532"/>
      <c r="G151" s="532"/>
      <c r="H151" s="532"/>
    </row>
    <row r="152" spans="1:8" ht="12.75">
      <c r="A152" s="532"/>
      <c r="B152" s="532"/>
      <c r="C152" s="532"/>
      <c r="D152" s="532"/>
      <c r="E152" s="532"/>
      <c r="F152" s="532"/>
      <c r="G152" s="532"/>
      <c r="H152" s="532"/>
    </row>
    <row r="153" spans="1:8" ht="12.75">
      <c r="A153" s="532"/>
      <c r="B153" s="532"/>
      <c r="C153" s="532"/>
      <c r="D153" s="532"/>
      <c r="E153" s="532"/>
      <c r="F153" s="532"/>
      <c r="G153" s="532"/>
      <c r="H153" s="532"/>
    </row>
    <row r="154" spans="1:8" ht="12.75">
      <c r="A154" s="532"/>
      <c r="B154" s="532"/>
      <c r="C154" s="532"/>
      <c r="D154" s="532"/>
      <c r="E154" s="532"/>
      <c r="F154" s="532"/>
      <c r="G154" s="532"/>
      <c r="H154" s="532"/>
    </row>
    <row r="155" spans="1:8" ht="12.75">
      <c r="A155" s="532"/>
      <c r="B155" s="532"/>
      <c r="C155" s="532"/>
      <c r="D155" s="532"/>
      <c r="E155" s="532"/>
      <c r="F155" s="532"/>
      <c r="G155" s="532"/>
      <c r="H155" s="532"/>
    </row>
    <row r="156" spans="1:8" ht="12.75">
      <c r="A156" s="532"/>
      <c r="B156" s="532"/>
      <c r="C156" s="532"/>
      <c r="D156" s="532"/>
      <c r="E156" s="532"/>
      <c r="F156" s="532"/>
      <c r="G156" s="532"/>
      <c r="H156" s="532"/>
    </row>
    <row r="157" spans="1:8" ht="12.75">
      <c r="A157" s="532"/>
      <c r="B157" s="532"/>
      <c r="C157" s="532"/>
      <c r="D157" s="532"/>
      <c r="E157" s="532"/>
      <c r="F157" s="532"/>
      <c r="G157" s="532"/>
      <c r="H157" s="532"/>
    </row>
    <row r="158" spans="1:8" ht="12.75">
      <c r="A158" s="532"/>
      <c r="B158" s="532"/>
      <c r="C158" s="532"/>
      <c r="D158" s="532"/>
      <c r="E158" s="532"/>
      <c r="F158" s="532"/>
      <c r="G158" s="532"/>
      <c r="H158" s="532"/>
    </row>
    <row r="159" spans="1:8" ht="12.75">
      <c r="A159" s="532"/>
      <c r="B159" s="532"/>
      <c r="C159" s="532"/>
      <c r="D159" s="532"/>
      <c r="E159" s="532"/>
      <c r="F159" s="532"/>
      <c r="G159" s="532"/>
      <c r="H159" s="532"/>
    </row>
    <row r="160" spans="1:8" ht="12.75">
      <c r="A160" s="532"/>
      <c r="B160" s="532"/>
      <c r="C160" s="532"/>
      <c r="D160" s="532"/>
      <c r="E160" s="532"/>
      <c r="F160" s="532"/>
      <c r="G160" s="532"/>
      <c r="H160" s="532"/>
    </row>
    <row r="161" spans="1:8" ht="12.75">
      <c r="A161" s="532"/>
      <c r="B161" s="532"/>
      <c r="C161" s="532"/>
      <c r="D161" s="532"/>
      <c r="E161" s="532"/>
      <c r="F161" s="532"/>
      <c r="G161" s="532"/>
      <c r="H161" s="532"/>
    </row>
    <row r="162" spans="1:8" ht="12.75">
      <c r="A162" s="532"/>
      <c r="B162" s="532"/>
      <c r="C162" s="532"/>
      <c r="D162" s="532"/>
      <c r="E162" s="532"/>
      <c r="F162" s="532"/>
      <c r="G162" s="532"/>
      <c r="H162" s="532"/>
    </row>
    <row r="163" spans="1:8" ht="12.75">
      <c r="A163" s="532"/>
      <c r="B163" s="532"/>
      <c r="C163" s="532"/>
      <c r="D163" s="532"/>
      <c r="E163" s="532"/>
      <c r="F163" s="532"/>
      <c r="G163" s="532"/>
      <c r="H163" s="532"/>
    </row>
    <row r="164" spans="1:8" ht="12.75">
      <c r="A164" s="532"/>
      <c r="B164" s="532"/>
      <c r="C164" s="532"/>
      <c r="D164" s="532"/>
      <c r="E164" s="532"/>
      <c r="F164" s="532"/>
      <c r="G164" s="532"/>
      <c r="H164" s="532"/>
    </row>
    <row r="165" spans="1:8" ht="12.75">
      <c r="A165" s="532"/>
      <c r="B165" s="532"/>
      <c r="C165" s="532"/>
      <c r="D165" s="532"/>
      <c r="E165" s="532"/>
      <c r="F165" s="532"/>
      <c r="G165" s="532"/>
      <c r="H165" s="532"/>
    </row>
    <row r="166" spans="1:8" ht="12.75">
      <c r="A166" s="532"/>
      <c r="B166" s="532"/>
      <c r="C166" s="532"/>
      <c r="D166" s="532"/>
      <c r="E166" s="532"/>
      <c r="F166" s="532"/>
      <c r="G166" s="532"/>
      <c r="H166" s="532"/>
    </row>
    <row r="167" spans="1:8" ht="12.75">
      <c r="A167" s="532"/>
      <c r="B167" s="532"/>
      <c r="C167" s="532"/>
      <c r="D167" s="532"/>
      <c r="E167" s="532"/>
      <c r="F167" s="532"/>
      <c r="G167" s="532"/>
      <c r="H167" s="532"/>
    </row>
    <row r="168" spans="1:8" ht="12.75">
      <c r="A168" s="532"/>
      <c r="B168" s="532"/>
      <c r="C168" s="532"/>
      <c r="D168" s="532"/>
      <c r="E168" s="532"/>
      <c r="F168" s="532"/>
      <c r="G168" s="532"/>
      <c r="H168" s="532"/>
    </row>
    <row r="169" spans="1:8" ht="12.75">
      <c r="A169" s="532"/>
      <c r="B169" s="532"/>
      <c r="C169" s="532"/>
      <c r="D169" s="532"/>
      <c r="E169" s="532"/>
      <c r="F169" s="532"/>
      <c r="G169" s="532"/>
      <c r="H169" s="532"/>
    </row>
    <row r="170" spans="1:8" ht="12.75">
      <c r="A170" s="532"/>
      <c r="B170" s="532"/>
      <c r="C170" s="532"/>
      <c r="D170" s="532"/>
      <c r="E170" s="532"/>
      <c r="F170" s="532"/>
      <c r="G170" s="532"/>
      <c r="H170" s="532"/>
    </row>
    <row r="171" spans="1:8" ht="12.75">
      <c r="A171" s="532"/>
      <c r="B171" s="532"/>
      <c r="C171" s="532"/>
      <c r="D171" s="532"/>
      <c r="E171" s="532"/>
      <c r="F171" s="532"/>
      <c r="G171" s="532"/>
      <c r="H171" s="532"/>
    </row>
    <row r="172" spans="1:8" ht="12.75">
      <c r="A172" s="532"/>
      <c r="B172" s="532"/>
      <c r="C172" s="532"/>
      <c r="D172" s="532"/>
      <c r="E172" s="532"/>
      <c r="F172" s="532"/>
      <c r="G172" s="532"/>
      <c r="H172" s="532"/>
    </row>
    <row r="173" spans="1:8" ht="12.75">
      <c r="A173" s="532"/>
      <c r="B173" s="532"/>
      <c r="C173" s="532"/>
      <c r="D173" s="532"/>
      <c r="E173" s="532"/>
      <c r="F173" s="532"/>
      <c r="G173" s="532"/>
      <c r="H173" s="532"/>
    </row>
    <row r="174" spans="1:8" ht="12.75">
      <c r="A174" s="532"/>
      <c r="B174" s="532"/>
      <c r="C174" s="532"/>
      <c r="D174" s="532"/>
      <c r="E174" s="532"/>
      <c r="F174" s="532"/>
      <c r="G174" s="532"/>
      <c r="H174" s="532"/>
    </row>
    <row r="175" spans="1:8" ht="12.75">
      <c r="A175" s="532"/>
      <c r="B175" s="532"/>
      <c r="C175" s="532"/>
      <c r="D175" s="532"/>
      <c r="E175" s="532"/>
      <c r="F175" s="532"/>
      <c r="G175" s="532"/>
      <c r="H175" s="532"/>
    </row>
    <row r="176" spans="1:8" ht="12.75">
      <c r="A176" s="532"/>
      <c r="B176" s="532"/>
      <c r="C176" s="532"/>
      <c r="D176" s="532"/>
      <c r="E176" s="532"/>
      <c r="F176" s="532"/>
      <c r="G176" s="532"/>
      <c r="H176" s="532"/>
    </row>
    <row r="177" spans="1:8" ht="12.75">
      <c r="A177" s="532"/>
      <c r="B177" s="532"/>
      <c r="C177" s="532"/>
      <c r="D177" s="532"/>
      <c r="E177" s="532"/>
      <c r="F177" s="532"/>
      <c r="G177" s="532"/>
      <c r="H177" s="532"/>
    </row>
    <row r="178" spans="1:8" ht="12.75">
      <c r="A178" s="532"/>
      <c r="B178" s="532"/>
      <c r="C178" s="532"/>
      <c r="D178" s="532"/>
      <c r="E178" s="532"/>
      <c r="F178" s="532"/>
      <c r="G178" s="532"/>
      <c r="H178" s="532"/>
    </row>
    <row r="179" spans="1:8" ht="12.75">
      <c r="A179" s="532"/>
      <c r="B179" s="532"/>
      <c r="C179" s="532"/>
      <c r="D179" s="532"/>
      <c r="E179" s="532"/>
      <c r="F179" s="532"/>
      <c r="G179" s="532"/>
      <c r="H179" s="532"/>
    </row>
    <row r="180" spans="1:8" ht="12.75">
      <c r="A180" s="532"/>
      <c r="B180" s="532"/>
      <c r="C180" s="532"/>
      <c r="D180" s="532"/>
      <c r="E180" s="532"/>
      <c r="F180" s="532"/>
      <c r="G180" s="532"/>
      <c r="H180" s="532"/>
    </row>
    <row r="181" spans="1:8" ht="12.75">
      <c r="A181" s="532"/>
      <c r="B181" s="532"/>
      <c r="C181" s="532"/>
      <c r="D181" s="532"/>
      <c r="E181" s="532"/>
      <c r="F181" s="532"/>
      <c r="G181" s="532"/>
      <c r="H181" s="532"/>
    </row>
    <row r="182" spans="1:8" ht="12.75">
      <c r="A182" s="532"/>
      <c r="B182" s="532"/>
      <c r="C182" s="532"/>
      <c r="D182" s="532"/>
      <c r="E182" s="532"/>
      <c r="F182" s="532"/>
      <c r="G182" s="532"/>
      <c r="H182" s="532"/>
    </row>
    <row r="183" spans="1:8" ht="12.75">
      <c r="A183" s="532"/>
      <c r="B183" s="532"/>
      <c r="C183" s="532"/>
      <c r="D183" s="532"/>
      <c r="E183" s="532"/>
      <c r="F183" s="532"/>
      <c r="G183" s="532"/>
      <c r="H183" s="532"/>
    </row>
    <row r="184" spans="1:8" ht="12.75">
      <c r="A184" s="532"/>
      <c r="B184" s="532"/>
      <c r="C184" s="532"/>
      <c r="D184" s="532"/>
      <c r="E184" s="532"/>
      <c r="F184" s="532"/>
      <c r="G184" s="532"/>
      <c r="H184" s="532"/>
    </row>
    <row r="185" spans="1:8" ht="12.75">
      <c r="A185" s="532"/>
      <c r="B185" s="532"/>
      <c r="C185" s="532"/>
      <c r="D185" s="532"/>
      <c r="E185" s="532"/>
      <c r="F185" s="532"/>
      <c r="G185" s="532"/>
      <c r="H185" s="532"/>
    </row>
    <row r="186" spans="1:8" ht="12.75">
      <c r="A186" s="532"/>
      <c r="B186" s="532"/>
      <c r="C186" s="532"/>
      <c r="D186" s="532"/>
      <c r="E186" s="532"/>
      <c r="F186" s="532"/>
      <c r="G186" s="532"/>
      <c r="H186" s="532"/>
    </row>
    <row r="187" spans="1:8" ht="12.75">
      <c r="A187" s="532"/>
      <c r="B187" s="532"/>
      <c r="C187" s="532"/>
      <c r="D187" s="532"/>
      <c r="E187" s="532"/>
      <c r="F187" s="532"/>
      <c r="G187" s="532"/>
      <c r="H187" s="532"/>
    </row>
    <row r="188" spans="1:8" ht="12.75">
      <c r="A188" s="532"/>
      <c r="B188" s="532"/>
      <c r="C188" s="532"/>
      <c r="D188" s="532"/>
      <c r="E188" s="532"/>
      <c r="F188" s="532"/>
      <c r="G188" s="532"/>
      <c r="H188" s="532"/>
    </row>
    <row r="189" spans="1:8" ht="12.75">
      <c r="A189" s="532"/>
      <c r="B189" s="532"/>
      <c r="C189" s="532"/>
      <c r="D189" s="532"/>
      <c r="E189" s="532"/>
      <c r="F189" s="532"/>
      <c r="G189" s="532"/>
      <c r="H189" s="532"/>
    </row>
    <row r="190" spans="1:8" ht="12.75">
      <c r="A190" s="532"/>
      <c r="B190" s="532"/>
      <c r="C190" s="532"/>
      <c r="D190" s="532"/>
      <c r="E190" s="532"/>
      <c r="F190" s="532"/>
      <c r="G190" s="532"/>
      <c r="H190" s="532"/>
    </row>
    <row r="191" spans="1:8" ht="12.75">
      <c r="A191" s="532"/>
      <c r="B191" s="532"/>
      <c r="C191" s="532"/>
      <c r="D191" s="532"/>
      <c r="E191" s="532"/>
      <c r="F191" s="532"/>
      <c r="G191" s="532"/>
      <c r="H191" s="532"/>
    </row>
    <row r="192" spans="1:8" ht="12.75">
      <c r="A192" s="532"/>
      <c r="B192" s="532"/>
      <c r="C192" s="532"/>
      <c r="D192" s="532"/>
      <c r="E192" s="532"/>
      <c r="F192" s="532"/>
      <c r="G192" s="532"/>
      <c r="H192" s="532"/>
    </row>
    <row r="193" spans="1:8" ht="12.75">
      <c r="A193" s="532"/>
      <c r="B193" s="532"/>
      <c r="C193" s="532"/>
      <c r="D193" s="532"/>
      <c r="E193" s="532"/>
      <c r="F193" s="532"/>
      <c r="G193" s="532"/>
      <c r="H193" s="532"/>
    </row>
    <row r="194" spans="1:8" ht="12.75">
      <c r="A194" s="532"/>
      <c r="B194" s="532"/>
      <c r="C194" s="532"/>
      <c r="D194" s="532"/>
      <c r="E194" s="532"/>
      <c r="F194" s="532"/>
      <c r="G194" s="532"/>
      <c r="H194" s="532"/>
    </row>
    <row r="195" spans="1:8" ht="12.75">
      <c r="A195" s="532"/>
      <c r="B195" s="532"/>
      <c r="C195" s="532"/>
      <c r="D195" s="532"/>
      <c r="E195" s="532"/>
      <c r="F195" s="532"/>
      <c r="G195" s="532"/>
      <c r="H195" s="532"/>
    </row>
    <row r="196" spans="1:8" ht="12.75">
      <c r="A196" s="532"/>
      <c r="B196" s="532"/>
      <c r="C196" s="532"/>
      <c r="D196" s="532"/>
      <c r="E196" s="532"/>
      <c r="F196" s="532"/>
      <c r="G196" s="532"/>
      <c r="H196" s="532"/>
    </row>
    <row r="197" spans="1:8" ht="12.75">
      <c r="A197" s="532"/>
      <c r="B197" s="532"/>
      <c r="C197" s="532"/>
      <c r="D197" s="532"/>
      <c r="E197" s="532"/>
      <c r="F197" s="532"/>
      <c r="G197" s="532"/>
      <c r="H197" s="532"/>
    </row>
    <row r="198" spans="1:8" ht="12.75">
      <c r="A198" s="532"/>
      <c r="B198" s="532"/>
      <c r="C198" s="532"/>
      <c r="D198" s="532"/>
      <c r="E198" s="532"/>
      <c r="F198" s="532"/>
      <c r="G198" s="532"/>
      <c r="H198" s="532"/>
    </row>
    <row r="199" spans="1:8" ht="12.75">
      <c r="A199" s="532"/>
      <c r="B199" s="532"/>
      <c r="C199" s="532"/>
      <c r="D199" s="532"/>
      <c r="E199" s="532"/>
      <c r="F199" s="532"/>
      <c r="G199" s="532"/>
      <c r="H199" s="532"/>
    </row>
    <row r="200" spans="1:8" ht="12.75">
      <c r="A200" s="532"/>
      <c r="B200" s="532"/>
      <c r="C200" s="532"/>
      <c r="D200" s="532"/>
      <c r="E200" s="532"/>
      <c r="F200" s="532"/>
      <c r="G200" s="532"/>
      <c r="H200" s="532"/>
    </row>
    <row r="201" spans="1:8" ht="12.75">
      <c r="A201" s="532"/>
      <c r="B201" s="532"/>
      <c r="C201" s="532"/>
      <c r="D201" s="532"/>
      <c r="E201" s="532"/>
      <c r="F201" s="532"/>
      <c r="G201" s="532"/>
      <c r="H201" s="532"/>
    </row>
    <row r="202" spans="1:8" ht="12.75">
      <c r="A202" s="532"/>
      <c r="B202" s="532"/>
      <c r="C202" s="532"/>
      <c r="D202" s="532"/>
      <c r="E202" s="532"/>
      <c r="F202" s="532"/>
      <c r="G202" s="532"/>
      <c r="H202" s="532"/>
    </row>
    <row r="203" spans="1:8" ht="12.75">
      <c r="A203" s="532"/>
      <c r="B203" s="532"/>
      <c r="C203" s="532"/>
      <c r="D203" s="532"/>
      <c r="E203" s="532"/>
      <c r="F203" s="532"/>
      <c r="G203" s="532"/>
      <c r="H203" s="532"/>
    </row>
    <row r="204" spans="1:8" ht="12.75">
      <c r="A204" s="532"/>
      <c r="B204" s="532"/>
      <c r="C204" s="532"/>
      <c r="D204" s="532"/>
      <c r="E204" s="532"/>
      <c r="F204" s="532"/>
      <c r="G204" s="532"/>
      <c r="H204" s="532"/>
    </row>
    <row r="205" spans="1:8" ht="12.75">
      <c r="A205" s="532"/>
      <c r="B205" s="532"/>
      <c r="C205" s="532"/>
      <c r="D205" s="532"/>
      <c r="E205" s="532"/>
      <c r="F205" s="532"/>
      <c r="G205" s="532"/>
      <c r="H205" s="532"/>
    </row>
    <row r="206" spans="1:8" ht="12.75">
      <c r="A206" s="532"/>
      <c r="B206" s="532"/>
      <c r="C206" s="532"/>
      <c r="D206" s="532"/>
      <c r="E206" s="532"/>
      <c r="F206" s="532"/>
      <c r="G206" s="532"/>
      <c r="H206" s="532"/>
    </row>
    <row r="207" spans="1:8" ht="12.75">
      <c r="A207" s="532"/>
      <c r="B207" s="532"/>
      <c r="C207" s="532"/>
      <c r="D207" s="532"/>
      <c r="E207" s="532"/>
      <c r="F207" s="532"/>
      <c r="G207" s="532"/>
      <c r="H207" s="532"/>
    </row>
    <row r="208" spans="1:8" ht="12.75">
      <c r="A208" s="532"/>
      <c r="B208" s="532"/>
      <c r="C208" s="532"/>
      <c r="D208" s="532"/>
      <c r="E208" s="532"/>
      <c r="F208" s="532"/>
      <c r="G208" s="532"/>
      <c r="H208" s="532"/>
    </row>
    <row r="209" spans="1:8" ht="12.75">
      <c r="A209" s="532"/>
      <c r="B209" s="532"/>
      <c r="C209" s="532"/>
      <c r="D209" s="532"/>
      <c r="E209" s="532"/>
      <c r="F209" s="532"/>
      <c r="G209" s="532"/>
      <c r="H209" s="532"/>
    </row>
    <row r="210" spans="1:8" ht="12.75">
      <c r="A210" s="532"/>
      <c r="B210" s="532"/>
      <c r="C210" s="532"/>
      <c r="D210" s="532"/>
      <c r="E210" s="532"/>
      <c r="F210" s="532"/>
      <c r="G210" s="532"/>
      <c r="H210" s="532"/>
    </row>
    <row r="211" spans="1:8" ht="12.75">
      <c r="A211" s="532"/>
      <c r="B211" s="532"/>
      <c r="C211" s="532"/>
      <c r="D211" s="532"/>
      <c r="E211" s="532"/>
      <c r="F211" s="532"/>
      <c r="G211" s="532"/>
      <c r="H211" s="532"/>
    </row>
    <row r="212" spans="1:8" ht="12.75">
      <c r="A212" s="532"/>
      <c r="B212" s="532"/>
      <c r="C212" s="532"/>
      <c r="D212" s="532"/>
      <c r="E212" s="532"/>
      <c r="F212" s="532"/>
      <c r="G212" s="532"/>
      <c r="H212" s="532"/>
    </row>
    <row r="213" spans="1:8" ht="12.75">
      <c r="A213" s="532"/>
      <c r="B213" s="532"/>
      <c r="C213" s="532"/>
      <c r="D213" s="532"/>
      <c r="E213" s="532"/>
      <c r="F213" s="532"/>
      <c r="G213" s="532"/>
      <c r="H213" s="532"/>
    </row>
    <row r="214" spans="1:8" ht="12.75">
      <c r="A214" s="532"/>
      <c r="B214" s="532"/>
      <c r="C214" s="532"/>
      <c r="D214" s="532"/>
      <c r="E214" s="532"/>
      <c r="F214" s="532"/>
      <c r="G214" s="532"/>
      <c r="H214" s="532"/>
    </row>
    <row r="215" spans="1:8" ht="12.75">
      <c r="A215" s="532"/>
      <c r="B215" s="532"/>
      <c r="C215" s="532"/>
      <c r="D215" s="532"/>
      <c r="E215" s="532"/>
      <c r="F215" s="532"/>
      <c r="G215" s="532"/>
      <c r="H215" s="532"/>
    </row>
    <row r="216" spans="1:8" ht="12.75">
      <c r="A216" s="532"/>
      <c r="B216" s="532"/>
      <c r="C216" s="532"/>
      <c r="D216" s="532"/>
      <c r="E216" s="532"/>
      <c r="F216" s="532"/>
      <c r="G216" s="532"/>
      <c r="H216" s="532"/>
    </row>
    <row r="217" spans="1:8" ht="12.75">
      <c r="A217" s="532"/>
      <c r="B217" s="532"/>
      <c r="C217" s="532"/>
      <c r="D217" s="532"/>
      <c r="E217" s="532"/>
      <c r="F217" s="532"/>
      <c r="G217" s="532"/>
      <c r="H217" s="532"/>
    </row>
    <row r="218" spans="1:8" ht="12.75">
      <c r="A218" s="532"/>
      <c r="B218" s="532"/>
      <c r="C218" s="532"/>
      <c r="D218" s="532"/>
      <c r="E218" s="532"/>
      <c r="F218" s="532"/>
      <c r="G218" s="532"/>
      <c r="H218" s="532"/>
    </row>
    <row r="219" spans="1:8" ht="12.75">
      <c r="A219" s="532"/>
      <c r="B219" s="532"/>
      <c r="C219" s="532"/>
      <c r="D219" s="532"/>
      <c r="E219" s="532"/>
      <c r="F219" s="532"/>
      <c r="G219" s="532"/>
      <c r="H219" s="532"/>
    </row>
    <row r="220" spans="1:8" ht="12.75">
      <c r="A220" s="532"/>
      <c r="B220" s="532"/>
      <c r="C220" s="532"/>
      <c r="D220" s="532"/>
      <c r="E220" s="532"/>
      <c r="F220" s="532"/>
      <c r="G220" s="532"/>
      <c r="H220" s="532"/>
    </row>
    <row r="221" spans="1:8" ht="12.75">
      <c r="A221" s="532"/>
      <c r="B221" s="532"/>
      <c r="C221" s="532"/>
      <c r="D221" s="532"/>
      <c r="E221" s="532"/>
      <c r="F221" s="532"/>
      <c r="G221" s="532"/>
      <c r="H221" s="532"/>
    </row>
    <row r="222" spans="1:8" ht="12.75">
      <c r="A222" s="532"/>
      <c r="B222" s="532"/>
      <c r="C222" s="532"/>
      <c r="D222" s="532"/>
      <c r="E222" s="532"/>
      <c r="F222" s="532"/>
      <c r="G222" s="532"/>
      <c r="H222" s="532"/>
    </row>
    <row r="223" spans="1:8" ht="12.75">
      <c r="A223" s="532"/>
      <c r="B223" s="532"/>
      <c r="C223" s="532"/>
      <c r="D223" s="532"/>
      <c r="E223" s="532"/>
      <c r="F223" s="532"/>
      <c r="G223" s="532"/>
      <c r="H223" s="532"/>
    </row>
    <row r="224" spans="1:8" ht="12.75">
      <c r="A224" s="532"/>
      <c r="B224" s="532"/>
      <c r="C224" s="532"/>
      <c r="D224" s="532"/>
      <c r="E224" s="532"/>
      <c r="F224" s="532"/>
      <c r="G224" s="532"/>
      <c r="H224" s="532"/>
    </row>
    <row r="225" spans="1:8" ht="12.75">
      <c r="A225" s="532"/>
      <c r="B225" s="532"/>
      <c r="C225" s="532"/>
      <c r="D225" s="532"/>
      <c r="E225" s="532"/>
      <c r="F225" s="532"/>
      <c r="G225" s="532"/>
      <c r="H225" s="532"/>
    </row>
    <row r="226" spans="1:8" ht="12.75">
      <c r="A226" s="532"/>
      <c r="B226" s="532"/>
      <c r="C226" s="532"/>
      <c r="D226" s="532"/>
      <c r="E226" s="532"/>
      <c r="F226" s="532"/>
      <c r="G226" s="532"/>
      <c r="H226" s="532"/>
    </row>
    <row r="227" spans="1:8" ht="12.75">
      <c r="A227" s="532"/>
      <c r="B227" s="532"/>
      <c r="C227" s="532"/>
      <c r="D227" s="532"/>
      <c r="E227" s="532"/>
      <c r="F227" s="532"/>
      <c r="G227" s="532"/>
      <c r="H227" s="532"/>
    </row>
    <row r="228" spans="1:8" ht="12.75">
      <c r="A228" s="532"/>
      <c r="B228" s="532"/>
      <c r="C228" s="532"/>
      <c r="D228" s="532"/>
      <c r="E228" s="532"/>
      <c r="F228" s="532"/>
      <c r="G228" s="532"/>
      <c r="H228" s="532"/>
    </row>
    <row r="229" spans="1:8" ht="12.75">
      <c r="A229" s="532"/>
      <c r="B229" s="532"/>
      <c r="C229" s="532"/>
      <c r="D229" s="532"/>
      <c r="E229" s="532"/>
      <c r="F229" s="532"/>
      <c r="G229" s="532"/>
      <c r="H229" s="532"/>
    </row>
    <row r="230" spans="1:8" ht="12.75">
      <c r="A230" s="532"/>
      <c r="B230" s="532"/>
      <c r="C230" s="532"/>
      <c r="D230" s="532"/>
      <c r="E230" s="532"/>
      <c r="F230" s="532"/>
      <c r="G230" s="532"/>
      <c r="H230" s="532"/>
    </row>
    <row r="231" spans="1:8" ht="12.75">
      <c r="A231" s="532"/>
      <c r="B231" s="532"/>
      <c r="C231" s="532"/>
      <c r="D231" s="532"/>
      <c r="E231" s="532"/>
      <c r="F231" s="532"/>
      <c r="G231" s="532"/>
      <c r="H231" s="532"/>
    </row>
    <row r="232" spans="1:8" ht="12.75">
      <c r="A232" s="532"/>
      <c r="B232" s="532"/>
      <c r="C232" s="532"/>
      <c r="D232" s="532"/>
      <c r="E232" s="532"/>
      <c r="F232" s="532"/>
      <c r="G232" s="532"/>
      <c r="H232" s="532"/>
    </row>
    <row r="233" spans="1:8" ht="12.75">
      <c r="A233" s="532"/>
      <c r="B233" s="532"/>
      <c r="C233" s="532"/>
      <c r="D233" s="532"/>
      <c r="E233" s="532"/>
      <c r="F233" s="532"/>
      <c r="G233" s="532"/>
      <c r="H233" s="532"/>
    </row>
    <row r="234" spans="1:8" ht="12.75">
      <c r="A234" s="532"/>
      <c r="B234" s="532"/>
      <c r="C234" s="532"/>
      <c r="D234" s="532"/>
      <c r="E234" s="532"/>
      <c r="F234" s="532"/>
      <c r="G234" s="532"/>
      <c r="H234" s="532"/>
    </row>
    <row r="235" spans="1:8" ht="12.75">
      <c r="A235" s="532"/>
      <c r="B235" s="532"/>
      <c r="C235" s="532"/>
      <c r="D235" s="532"/>
      <c r="E235" s="532"/>
      <c r="F235" s="532"/>
      <c r="G235" s="532"/>
      <c r="H235" s="532"/>
    </row>
    <row r="236" spans="1:8" ht="12.75">
      <c r="A236" s="532"/>
      <c r="B236" s="532"/>
      <c r="C236" s="532"/>
      <c r="D236" s="532"/>
      <c r="E236" s="532"/>
      <c r="F236" s="532"/>
      <c r="G236" s="532"/>
      <c r="H236" s="532"/>
    </row>
    <row r="237" spans="1:8" ht="12.75">
      <c r="A237" s="532"/>
      <c r="B237" s="532"/>
      <c r="C237" s="532"/>
      <c r="D237" s="532"/>
      <c r="E237" s="532"/>
      <c r="F237" s="532"/>
      <c r="G237" s="532"/>
      <c r="H237" s="532"/>
    </row>
    <row r="238" spans="1:8" ht="12.75">
      <c r="A238" s="532"/>
      <c r="B238" s="532"/>
      <c r="C238" s="532"/>
      <c r="D238" s="532"/>
      <c r="E238" s="532"/>
      <c r="F238" s="532"/>
      <c r="G238" s="532"/>
      <c r="H238" s="532"/>
    </row>
    <row r="239" spans="1:8" ht="12.75">
      <c r="A239" s="532"/>
      <c r="B239" s="532"/>
      <c r="C239" s="532"/>
      <c r="D239" s="532"/>
      <c r="E239" s="532"/>
      <c r="F239" s="532"/>
      <c r="G239" s="532"/>
      <c r="H239" s="532"/>
    </row>
    <row r="240" spans="1:8" ht="12.75">
      <c r="A240" s="532"/>
      <c r="B240" s="532"/>
      <c r="C240" s="532"/>
      <c r="D240" s="532"/>
      <c r="E240" s="532"/>
      <c r="F240" s="532"/>
      <c r="G240" s="532"/>
      <c r="H240" s="532"/>
    </row>
    <row r="241" spans="1:8" ht="12.75">
      <c r="A241" s="532"/>
      <c r="B241" s="532"/>
      <c r="C241" s="532"/>
      <c r="D241" s="532"/>
      <c r="E241" s="532"/>
      <c r="F241" s="532"/>
      <c r="G241" s="532"/>
      <c r="H241" s="532"/>
    </row>
    <row r="242" spans="1:8" ht="12.75">
      <c r="A242" s="532"/>
      <c r="B242" s="532"/>
      <c r="C242" s="532"/>
      <c r="D242" s="532"/>
      <c r="E242" s="532"/>
      <c r="F242" s="532"/>
      <c r="G242" s="532"/>
      <c r="H242" s="532"/>
    </row>
    <row r="243" spans="1:8" ht="12.75">
      <c r="A243" s="532"/>
      <c r="B243" s="532"/>
      <c r="C243" s="532"/>
      <c r="D243" s="532"/>
      <c r="E243" s="532"/>
      <c r="F243" s="532"/>
      <c r="G243" s="532"/>
      <c r="H243" s="532"/>
    </row>
    <row r="244" spans="1:8" ht="12.75">
      <c r="A244" s="532"/>
      <c r="B244" s="532"/>
      <c r="C244" s="532"/>
      <c r="D244" s="532"/>
      <c r="E244" s="532"/>
      <c r="F244" s="532"/>
      <c r="G244" s="532"/>
      <c r="H244" s="532"/>
    </row>
    <row r="245" spans="1:8" ht="12.75">
      <c r="A245" s="532"/>
      <c r="B245" s="532"/>
      <c r="C245" s="532"/>
      <c r="D245" s="532"/>
      <c r="E245" s="532"/>
      <c r="F245" s="532"/>
      <c r="G245" s="532"/>
      <c r="H245" s="532"/>
    </row>
    <row r="246" spans="1:8" ht="12.75">
      <c r="A246" s="532"/>
      <c r="B246" s="532"/>
      <c r="C246" s="532"/>
      <c r="D246" s="532"/>
      <c r="E246" s="532"/>
      <c r="F246" s="532"/>
      <c r="G246" s="532"/>
      <c r="H246" s="532"/>
    </row>
    <row r="247" spans="1:8" ht="12.75">
      <c r="A247" s="532"/>
      <c r="B247" s="532"/>
      <c r="C247" s="532"/>
      <c r="D247" s="532"/>
      <c r="E247" s="532"/>
      <c r="F247" s="532"/>
      <c r="G247" s="532"/>
      <c r="H247" s="532"/>
    </row>
    <row r="248" spans="1:8" ht="12.75">
      <c r="A248" s="532"/>
      <c r="B248" s="532"/>
      <c r="C248" s="532"/>
      <c r="D248" s="532"/>
      <c r="E248" s="532"/>
      <c r="F248" s="532"/>
      <c r="G248" s="532"/>
      <c r="H248" s="532"/>
    </row>
    <row r="249" spans="1:8" ht="12.75">
      <c r="A249" s="532"/>
      <c r="B249" s="532"/>
      <c r="C249" s="532"/>
      <c r="D249" s="532"/>
      <c r="E249" s="532"/>
      <c r="F249" s="532"/>
      <c r="G249" s="532"/>
      <c r="H249" s="532"/>
    </row>
    <row r="250" spans="1:8" ht="12.75">
      <c r="A250" s="532"/>
      <c r="B250" s="532"/>
      <c r="C250" s="532"/>
      <c r="D250" s="532"/>
      <c r="E250" s="532"/>
      <c r="F250" s="532"/>
      <c r="G250" s="532"/>
      <c r="H250" s="532"/>
    </row>
    <row r="251" spans="1:8" ht="12.75">
      <c r="A251" s="532"/>
      <c r="B251" s="532"/>
      <c r="C251" s="532"/>
      <c r="D251" s="532"/>
      <c r="E251" s="532"/>
      <c r="F251" s="532"/>
      <c r="G251" s="532"/>
      <c r="H251" s="532"/>
    </row>
    <row r="252" spans="1:8" ht="12.75">
      <c r="A252" s="532"/>
      <c r="B252" s="532"/>
      <c r="C252" s="532"/>
      <c r="D252" s="532"/>
      <c r="E252" s="532"/>
      <c r="F252" s="532"/>
      <c r="G252" s="532"/>
      <c r="H252" s="532"/>
    </row>
    <row r="253" spans="1:8" ht="12.75">
      <c r="A253" s="532"/>
      <c r="B253" s="532"/>
      <c r="C253" s="532"/>
      <c r="D253" s="532"/>
      <c r="E253" s="532"/>
      <c r="F253" s="532"/>
      <c r="G253" s="532"/>
      <c r="H253" s="532"/>
    </row>
    <row r="254" spans="1:8" ht="12.75">
      <c r="A254" s="532"/>
      <c r="B254" s="532"/>
      <c r="C254" s="532"/>
      <c r="D254" s="532"/>
      <c r="E254" s="532"/>
      <c r="F254" s="532"/>
      <c r="G254" s="532"/>
      <c r="H254" s="532"/>
    </row>
    <row r="255" spans="1:8" ht="12.75">
      <c r="A255" s="532"/>
      <c r="B255" s="532"/>
      <c r="C255" s="532"/>
      <c r="D255" s="532"/>
      <c r="E255" s="532"/>
      <c r="F255" s="532"/>
      <c r="G255" s="532"/>
      <c r="H255" s="532"/>
    </row>
    <row r="256" spans="1:8" ht="12.75">
      <c r="A256" s="532"/>
      <c r="B256" s="532"/>
      <c r="C256" s="532"/>
      <c r="D256" s="532"/>
      <c r="E256" s="532"/>
      <c r="F256" s="532"/>
      <c r="G256" s="532"/>
      <c r="H256" s="532"/>
    </row>
    <row r="257" spans="1:8" ht="12.75">
      <c r="A257" s="532"/>
      <c r="B257" s="532"/>
      <c r="C257" s="532"/>
      <c r="D257" s="532"/>
      <c r="E257" s="532"/>
      <c r="F257" s="532"/>
      <c r="G257" s="532"/>
      <c r="H257" s="532"/>
    </row>
    <row r="258" spans="1:8" ht="12.75">
      <c r="A258" s="532"/>
      <c r="B258" s="532"/>
      <c r="C258" s="532"/>
      <c r="D258" s="532"/>
      <c r="E258" s="532"/>
      <c r="F258" s="532"/>
      <c r="G258" s="532"/>
      <c r="H258" s="532"/>
    </row>
    <row r="259" spans="1:8" ht="12.75">
      <c r="A259" s="532"/>
      <c r="B259" s="532"/>
      <c r="C259" s="532"/>
      <c r="D259" s="532"/>
      <c r="E259" s="532"/>
      <c r="F259" s="532"/>
      <c r="G259" s="532"/>
      <c r="H259" s="532"/>
    </row>
    <row r="260" spans="1:8" ht="12.75">
      <c r="A260" s="532"/>
      <c r="B260" s="532"/>
      <c r="C260" s="532"/>
      <c r="D260" s="532"/>
      <c r="E260" s="532"/>
      <c r="F260" s="532"/>
      <c r="G260" s="532"/>
      <c r="H260" s="532"/>
    </row>
    <row r="261" spans="1:8" ht="12.75">
      <c r="A261" s="532"/>
      <c r="B261" s="532"/>
      <c r="C261" s="532"/>
      <c r="D261" s="532"/>
      <c r="E261" s="532"/>
      <c r="F261" s="532"/>
      <c r="G261" s="532"/>
      <c r="H261" s="532"/>
    </row>
    <row r="262" spans="1:8" ht="12.75">
      <c r="A262" s="532"/>
      <c r="B262" s="532"/>
      <c r="C262" s="532"/>
      <c r="D262" s="532"/>
      <c r="E262" s="532"/>
      <c r="F262" s="532"/>
      <c r="G262" s="532"/>
      <c r="H262" s="532"/>
    </row>
    <row r="263" spans="1:8" ht="12.75">
      <c r="A263" s="532"/>
      <c r="B263" s="532"/>
      <c r="C263" s="532"/>
      <c r="D263" s="532"/>
      <c r="E263" s="532"/>
      <c r="F263" s="532"/>
      <c r="G263" s="532"/>
      <c r="H263" s="532"/>
    </row>
    <row r="264" spans="1:8" ht="12.75">
      <c r="A264" s="532"/>
      <c r="B264" s="532"/>
      <c r="C264" s="532"/>
      <c r="D264" s="532"/>
      <c r="E264" s="532"/>
      <c r="F264" s="532"/>
      <c r="G264" s="532"/>
      <c r="H264" s="532"/>
    </row>
    <row r="265" spans="1:8" ht="12.75">
      <c r="A265" s="532"/>
      <c r="B265" s="532"/>
      <c r="C265" s="532"/>
      <c r="D265" s="532"/>
      <c r="E265" s="532"/>
      <c r="F265" s="532"/>
      <c r="G265" s="532"/>
      <c r="H265" s="532"/>
    </row>
    <row r="266" spans="1:8" ht="12.75">
      <c r="A266" s="532"/>
      <c r="B266" s="532"/>
      <c r="C266" s="532"/>
      <c r="D266" s="532"/>
      <c r="E266" s="532"/>
      <c r="F266" s="532"/>
      <c r="G266" s="532"/>
      <c r="H266" s="532"/>
    </row>
    <row r="267" spans="1:8" ht="12.75">
      <c r="A267" s="532"/>
      <c r="B267" s="532"/>
      <c r="C267" s="532"/>
      <c r="D267" s="532"/>
      <c r="E267" s="532"/>
      <c r="F267" s="532"/>
      <c r="G267" s="532"/>
      <c r="H267" s="532"/>
    </row>
    <row r="268" spans="1:8" ht="12.75">
      <c r="A268" s="532"/>
      <c r="B268" s="532"/>
      <c r="C268" s="532"/>
      <c r="D268" s="532"/>
      <c r="E268" s="532"/>
      <c r="F268" s="532"/>
      <c r="G268" s="532"/>
      <c r="H268" s="532"/>
    </row>
    <row r="269" spans="1:8" ht="12.75">
      <c r="A269" s="532"/>
      <c r="B269" s="532"/>
      <c r="C269" s="532"/>
      <c r="D269" s="532"/>
      <c r="E269" s="532"/>
      <c r="F269" s="532"/>
      <c r="G269" s="532"/>
      <c r="H269" s="532"/>
    </row>
    <row r="270" spans="1:8" ht="12.75">
      <c r="A270" s="532"/>
      <c r="B270" s="532"/>
      <c r="C270" s="532"/>
      <c r="D270" s="532"/>
      <c r="E270" s="532"/>
      <c r="F270" s="532"/>
      <c r="G270" s="532"/>
      <c r="H270" s="532"/>
    </row>
    <row r="271" spans="1:8" ht="12.75">
      <c r="A271" s="532"/>
      <c r="B271" s="532"/>
      <c r="C271" s="532"/>
      <c r="D271" s="532"/>
      <c r="E271" s="532"/>
      <c r="F271" s="532"/>
      <c r="G271" s="532"/>
      <c r="H271" s="532"/>
    </row>
    <row r="272" spans="1:8" ht="12.75">
      <c r="A272" s="532"/>
      <c r="B272" s="532"/>
      <c r="C272" s="532"/>
      <c r="D272" s="532"/>
      <c r="E272" s="532"/>
      <c r="F272" s="532"/>
      <c r="G272" s="532"/>
      <c r="H272" s="532"/>
    </row>
    <row r="273" spans="1:8" ht="12.75">
      <c r="A273" s="532"/>
      <c r="B273" s="532"/>
      <c r="C273" s="532"/>
      <c r="D273" s="532"/>
      <c r="E273" s="532"/>
      <c r="F273" s="532"/>
      <c r="G273" s="532"/>
      <c r="H273" s="532"/>
    </row>
    <row r="274" spans="1:8" ht="12.75">
      <c r="A274" s="532"/>
      <c r="B274" s="532"/>
      <c r="C274" s="532"/>
      <c r="D274" s="532"/>
      <c r="E274" s="532"/>
      <c r="F274" s="532"/>
      <c r="G274" s="532"/>
      <c r="H274" s="532"/>
    </row>
    <row r="275" spans="1:8" ht="12.75">
      <c r="A275" s="532"/>
      <c r="B275" s="532"/>
      <c r="C275" s="532"/>
      <c r="D275" s="532"/>
      <c r="E275" s="532"/>
      <c r="F275" s="532"/>
      <c r="G275" s="532"/>
      <c r="H275" s="532"/>
    </row>
    <row r="276" spans="1:8" ht="12.75">
      <c r="A276" s="532"/>
      <c r="B276" s="532"/>
      <c r="C276" s="532"/>
      <c r="D276" s="532"/>
      <c r="E276" s="532"/>
      <c r="F276" s="532"/>
      <c r="G276" s="532"/>
      <c r="H276" s="532"/>
    </row>
    <row r="277" spans="1:8" ht="12.75">
      <c r="A277" s="532"/>
      <c r="B277" s="532"/>
      <c r="C277" s="532"/>
      <c r="D277" s="532"/>
      <c r="E277" s="532"/>
      <c r="F277" s="532"/>
      <c r="G277" s="532"/>
      <c r="H277" s="532"/>
    </row>
    <row r="278" spans="1:8" ht="12.75">
      <c r="A278" s="532"/>
      <c r="B278" s="532"/>
      <c r="C278" s="532"/>
      <c r="D278" s="532"/>
      <c r="E278" s="532"/>
      <c r="F278" s="532"/>
      <c r="G278" s="532"/>
      <c r="H278" s="532"/>
    </row>
    <row r="279" spans="1:8" ht="12.75">
      <c r="A279" s="532"/>
      <c r="B279" s="532"/>
      <c r="C279" s="532"/>
      <c r="D279" s="532"/>
      <c r="E279" s="532"/>
      <c r="F279" s="532"/>
      <c r="G279" s="532"/>
      <c r="H279" s="532"/>
    </row>
    <row r="280" spans="1:8" ht="12.75">
      <c r="A280" s="532"/>
      <c r="B280" s="532"/>
      <c r="C280" s="532"/>
      <c r="D280" s="532"/>
      <c r="E280" s="532"/>
      <c r="F280" s="532"/>
      <c r="G280" s="532"/>
      <c r="H280" s="532"/>
    </row>
    <row r="281" spans="1:8" ht="12.75">
      <c r="A281" s="532"/>
      <c r="B281" s="532"/>
      <c r="C281" s="532"/>
      <c r="D281" s="532"/>
      <c r="E281" s="532"/>
      <c r="F281" s="532"/>
      <c r="G281" s="532"/>
      <c r="H281" s="532"/>
    </row>
    <row r="282" spans="1:8" ht="12.75">
      <c r="A282" s="532"/>
      <c r="B282" s="532"/>
      <c r="C282" s="532"/>
      <c r="D282" s="532"/>
      <c r="E282" s="532"/>
      <c r="F282" s="532"/>
      <c r="G282" s="532"/>
      <c r="H282" s="532"/>
    </row>
    <row r="283" spans="1:8" ht="12.75">
      <c r="A283" s="532"/>
      <c r="B283" s="532"/>
      <c r="C283" s="532"/>
      <c r="D283" s="532"/>
      <c r="E283" s="532"/>
      <c r="F283" s="532"/>
      <c r="G283" s="532"/>
      <c r="H283" s="532"/>
    </row>
    <row r="284" spans="1:8" ht="12.75">
      <c r="A284" s="532"/>
      <c r="B284" s="532"/>
      <c r="C284" s="532"/>
      <c r="D284" s="532"/>
      <c r="E284" s="532"/>
      <c r="F284" s="532"/>
      <c r="G284" s="532"/>
      <c r="H284" s="532"/>
    </row>
    <row r="285" spans="1:8" ht="12.75">
      <c r="A285" s="532"/>
      <c r="B285" s="532"/>
      <c r="C285" s="532"/>
      <c r="D285" s="532"/>
      <c r="E285" s="532"/>
      <c r="F285" s="532"/>
      <c r="G285" s="532"/>
      <c r="H285" s="532"/>
    </row>
    <row r="286" spans="1:8" ht="12.75">
      <c r="A286" s="532"/>
      <c r="B286" s="532"/>
      <c r="C286" s="532"/>
      <c r="D286" s="532"/>
      <c r="E286" s="532"/>
      <c r="F286" s="532"/>
      <c r="G286" s="532"/>
      <c r="H286" s="532"/>
    </row>
    <row r="287" spans="1:8" ht="12.75">
      <c r="A287" s="532"/>
      <c r="B287" s="532"/>
      <c r="C287" s="532"/>
      <c r="D287" s="532"/>
      <c r="E287" s="532"/>
      <c r="F287" s="532"/>
      <c r="G287" s="532"/>
      <c r="H287" s="532"/>
    </row>
    <row r="288" spans="1:8" ht="12.75">
      <c r="A288" s="532"/>
      <c r="B288" s="532"/>
      <c r="C288" s="532"/>
      <c r="D288" s="532"/>
      <c r="E288" s="532"/>
      <c r="F288" s="532"/>
      <c r="G288" s="532"/>
      <c r="H288" s="532"/>
    </row>
    <row r="289" spans="1:8" ht="12.75">
      <c r="A289" s="532"/>
      <c r="B289" s="532"/>
      <c r="C289" s="532"/>
      <c r="D289" s="532"/>
      <c r="E289" s="532"/>
      <c r="F289" s="532"/>
      <c r="G289" s="532"/>
      <c r="H289" s="532"/>
    </row>
    <row r="290" spans="1:8" ht="12.75">
      <c r="A290" s="532"/>
      <c r="B290" s="532"/>
      <c r="C290" s="532"/>
      <c r="D290" s="532"/>
      <c r="E290" s="532"/>
      <c r="F290" s="532"/>
      <c r="G290" s="532"/>
      <c r="H290" s="532"/>
    </row>
    <row r="291" spans="1:8" ht="12.75">
      <c r="A291" s="532"/>
      <c r="B291" s="532"/>
      <c r="C291" s="532"/>
      <c r="D291" s="532"/>
      <c r="E291" s="532"/>
      <c r="F291" s="532"/>
      <c r="G291" s="532"/>
      <c r="H291" s="532"/>
    </row>
    <row r="292" spans="1:8" ht="12.75">
      <c r="A292" s="532"/>
      <c r="B292" s="532"/>
      <c r="C292" s="532"/>
      <c r="D292" s="532"/>
      <c r="E292" s="532"/>
      <c r="F292" s="532"/>
      <c r="G292" s="532"/>
      <c r="H292" s="532"/>
    </row>
    <row r="293" spans="1:8" ht="12.75">
      <c r="A293" s="532"/>
      <c r="B293" s="532"/>
      <c r="C293" s="532"/>
      <c r="D293" s="532"/>
      <c r="E293" s="532"/>
      <c r="F293" s="532"/>
      <c r="G293" s="532"/>
      <c r="H293" s="532"/>
    </row>
    <row r="294" spans="1:8" ht="12.75">
      <c r="A294" s="532"/>
      <c r="B294" s="532"/>
      <c r="C294" s="532"/>
      <c r="D294" s="532"/>
      <c r="E294" s="532"/>
      <c r="F294" s="532"/>
      <c r="G294" s="532"/>
      <c r="H294" s="532"/>
    </row>
    <row r="295" spans="1:8" ht="12.75">
      <c r="A295" s="532"/>
      <c r="B295" s="532"/>
      <c r="C295" s="532"/>
      <c r="D295" s="532"/>
      <c r="E295" s="532"/>
      <c r="F295" s="532"/>
      <c r="G295" s="532"/>
      <c r="H295" s="532"/>
    </row>
    <row r="296" spans="1:8" ht="12.75">
      <c r="A296" s="532"/>
      <c r="B296" s="532"/>
      <c r="C296" s="532"/>
      <c r="D296" s="532"/>
      <c r="E296" s="532"/>
      <c r="F296" s="532"/>
      <c r="G296" s="532"/>
      <c r="H296" s="532"/>
    </row>
    <row r="297" spans="1:8" ht="12.75">
      <c r="A297" s="532"/>
      <c r="B297" s="532"/>
      <c r="C297" s="532"/>
      <c r="D297" s="532"/>
      <c r="E297" s="532"/>
      <c r="F297" s="532"/>
      <c r="G297" s="532"/>
      <c r="H297" s="532"/>
    </row>
    <row r="298" spans="1:8" ht="12.75">
      <c r="A298" s="532"/>
      <c r="B298" s="532"/>
      <c r="C298" s="532"/>
      <c r="D298" s="532"/>
      <c r="E298" s="532"/>
      <c r="F298" s="532"/>
      <c r="G298" s="532"/>
      <c r="H298" s="532"/>
    </row>
    <row r="299" spans="1:8" ht="12.75">
      <c r="A299" s="532"/>
      <c r="B299" s="532"/>
      <c r="C299" s="532"/>
      <c r="D299" s="532"/>
      <c r="E299" s="532"/>
      <c r="F299" s="532"/>
      <c r="G299" s="532"/>
      <c r="H299" s="532"/>
    </row>
    <row r="300" spans="1:8" ht="12.75">
      <c r="A300" s="532"/>
      <c r="B300" s="532"/>
      <c r="C300" s="532"/>
      <c r="D300" s="532"/>
      <c r="E300" s="532"/>
      <c r="F300" s="532"/>
      <c r="G300" s="532"/>
      <c r="H300" s="532"/>
    </row>
    <row r="301" spans="1:8" ht="12.75">
      <c r="A301" s="532"/>
      <c r="B301" s="532"/>
      <c r="C301" s="532"/>
      <c r="D301" s="532"/>
      <c r="E301" s="532"/>
      <c r="F301" s="532"/>
      <c r="G301" s="532"/>
      <c r="H301" s="532"/>
    </row>
    <row r="302" spans="1:8" ht="12.75">
      <c r="A302" s="532"/>
      <c r="B302" s="532"/>
      <c r="C302" s="532"/>
      <c r="D302" s="532"/>
      <c r="E302" s="532"/>
      <c r="F302" s="532"/>
      <c r="G302" s="532"/>
      <c r="H302" s="532"/>
    </row>
    <row r="303" spans="1:8" ht="12.75">
      <c r="A303" s="532"/>
      <c r="B303" s="532"/>
      <c r="C303" s="532"/>
      <c r="D303" s="532"/>
      <c r="E303" s="532"/>
      <c r="F303" s="532"/>
      <c r="G303" s="532"/>
      <c r="H303" s="532"/>
    </row>
    <row r="304" spans="1:8" ht="12.75">
      <c r="A304" s="532"/>
      <c r="B304" s="532"/>
      <c r="C304" s="532"/>
      <c r="D304" s="532"/>
      <c r="E304" s="532"/>
      <c r="F304" s="532"/>
      <c r="G304" s="532"/>
      <c r="H304" s="532"/>
    </row>
    <row r="305" spans="1:8" ht="12.75">
      <c r="A305" s="532"/>
      <c r="B305" s="532"/>
      <c r="C305" s="532"/>
      <c r="D305" s="532"/>
      <c r="E305" s="532"/>
      <c r="F305" s="532"/>
      <c r="G305" s="532"/>
      <c r="H305" s="532"/>
    </row>
    <row r="306" spans="1:8" ht="12.75">
      <c r="A306" s="532"/>
      <c r="B306" s="532"/>
      <c r="C306" s="532"/>
      <c r="D306" s="532"/>
      <c r="E306" s="532"/>
      <c r="F306" s="532"/>
      <c r="G306" s="532"/>
      <c r="H306" s="532"/>
    </row>
    <row r="307" spans="1:8" ht="12.75">
      <c r="A307" s="532"/>
      <c r="B307" s="532"/>
      <c r="C307" s="532"/>
      <c r="D307" s="532"/>
      <c r="E307" s="532"/>
      <c r="F307" s="532"/>
      <c r="G307" s="532"/>
      <c r="H307" s="532"/>
    </row>
    <row r="308" spans="1:8" ht="12.75">
      <c r="A308" s="532"/>
      <c r="B308" s="532"/>
      <c r="C308" s="532"/>
      <c r="D308" s="532"/>
      <c r="E308" s="532"/>
      <c r="F308" s="532"/>
      <c r="G308" s="532"/>
      <c r="H308" s="532"/>
    </row>
    <row r="309" spans="1:8" ht="12.75">
      <c r="A309" s="532"/>
      <c r="B309" s="532"/>
      <c r="C309" s="532"/>
      <c r="D309" s="532"/>
      <c r="E309" s="532"/>
      <c r="F309" s="532"/>
      <c r="G309" s="532"/>
      <c r="H309" s="532"/>
    </row>
    <row r="310" spans="1:8" ht="12.75">
      <c r="A310" s="532"/>
      <c r="B310" s="532"/>
      <c r="C310" s="532"/>
      <c r="D310" s="532"/>
      <c r="E310" s="532"/>
      <c r="F310" s="532"/>
      <c r="G310" s="532"/>
      <c r="H310" s="532"/>
    </row>
    <row r="311" spans="1:8" ht="12.75">
      <c r="A311" s="532"/>
      <c r="B311" s="532"/>
      <c r="C311" s="532"/>
      <c r="D311" s="532"/>
      <c r="E311" s="532"/>
      <c r="F311" s="532"/>
      <c r="G311" s="532"/>
      <c r="H311" s="532"/>
    </row>
    <row r="312" spans="1:8" ht="12.75">
      <c r="A312" s="532"/>
      <c r="B312" s="532"/>
      <c r="C312" s="532"/>
      <c r="D312" s="532"/>
      <c r="E312" s="532"/>
      <c r="F312" s="532"/>
      <c r="G312" s="532"/>
      <c r="H312" s="532"/>
    </row>
    <row r="313" spans="1:8" ht="12.75">
      <c r="A313" s="532"/>
      <c r="B313" s="532"/>
      <c r="C313" s="532"/>
      <c r="D313" s="532"/>
      <c r="E313" s="532"/>
      <c r="F313" s="532"/>
      <c r="G313" s="532"/>
      <c r="H313" s="532"/>
    </row>
    <row r="314" spans="1:8" ht="12.75">
      <c r="A314" s="532"/>
      <c r="B314" s="532"/>
      <c r="C314" s="532"/>
      <c r="D314" s="532"/>
      <c r="E314" s="532"/>
      <c r="F314" s="532"/>
      <c r="G314" s="532"/>
      <c r="H314" s="532"/>
    </row>
    <row r="315" spans="1:8" ht="12.75">
      <c r="A315" s="532"/>
      <c r="B315" s="532"/>
      <c r="C315" s="532"/>
      <c r="D315" s="532"/>
      <c r="E315" s="532"/>
      <c r="F315" s="532"/>
      <c r="G315" s="532"/>
      <c r="H315" s="532"/>
    </row>
    <row r="316" spans="1:8" ht="12.75">
      <c r="A316" s="532"/>
      <c r="B316" s="532"/>
      <c r="C316" s="532"/>
      <c r="D316" s="532"/>
      <c r="E316" s="532"/>
      <c r="F316" s="532"/>
      <c r="G316" s="532"/>
      <c r="H316" s="532"/>
    </row>
    <row r="317" spans="1:8" ht="12.75">
      <c r="A317" s="532"/>
      <c r="B317" s="532"/>
      <c r="C317" s="532"/>
      <c r="D317" s="532"/>
      <c r="E317" s="532"/>
      <c r="F317" s="532"/>
      <c r="G317" s="532"/>
      <c r="H317" s="532"/>
    </row>
    <row r="318" spans="1:8" ht="12.75">
      <c r="A318" s="532"/>
      <c r="B318" s="532"/>
      <c r="C318" s="532"/>
      <c r="D318" s="532"/>
      <c r="E318" s="532"/>
      <c r="F318" s="532"/>
      <c r="G318" s="532"/>
      <c r="H318" s="532"/>
    </row>
    <row r="319" spans="1:8" ht="12.75">
      <c r="A319" s="532"/>
      <c r="B319" s="532"/>
      <c r="C319" s="532"/>
      <c r="D319" s="532"/>
      <c r="E319" s="532"/>
      <c r="F319" s="532"/>
      <c r="G319" s="532"/>
      <c r="H319" s="532"/>
    </row>
    <row r="320" spans="1:8" ht="12.75">
      <c r="A320" s="532"/>
      <c r="B320" s="532"/>
      <c r="C320" s="532"/>
      <c r="D320" s="532"/>
      <c r="E320" s="532"/>
      <c r="F320" s="532"/>
      <c r="G320" s="532"/>
      <c r="H320" s="532"/>
    </row>
    <row r="321" spans="1:8" ht="12.75">
      <c r="A321" s="532"/>
      <c r="B321" s="532"/>
      <c r="C321" s="532"/>
      <c r="D321" s="532"/>
      <c r="E321" s="532"/>
      <c r="F321" s="532"/>
      <c r="G321" s="532"/>
      <c r="H321" s="532"/>
    </row>
    <row r="322" spans="1:8" ht="12.75">
      <c r="A322" s="532"/>
      <c r="B322" s="532"/>
      <c r="C322" s="532"/>
      <c r="D322" s="532"/>
      <c r="E322" s="532"/>
      <c r="F322" s="532"/>
      <c r="G322" s="532"/>
      <c r="H322" s="532"/>
    </row>
    <row r="323" spans="1:8" ht="12.75">
      <c r="A323" s="532"/>
      <c r="B323" s="532"/>
      <c r="C323" s="532"/>
      <c r="D323" s="532"/>
      <c r="E323" s="532"/>
      <c r="F323" s="532"/>
      <c r="G323" s="532"/>
      <c r="H323" s="532"/>
    </row>
    <row r="324" spans="1:8" ht="12.75">
      <c r="A324" s="532"/>
      <c r="B324" s="532"/>
      <c r="C324" s="532"/>
      <c r="D324" s="532"/>
      <c r="E324" s="532"/>
      <c r="F324" s="532"/>
      <c r="G324" s="532"/>
      <c r="H324" s="532"/>
    </row>
    <row r="325" spans="1:8" ht="12.75">
      <c r="A325" s="532"/>
      <c r="B325" s="532"/>
      <c r="C325" s="532"/>
      <c r="D325" s="532"/>
      <c r="E325" s="532"/>
      <c r="F325" s="532"/>
      <c r="G325" s="532"/>
      <c r="H325" s="532"/>
    </row>
    <row r="326" spans="1:8" ht="12.75">
      <c r="A326" s="532"/>
      <c r="B326" s="532"/>
      <c r="C326" s="532"/>
      <c r="D326" s="532"/>
      <c r="E326" s="532"/>
      <c r="F326" s="532"/>
      <c r="G326" s="532"/>
      <c r="H326" s="532"/>
    </row>
    <row r="327" spans="1:8" ht="12.75">
      <c r="A327" s="532"/>
      <c r="B327" s="532"/>
      <c r="C327" s="532"/>
      <c r="D327" s="532"/>
      <c r="E327" s="532"/>
      <c r="F327" s="532"/>
      <c r="G327" s="532"/>
      <c r="H327" s="532"/>
    </row>
    <row r="328" spans="1:8" ht="12.75">
      <c r="A328" s="532"/>
      <c r="B328" s="532"/>
      <c r="C328" s="532"/>
      <c r="D328" s="532"/>
      <c r="E328" s="532"/>
      <c r="F328" s="532"/>
      <c r="G328" s="532"/>
      <c r="H328" s="532"/>
    </row>
    <row r="329" spans="1:8" ht="12.75">
      <c r="A329" s="532"/>
      <c r="B329" s="532"/>
      <c r="C329" s="532"/>
      <c r="D329" s="532"/>
      <c r="E329" s="532"/>
      <c r="F329" s="532"/>
      <c r="G329" s="532"/>
      <c r="H329" s="532"/>
    </row>
    <row r="330" spans="1:8" ht="12.75">
      <c r="A330" s="532"/>
      <c r="B330" s="532"/>
      <c r="C330" s="532"/>
      <c r="D330" s="532"/>
      <c r="E330" s="532"/>
      <c r="F330" s="532"/>
      <c r="G330" s="532"/>
      <c r="H330" s="532"/>
    </row>
    <row r="331" spans="1:8" ht="12.75">
      <c r="A331" s="532"/>
      <c r="B331" s="532"/>
      <c r="C331" s="532"/>
      <c r="D331" s="532"/>
      <c r="E331" s="532"/>
      <c r="F331" s="532"/>
      <c r="G331" s="532"/>
      <c r="H331" s="532"/>
    </row>
    <row r="332" spans="1:8" ht="12.75">
      <c r="A332" s="532"/>
      <c r="B332" s="532"/>
      <c r="C332" s="532"/>
      <c r="D332" s="532"/>
      <c r="E332" s="532"/>
      <c r="F332" s="532"/>
      <c r="G332" s="532"/>
      <c r="H332" s="532"/>
    </row>
    <row r="333" spans="1:8" ht="12.75">
      <c r="A333" s="532"/>
      <c r="B333" s="532"/>
      <c r="C333" s="532"/>
      <c r="D333" s="532"/>
      <c r="E333" s="532"/>
      <c r="F333" s="532"/>
      <c r="G333" s="532"/>
      <c r="H333" s="532"/>
    </row>
    <row r="334" spans="1:8" ht="12.75">
      <c r="A334" s="532"/>
      <c r="B334" s="532"/>
      <c r="C334" s="532"/>
      <c r="D334" s="532"/>
      <c r="E334" s="532"/>
      <c r="F334" s="532"/>
      <c r="G334" s="532"/>
      <c r="H334" s="532"/>
    </row>
    <row r="335" spans="1:8" ht="12.75">
      <c r="A335" s="532"/>
      <c r="B335" s="532"/>
      <c r="C335" s="532"/>
      <c r="D335" s="532"/>
      <c r="E335" s="532"/>
      <c r="F335" s="532"/>
      <c r="G335" s="532"/>
      <c r="H335" s="532"/>
    </row>
    <row r="336" spans="1:8" ht="12.75">
      <c r="A336" s="532"/>
      <c r="B336" s="532"/>
      <c r="C336" s="532"/>
      <c r="D336" s="532"/>
      <c r="E336" s="532"/>
      <c r="F336" s="532"/>
      <c r="G336" s="532"/>
      <c r="H336" s="532"/>
    </row>
    <row r="337" spans="1:8" ht="12.75">
      <c r="A337" s="532"/>
      <c r="B337" s="532"/>
      <c r="C337" s="532"/>
      <c r="D337" s="532"/>
      <c r="E337" s="532"/>
      <c r="F337" s="532"/>
      <c r="G337" s="532"/>
      <c r="H337" s="532"/>
    </row>
    <row r="338" spans="1:8" ht="12.75">
      <c r="A338" s="532"/>
      <c r="B338" s="532"/>
      <c r="C338" s="532"/>
      <c r="D338" s="532"/>
      <c r="E338" s="532"/>
      <c r="F338" s="532"/>
      <c r="G338" s="532"/>
      <c r="H338" s="532"/>
    </row>
    <row r="339" spans="1:8" ht="12.75">
      <c r="A339" s="532"/>
      <c r="B339" s="532"/>
      <c r="C339" s="532"/>
      <c r="D339" s="532"/>
      <c r="E339" s="532"/>
      <c r="F339" s="532"/>
      <c r="G339" s="532"/>
      <c r="H339" s="532"/>
    </row>
    <row r="340" spans="1:8" ht="12.75">
      <c r="A340" s="532"/>
      <c r="B340" s="532"/>
      <c r="C340" s="532"/>
      <c r="D340" s="532"/>
      <c r="E340" s="532"/>
      <c r="F340" s="532"/>
      <c r="G340" s="532"/>
      <c r="H340" s="532"/>
    </row>
    <row r="341" spans="1:8" ht="12.75">
      <c r="A341" s="532"/>
      <c r="B341" s="532"/>
      <c r="C341" s="532"/>
      <c r="D341" s="532"/>
      <c r="E341" s="532"/>
      <c r="F341" s="532"/>
      <c r="G341" s="532"/>
      <c r="H341" s="532"/>
    </row>
    <row r="342" spans="1:8" ht="12.75">
      <c r="A342" s="532"/>
      <c r="B342" s="532"/>
      <c r="C342" s="532"/>
      <c r="D342" s="532"/>
      <c r="E342" s="532"/>
      <c r="F342" s="532"/>
      <c r="G342" s="532"/>
      <c r="H342" s="532"/>
    </row>
    <row r="343" spans="1:8" ht="12.75">
      <c r="A343" s="532"/>
      <c r="B343" s="532"/>
      <c r="C343" s="532"/>
      <c r="D343" s="532"/>
      <c r="E343" s="532"/>
      <c r="F343" s="532"/>
      <c r="G343" s="532"/>
      <c r="H343" s="532"/>
    </row>
    <row r="344" spans="1:8" ht="12.75">
      <c r="A344" s="532"/>
      <c r="B344" s="532"/>
      <c r="C344" s="532"/>
      <c r="D344" s="532"/>
      <c r="E344" s="532"/>
      <c r="F344" s="532"/>
      <c r="G344" s="532"/>
      <c r="H344" s="532"/>
    </row>
    <row r="345" spans="1:8" ht="12.75">
      <c r="A345" s="532"/>
      <c r="B345" s="532"/>
      <c r="C345" s="532"/>
      <c r="D345" s="532"/>
      <c r="E345" s="532"/>
      <c r="F345" s="532"/>
      <c r="G345" s="532"/>
      <c r="H345" s="532"/>
    </row>
    <row r="346" spans="1:8" ht="12.75">
      <c r="A346" s="532"/>
      <c r="B346" s="532"/>
      <c r="C346" s="532"/>
      <c r="D346" s="532"/>
      <c r="E346" s="532"/>
      <c r="F346" s="532"/>
      <c r="G346" s="532"/>
      <c r="H346" s="532"/>
    </row>
    <row r="347" spans="1:8" ht="12.75">
      <c r="A347" s="532"/>
      <c r="B347" s="532"/>
      <c r="C347" s="532"/>
      <c r="D347" s="532"/>
      <c r="E347" s="532"/>
      <c r="F347" s="532"/>
      <c r="G347" s="532"/>
      <c r="H347" s="532"/>
    </row>
    <row r="348" spans="1:8" ht="12.75">
      <c r="A348" s="532"/>
      <c r="B348" s="532"/>
      <c r="C348" s="532"/>
      <c r="D348" s="532"/>
      <c r="E348" s="532"/>
      <c r="F348" s="532"/>
      <c r="G348" s="532"/>
      <c r="H348" s="532"/>
    </row>
    <row r="349" spans="1:8" ht="12.75">
      <c r="A349" s="532"/>
      <c r="B349" s="532"/>
      <c r="C349" s="532"/>
      <c r="D349" s="532"/>
      <c r="E349" s="532"/>
      <c r="F349" s="532"/>
      <c r="G349" s="532"/>
      <c r="H349" s="532"/>
    </row>
    <row r="350" spans="1:8" ht="12.75">
      <c r="A350" s="532"/>
      <c r="B350" s="532"/>
      <c r="C350" s="532"/>
      <c r="D350" s="532"/>
      <c r="E350" s="532"/>
      <c r="F350" s="532"/>
      <c r="G350" s="532"/>
      <c r="H350" s="532"/>
    </row>
    <row r="351" spans="1:8" ht="12.75">
      <c r="A351" s="532"/>
      <c r="B351" s="532"/>
      <c r="C351" s="532"/>
      <c r="D351" s="532"/>
      <c r="E351" s="532"/>
      <c r="F351" s="532"/>
      <c r="G351" s="532"/>
      <c r="H351" s="532"/>
    </row>
    <row r="352" spans="1:8" ht="12.75">
      <c r="A352" s="532"/>
      <c r="B352" s="532"/>
      <c r="C352" s="532"/>
      <c r="D352" s="532"/>
      <c r="E352" s="532"/>
      <c r="F352" s="532"/>
      <c r="G352" s="532"/>
      <c r="H352" s="532"/>
    </row>
    <row r="353" spans="1:8" ht="12.75">
      <c r="A353" s="532"/>
      <c r="B353" s="532"/>
      <c r="C353" s="532"/>
      <c r="D353" s="532"/>
      <c r="E353" s="532"/>
      <c r="F353" s="532"/>
      <c r="G353" s="532"/>
      <c r="H353" s="532"/>
    </row>
    <row r="354" spans="1:8" ht="12.75">
      <c r="A354" s="532"/>
      <c r="B354" s="532"/>
      <c r="C354" s="532"/>
      <c r="D354" s="532"/>
      <c r="E354" s="532"/>
      <c r="F354" s="532"/>
      <c r="G354" s="532"/>
      <c r="H354" s="532"/>
    </row>
    <row r="355" spans="1:8" ht="12.75">
      <c r="A355" s="532"/>
      <c r="B355" s="532"/>
      <c r="C355" s="532"/>
      <c r="D355" s="532"/>
      <c r="E355" s="532"/>
      <c r="F355" s="532"/>
      <c r="G355" s="532"/>
      <c r="H355" s="532"/>
    </row>
    <row r="356" spans="1:8" ht="12.75">
      <c r="A356" s="532"/>
      <c r="B356" s="532"/>
      <c r="C356" s="532"/>
      <c r="D356" s="532"/>
      <c r="E356" s="532"/>
      <c r="F356" s="532"/>
      <c r="G356" s="532"/>
      <c r="H356" s="532"/>
    </row>
    <row r="357" spans="1:8" ht="12.75">
      <c r="A357" s="532"/>
      <c r="B357" s="532"/>
      <c r="C357" s="532"/>
      <c r="D357" s="532"/>
      <c r="E357" s="532"/>
      <c r="F357" s="532"/>
      <c r="G357" s="532"/>
      <c r="H357" s="532"/>
    </row>
    <row r="358" spans="1:8" ht="12.75">
      <c r="A358" s="532"/>
      <c r="B358" s="532"/>
      <c r="C358" s="532"/>
      <c r="D358" s="532"/>
      <c r="E358" s="532"/>
      <c r="F358" s="532"/>
      <c r="G358" s="532"/>
      <c r="H358" s="532"/>
    </row>
    <row r="359" spans="1:8" ht="12.75">
      <c r="A359" s="532"/>
      <c r="B359" s="532"/>
      <c r="C359" s="532"/>
      <c r="D359" s="532"/>
      <c r="E359" s="532"/>
      <c r="F359" s="532"/>
      <c r="G359" s="532"/>
      <c r="H359" s="532"/>
    </row>
    <row r="360" spans="1:8" ht="12.75">
      <c r="A360" s="532"/>
      <c r="B360" s="532"/>
      <c r="C360" s="532"/>
      <c r="D360" s="532"/>
      <c r="E360" s="532"/>
      <c r="F360" s="532"/>
      <c r="G360" s="532"/>
      <c r="H360" s="532"/>
    </row>
    <row r="361" spans="1:8" ht="12.75">
      <c r="A361" s="532"/>
      <c r="B361" s="532"/>
      <c r="C361" s="532"/>
      <c r="D361" s="532"/>
      <c r="E361" s="532"/>
      <c r="F361" s="532"/>
      <c r="G361" s="532"/>
      <c r="H361" s="532"/>
    </row>
    <row r="362" spans="1:8" ht="12.75">
      <c r="A362" s="532"/>
      <c r="B362" s="532"/>
      <c r="C362" s="532"/>
      <c r="D362" s="532"/>
      <c r="E362" s="532"/>
      <c r="F362" s="532"/>
      <c r="G362" s="532"/>
      <c r="H362" s="532"/>
    </row>
    <row r="363" spans="1:8" ht="12.75">
      <c r="A363" s="532"/>
      <c r="B363" s="532"/>
      <c r="C363" s="532"/>
      <c r="D363" s="532"/>
      <c r="E363" s="532"/>
      <c r="F363" s="532"/>
      <c r="G363" s="532"/>
      <c r="H363" s="532"/>
    </row>
    <row r="364" spans="1:8" ht="12.75">
      <c r="A364" s="532"/>
      <c r="B364" s="532"/>
      <c r="C364" s="532"/>
      <c r="D364" s="532"/>
      <c r="E364" s="532"/>
      <c r="F364" s="532"/>
      <c r="G364" s="532"/>
      <c r="H364" s="532"/>
    </row>
    <row r="365" spans="1:8" ht="12.75">
      <c r="A365" s="532"/>
      <c r="B365" s="532"/>
      <c r="C365" s="532"/>
      <c r="D365" s="532"/>
      <c r="E365" s="532"/>
      <c r="F365" s="532"/>
      <c r="G365" s="532"/>
      <c r="H365" s="532"/>
    </row>
    <row r="366" spans="1:8" ht="12.75">
      <c r="A366" s="532"/>
      <c r="B366" s="532"/>
      <c r="C366" s="532"/>
      <c r="D366" s="532"/>
      <c r="E366" s="532"/>
      <c r="F366" s="532"/>
      <c r="G366" s="532"/>
      <c r="H366" s="532"/>
    </row>
    <row r="367" spans="1:8" ht="12.75">
      <c r="A367" s="532"/>
      <c r="B367" s="532"/>
      <c r="C367" s="532"/>
      <c r="D367" s="532"/>
      <c r="E367" s="532"/>
      <c r="F367" s="532"/>
      <c r="G367" s="532"/>
      <c r="H367" s="532"/>
    </row>
    <row r="368" spans="1:8" ht="12.75">
      <c r="A368" s="532"/>
      <c r="B368" s="532"/>
      <c r="C368" s="532"/>
      <c r="D368" s="532"/>
      <c r="E368" s="532"/>
      <c r="F368" s="532"/>
      <c r="G368" s="532"/>
      <c r="H368" s="532"/>
    </row>
    <row r="369" spans="1:8" ht="12.75">
      <c r="A369" s="532"/>
      <c r="B369" s="532"/>
      <c r="C369" s="532"/>
      <c r="D369" s="532"/>
      <c r="E369" s="532"/>
      <c r="F369" s="532"/>
      <c r="G369" s="532"/>
      <c r="H369" s="532"/>
    </row>
    <row r="370" spans="1:8" ht="12.75">
      <c r="A370" s="532"/>
      <c r="B370" s="532"/>
      <c r="C370" s="532"/>
      <c r="D370" s="532"/>
      <c r="E370" s="532"/>
      <c r="F370" s="532"/>
      <c r="G370" s="532"/>
      <c r="H370" s="532"/>
    </row>
    <row r="371" spans="1:8" ht="12.75">
      <c r="A371" s="532"/>
      <c r="B371" s="532"/>
      <c r="C371" s="532"/>
      <c r="D371" s="532"/>
      <c r="E371" s="532"/>
      <c r="F371" s="532"/>
      <c r="G371" s="532"/>
      <c r="H371" s="532"/>
    </row>
    <row r="372" spans="1:8" ht="12.75">
      <c r="A372" s="532"/>
      <c r="B372" s="532"/>
      <c r="C372" s="532"/>
      <c r="D372" s="532"/>
      <c r="E372" s="532"/>
      <c r="F372" s="532"/>
      <c r="G372" s="532"/>
      <c r="H372" s="532"/>
    </row>
    <row r="373" spans="1:8" ht="12.75">
      <c r="A373" s="532"/>
      <c r="B373" s="532"/>
      <c r="C373" s="532"/>
      <c r="D373" s="532"/>
      <c r="E373" s="532"/>
      <c r="F373" s="532"/>
      <c r="G373" s="532"/>
      <c r="H373" s="532"/>
    </row>
    <row r="374" spans="1:8" ht="12.75">
      <c r="A374" s="532"/>
      <c r="B374" s="532"/>
      <c r="C374" s="532"/>
      <c r="D374" s="532"/>
      <c r="E374" s="532"/>
      <c r="F374" s="532"/>
      <c r="G374" s="532"/>
      <c r="H374" s="532"/>
    </row>
    <row r="375" spans="1:8" ht="12.75">
      <c r="A375" s="532"/>
      <c r="B375" s="532"/>
      <c r="C375" s="532"/>
      <c r="D375" s="532"/>
      <c r="E375" s="532"/>
      <c r="F375" s="532"/>
      <c r="G375" s="532"/>
      <c r="H375" s="532"/>
    </row>
    <row r="376" spans="1:8" ht="12.75">
      <c r="A376" s="532"/>
      <c r="B376" s="532"/>
      <c r="C376" s="532"/>
      <c r="D376" s="532"/>
      <c r="E376" s="532"/>
      <c r="F376" s="532"/>
      <c r="G376" s="532"/>
      <c r="H376" s="532"/>
    </row>
    <row r="377" spans="1:8" ht="12.75">
      <c r="A377" s="532"/>
      <c r="B377" s="532"/>
      <c r="C377" s="532"/>
      <c r="D377" s="532"/>
      <c r="E377" s="532"/>
      <c r="F377" s="532"/>
      <c r="G377" s="532"/>
      <c r="H377" s="532"/>
    </row>
    <row r="378" spans="1:8" ht="12.75">
      <c r="A378" s="532"/>
      <c r="B378" s="532"/>
      <c r="C378" s="532"/>
      <c r="D378" s="532"/>
      <c r="E378" s="532"/>
      <c r="F378" s="532"/>
      <c r="G378" s="532"/>
      <c r="H378" s="532"/>
    </row>
    <row r="379" spans="1:8" ht="12.75">
      <c r="A379" s="532"/>
      <c r="B379" s="532"/>
      <c r="C379" s="532"/>
      <c r="D379" s="532"/>
      <c r="E379" s="532"/>
      <c r="F379" s="532"/>
      <c r="G379" s="532"/>
      <c r="H379" s="532"/>
    </row>
    <row r="380" spans="1:8" ht="12.75">
      <c r="A380" s="532"/>
      <c r="B380" s="532"/>
      <c r="C380" s="532"/>
      <c r="D380" s="532"/>
      <c r="E380" s="532"/>
      <c r="F380" s="532"/>
      <c r="G380" s="532"/>
      <c r="H380" s="532"/>
    </row>
    <row r="381" spans="1:8" ht="12.75">
      <c r="A381" s="532"/>
      <c r="B381" s="532"/>
      <c r="C381" s="532"/>
      <c r="D381" s="532"/>
      <c r="E381" s="532"/>
      <c r="F381" s="532"/>
      <c r="G381" s="532"/>
      <c r="H381" s="532"/>
    </row>
    <row r="382" spans="1:8" ht="12.75">
      <c r="A382" s="532"/>
      <c r="B382" s="532"/>
      <c r="C382" s="532"/>
      <c r="D382" s="532"/>
      <c r="E382" s="532"/>
      <c r="F382" s="532"/>
      <c r="G382" s="532"/>
      <c r="H382" s="532"/>
    </row>
    <row r="383" spans="1:8" ht="12.75">
      <c r="A383" s="532"/>
      <c r="B383" s="532"/>
      <c r="C383" s="532"/>
      <c r="D383" s="532"/>
      <c r="E383" s="532"/>
      <c r="F383" s="532"/>
      <c r="G383" s="532"/>
      <c r="H383" s="532"/>
    </row>
    <row r="384" spans="1:8" ht="12.75">
      <c r="A384" s="532"/>
      <c r="B384" s="532"/>
      <c r="C384" s="532"/>
      <c r="D384" s="532"/>
      <c r="E384" s="532"/>
      <c r="F384" s="532"/>
      <c r="G384" s="532"/>
      <c r="H384" s="532"/>
    </row>
    <row r="385" spans="1:8" ht="12.75">
      <c r="A385" s="532"/>
      <c r="B385" s="532"/>
      <c r="C385" s="532"/>
      <c r="D385" s="532"/>
      <c r="E385" s="532"/>
      <c r="F385" s="532"/>
      <c r="G385" s="532"/>
      <c r="H385" s="532"/>
    </row>
    <row r="386" spans="1:8" ht="12.75">
      <c r="A386" s="532"/>
      <c r="B386" s="532"/>
      <c r="C386" s="532"/>
      <c r="D386" s="532"/>
      <c r="E386" s="532"/>
      <c r="F386" s="532"/>
      <c r="G386" s="532"/>
      <c r="H386" s="532"/>
    </row>
    <row r="387" spans="1:8" ht="12.75">
      <c r="A387" s="532"/>
      <c r="B387" s="532"/>
      <c r="C387" s="532"/>
      <c r="D387" s="532"/>
      <c r="E387" s="532"/>
      <c r="F387" s="532"/>
      <c r="G387" s="532"/>
      <c r="H387" s="532"/>
    </row>
    <row r="388" spans="1:8" ht="12.75">
      <c r="A388" s="532"/>
      <c r="B388" s="532"/>
      <c r="C388" s="532"/>
      <c r="D388" s="532"/>
      <c r="E388" s="532"/>
      <c r="F388" s="532"/>
      <c r="G388" s="532"/>
      <c r="H388" s="532"/>
    </row>
    <row r="389" spans="1:8" ht="12.75">
      <c r="A389" s="532"/>
      <c r="B389" s="532"/>
      <c r="C389" s="532"/>
      <c r="D389" s="532"/>
      <c r="E389" s="532"/>
      <c r="F389" s="532"/>
      <c r="G389" s="532"/>
      <c r="H389" s="532"/>
    </row>
    <row r="390" spans="1:8" ht="12.75">
      <c r="A390" s="532"/>
      <c r="B390" s="532"/>
      <c r="C390" s="532"/>
      <c r="D390" s="532"/>
      <c r="E390" s="532"/>
      <c r="F390" s="532"/>
      <c r="G390" s="532"/>
      <c r="H390" s="532"/>
    </row>
    <row r="391" spans="1:8" ht="12.75">
      <c r="A391" s="532"/>
      <c r="B391" s="532"/>
      <c r="C391" s="532"/>
      <c r="D391" s="532"/>
      <c r="E391" s="532"/>
      <c r="F391" s="532"/>
      <c r="G391" s="532"/>
      <c r="H391" s="532"/>
    </row>
    <row r="392" spans="1:8" ht="12.75">
      <c r="A392" s="532"/>
      <c r="B392" s="532"/>
      <c r="C392" s="532"/>
      <c r="D392" s="532"/>
      <c r="E392" s="532"/>
      <c r="F392" s="532"/>
      <c r="G392" s="532"/>
      <c r="H392" s="532"/>
    </row>
    <row r="393" spans="1:8" ht="12.75">
      <c r="A393" s="532"/>
      <c r="B393" s="532"/>
      <c r="C393" s="532"/>
      <c r="D393" s="532"/>
      <c r="E393" s="532"/>
      <c r="F393" s="532"/>
      <c r="G393" s="532"/>
      <c r="H393" s="532"/>
    </row>
    <row r="394" spans="1:8" ht="12.75">
      <c r="A394" s="532"/>
      <c r="B394" s="532"/>
      <c r="C394" s="532"/>
      <c r="D394" s="532"/>
      <c r="E394" s="532"/>
      <c r="F394" s="532"/>
      <c r="G394" s="532"/>
      <c r="H394" s="532"/>
    </row>
    <row r="395" spans="1:8" ht="12.75">
      <c r="A395" s="532"/>
      <c r="B395" s="532"/>
      <c r="C395" s="532"/>
      <c r="D395" s="532"/>
      <c r="E395" s="532"/>
      <c r="F395" s="532"/>
      <c r="G395" s="532"/>
      <c r="H395" s="532"/>
    </row>
    <row r="396" spans="1:8" ht="12.75">
      <c r="A396" s="532"/>
      <c r="B396" s="532"/>
      <c r="C396" s="532"/>
      <c r="D396" s="532"/>
      <c r="E396" s="532"/>
      <c r="F396" s="532"/>
      <c r="G396" s="532"/>
      <c r="H396" s="532"/>
    </row>
    <row r="397" spans="1:8" ht="12.75">
      <c r="A397" s="532"/>
      <c r="B397" s="532"/>
      <c r="C397" s="532"/>
      <c r="D397" s="532"/>
      <c r="E397" s="532"/>
      <c r="F397" s="532"/>
      <c r="G397" s="532"/>
      <c r="H397" s="532"/>
    </row>
    <row r="398" spans="1:8" ht="12.75">
      <c r="A398" s="532"/>
      <c r="B398" s="532"/>
      <c r="C398" s="532"/>
      <c r="D398" s="532"/>
      <c r="E398" s="532"/>
      <c r="F398" s="532"/>
      <c r="G398" s="532"/>
      <c r="H398" s="532"/>
    </row>
    <row r="399" spans="1:8" ht="12.75">
      <c r="A399" s="532"/>
      <c r="B399" s="532"/>
      <c r="C399" s="532"/>
      <c r="D399" s="532"/>
      <c r="E399" s="532"/>
      <c r="F399" s="532"/>
      <c r="G399" s="532"/>
      <c r="H399" s="532"/>
    </row>
    <row r="400" spans="1:8" ht="12.75">
      <c r="A400" s="532"/>
      <c r="B400" s="532"/>
      <c r="C400" s="532"/>
      <c r="D400" s="532"/>
      <c r="E400" s="532"/>
      <c r="F400" s="532"/>
      <c r="G400" s="532"/>
      <c r="H400" s="532"/>
    </row>
    <row r="401" spans="1:8" ht="12.75">
      <c r="A401" s="532"/>
      <c r="B401" s="532"/>
      <c r="C401" s="532"/>
      <c r="D401" s="532"/>
      <c r="E401" s="532"/>
      <c r="F401" s="532"/>
      <c r="G401" s="532"/>
      <c r="H401" s="532"/>
    </row>
    <row r="402" spans="1:8" ht="12.75">
      <c r="A402" s="532"/>
      <c r="B402" s="532"/>
      <c r="C402" s="532"/>
      <c r="D402" s="532"/>
      <c r="E402" s="532"/>
      <c r="F402" s="532"/>
      <c r="G402" s="532"/>
      <c r="H402" s="532"/>
    </row>
    <row r="403" spans="1:8" ht="12.75">
      <c r="A403" s="532"/>
      <c r="B403" s="532"/>
      <c r="C403" s="532"/>
      <c r="D403" s="532"/>
      <c r="E403" s="532"/>
      <c r="F403" s="532"/>
      <c r="G403" s="532"/>
      <c r="H403" s="532"/>
    </row>
    <row r="404" spans="1:8" ht="12.75">
      <c r="A404" s="532"/>
      <c r="B404" s="532"/>
      <c r="C404" s="532"/>
      <c r="D404" s="532"/>
      <c r="E404" s="532"/>
      <c r="F404" s="532"/>
      <c r="G404" s="532"/>
      <c r="H404" s="532"/>
    </row>
    <row r="405" spans="1:8" ht="12.75">
      <c r="A405" s="532"/>
      <c r="B405" s="532"/>
      <c r="C405" s="532"/>
      <c r="D405" s="532"/>
      <c r="E405" s="532"/>
      <c r="F405" s="532"/>
      <c r="G405" s="532"/>
      <c r="H405" s="532"/>
    </row>
    <row r="406" spans="1:8" ht="12.75">
      <c r="A406" s="532"/>
      <c r="B406" s="532"/>
      <c r="C406" s="532"/>
      <c r="D406" s="532"/>
      <c r="E406" s="532"/>
      <c r="F406" s="532"/>
      <c r="G406" s="532"/>
      <c r="H406" s="532"/>
    </row>
    <row r="407" spans="1:8" ht="12.75">
      <c r="A407" s="532"/>
      <c r="B407" s="532"/>
      <c r="C407" s="532"/>
      <c r="D407" s="532"/>
      <c r="E407" s="532"/>
      <c r="F407" s="532"/>
      <c r="G407" s="532"/>
      <c r="H407" s="532"/>
    </row>
    <row r="408" spans="1:8" ht="12.75">
      <c r="A408" s="532"/>
      <c r="B408" s="532"/>
      <c r="C408" s="532"/>
      <c r="D408" s="532"/>
      <c r="E408" s="532"/>
      <c r="F408" s="532"/>
      <c r="G408" s="532"/>
      <c r="H408" s="532"/>
    </row>
    <row r="409" spans="1:8" ht="12.75">
      <c r="A409" s="532"/>
      <c r="B409" s="532"/>
      <c r="C409" s="532"/>
      <c r="D409" s="532"/>
      <c r="E409" s="532"/>
      <c r="F409" s="532"/>
      <c r="G409" s="532"/>
      <c r="H409" s="532"/>
    </row>
    <row r="410" spans="1:8" ht="12.75">
      <c r="A410" s="532"/>
      <c r="B410" s="532"/>
      <c r="C410" s="532"/>
      <c r="D410" s="532"/>
      <c r="E410" s="532"/>
      <c r="F410" s="532"/>
      <c r="G410" s="532"/>
      <c r="H410" s="532"/>
    </row>
    <row r="411" spans="1:8" ht="12.75">
      <c r="A411" s="532"/>
      <c r="B411" s="532"/>
      <c r="C411" s="532"/>
      <c r="D411" s="532"/>
      <c r="E411" s="532"/>
      <c r="F411" s="532"/>
      <c r="G411" s="532"/>
      <c r="H411" s="532"/>
    </row>
    <row r="412" spans="1:8" ht="12.75">
      <c r="A412" s="532"/>
      <c r="B412" s="532"/>
      <c r="C412" s="532"/>
      <c r="D412" s="532"/>
      <c r="E412" s="532"/>
      <c r="F412" s="532"/>
      <c r="G412" s="532"/>
      <c r="H412" s="532"/>
    </row>
    <row r="413" spans="1:8" ht="12.75">
      <c r="A413" s="532"/>
      <c r="B413" s="532"/>
      <c r="C413" s="532"/>
      <c r="D413" s="532"/>
      <c r="E413" s="532"/>
      <c r="F413" s="532"/>
      <c r="G413" s="532"/>
      <c r="H413" s="532"/>
    </row>
    <row r="414" spans="1:8" ht="12.75">
      <c r="A414" s="532"/>
      <c r="B414" s="532"/>
      <c r="C414" s="532"/>
      <c r="D414" s="532"/>
      <c r="E414" s="532"/>
      <c r="F414" s="532"/>
      <c r="G414" s="532"/>
      <c r="H414" s="532"/>
    </row>
    <row r="415" spans="1:8" ht="12.75">
      <c r="A415" s="532"/>
      <c r="B415" s="532"/>
      <c r="C415" s="532"/>
      <c r="D415" s="532"/>
      <c r="E415" s="532"/>
      <c r="F415" s="532"/>
      <c r="G415" s="532"/>
      <c r="H415" s="532"/>
    </row>
    <row r="416" spans="1:8" ht="12.75">
      <c r="A416" s="532"/>
      <c r="B416" s="532"/>
      <c r="C416" s="532"/>
      <c r="D416" s="532"/>
      <c r="E416" s="532"/>
      <c r="F416" s="532"/>
      <c r="G416" s="532"/>
      <c r="H416" s="532"/>
    </row>
    <row r="417" spans="1:8" ht="12.75">
      <c r="A417" s="532"/>
      <c r="B417" s="532"/>
      <c r="C417" s="532"/>
      <c r="D417" s="532"/>
      <c r="E417" s="532"/>
      <c r="F417" s="532"/>
      <c r="G417" s="532"/>
      <c r="H417" s="532"/>
    </row>
    <row r="418" spans="1:8" ht="12.75">
      <c r="A418" s="532"/>
      <c r="B418" s="532"/>
      <c r="C418" s="532"/>
      <c r="D418" s="532"/>
      <c r="E418" s="532"/>
      <c r="F418" s="532"/>
      <c r="G418" s="532"/>
      <c r="H418" s="532"/>
    </row>
    <row r="419" spans="1:8" ht="12.75">
      <c r="A419" s="532"/>
      <c r="B419" s="532"/>
      <c r="C419" s="532"/>
      <c r="D419" s="532"/>
      <c r="E419" s="532"/>
      <c r="F419" s="532"/>
      <c r="G419" s="532"/>
      <c r="H419" s="532"/>
    </row>
    <row r="420" spans="1:8" ht="12.75">
      <c r="A420" s="532"/>
      <c r="B420" s="532"/>
      <c r="C420" s="532"/>
      <c r="D420" s="532"/>
      <c r="E420" s="532"/>
      <c r="F420" s="532"/>
      <c r="G420" s="532"/>
      <c r="H420" s="532"/>
    </row>
    <row r="421" spans="1:8" ht="12.75">
      <c r="A421" s="532"/>
      <c r="B421" s="532"/>
      <c r="C421" s="532"/>
      <c r="D421" s="532"/>
      <c r="E421" s="532"/>
      <c r="F421" s="532"/>
      <c r="G421" s="532"/>
      <c r="H421" s="532"/>
    </row>
    <row r="422" spans="1:8" ht="12.75">
      <c r="A422" s="532"/>
      <c r="B422" s="532"/>
      <c r="C422" s="532"/>
      <c r="D422" s="532"/>
      <c r="E422" s="532"/>
      <c r="F422" s="532"/>
      <c r="G422" s="532"/>
      <c r="H422" s="532"/>
    </row>
    <row r="423" spans="1:8" ht="12.75">
      <c r="A423" s="532"/>
      <c r="B423" s="532"/>
      <c r="C423" s="532"/>
      <c r="D423" s="532"/>
      <c r="E423" s="532"/>
      <c r="F423" s="532"/>
      <c r="G423" s="532"/>
      <c r="H423" s="532"/>
    </row>
    <row r="424" spans="1:8" ht="12.75">
      <c r="A424" s="532"/>
      <c r="B424" s="532"/>
      <c r="C424" s="532"/>
      <c r="D424" s="532"/>
      <c r="E424" s="532"/>
      <c r="F424" s="532"/>
      <c r="G424" s="532"/>
      <c r="H424" s="532"/>
    </row>
    <row r="425" spans="1:8" ht="12.75">
      <c r="A425" s="532"/>
      <c r="B425" s="532"/>
      <c r="C425" s="532"/>
      <c r="D425" s="532"/>
      <c r="E425" s="532"/>
      <c r="F425" s="532"/>
      <c r="G425" s="532"/>
      <c r="H425" s="532"/>
    </row>
    <row r="426" spans="1:8" ht="12.75">
      <c r="A426" s="532"/>
      <c r="B426" s="532"/>
      <c r="C426" s="532"/>
      <c r="D426" s="532"/>
      <c r="E426" s="532"/>
      <c r="F426" s="532"/>
      <c r="G426" s="532"/>
      <c r="H426" s="532"/>
    </row>
    <row r="427" spans="1:8" ht="12.75">
      <c r="A427" s="532"/>
      <c r="B427" s="532"/>
      <c r="C427" s="532"/>
      <c r="D427" s="532"/>
      <c r="E427" s="532"/>
      <c r="F427" s="532"/>
      <c r="G427" s="532"/>
      <c r="H427" s="532"/>
    </row>
    <row r="428" spans="1:8" ht="12.75">
      <c r="A428" s="532"/>
      <c r="B428" s="532"/>
      <c r="C428" s="532"/>
      <c r="D428" s="532"/>
      <c r="E428" s="532"/>
      <c r="F428" s="532"/>
      <c r="G428" s="532"/>
      <c r="H428" s="532"/>
    </row>
    <row r="429" spans="1:8" ht="12.75">
      <c r="A429" s="532"/>
      <c r="B429" s="532"/>
      <c r="C429" s="532"/>
      <c r="D429" s="532"/>
      <c r="E429" s="532"/>
      <c r="F429" s="532"/>
      <c r="G429" s="532"/>
      <c r="H429" s="532"/>
    </row>
    <row r="430" spans="1:8" ht="12.75">
      <c r="A430" s="532"/>
      <c r="B430" s="532"/>
      <c r="C430" s="532"/>
      <c r="D430" s="532"/>
      <c r="E430" s="532"/>
      <c r="F430" s="532"/>
      <c r="G430" s="532"/>
      <c r="H430" s="532"/>
    </row>
    <row r="431" spans="1:8" ht="12.75">
      <c r="A431" s="532"/>
      <c r="B431" s="532"/>
      <c r="C431" s="532"/>
      <c r="D431" s="532"/>
      <c r="E431" s="532"/>
      <c r="F431" s="532"/>
      <c r="G431" s="532"/>
      <c r="H431" s="532"/>
    </row>
    <row r="432" spans="1:8" ht="12.75">
      <c r="A432" s="532"/>
      <c r="B432" s="532"/>
      <c r="C432" s="532"/>
      <c r="D432" s="532"/>
      <c r="E432" s="532"/>
      <c r="F432" s="532"/>
      <c r="G432" s="532"/>
      <c r="H432" s="532"/>
    </row>
    <row r="433" spans="1:8" ht="12.75">
      <c r="A433" s="532"/>
      <c r="B433" s="532"/>
      <c r="C433" s="532"/>
      <c r="D433" s="532"/>
      <c r="E433" s="532"/>
      <c r="F433" s="532"/>
      <c r="G433" s="532"/>
      <c r="H433" s="532"/>
    </row>
    <row r="434" spans="1:8" ht="12.75">
      <c r="A434" s="532"/>
      <c r="B434" s="532"/>
      <c r="C434" s="532"/>
      <c r="D434" s="532"/>
      <c r="E434" s="532"/>
      <c r="F434" s="532"/>
      <c r="G434" s="532"/>
      <c r="H434" s="532"/>
    </row>
    <row r="435" spans="1:8" ht="12.75">
      <c r="A435" s="532"/>
      <c r="B435" s="532"/>
      <c r="C435" s="532"/>
      <c r="D435" s="532"/>
      <c r="E435" s="532"/>
      <c r="F435" s="532"/>
      <c r="G435" s="532"/>
      <c r="H435" s="532"/>
    </row>
    <row r="436" spans="1:8" ht="12.75">
      <c r="A436" s="532"/>
      <c r="B436" s="532"/>
      <c r="C436" s="532"/>
      <c r="D436" s="532"/>
      <c r="E436" s="532"/>
      <c r="F436" s="532"/>
      <c r="G436" s="532"/>
      <c r="H436" s="532"/>
    </row>
    <row r="437" spans="1:8" ht="12.75">
      <c r="A437" s="532"/>
      <c r="B437" s="532"/>
      <c r="C437" s="532"/>
      <c r="D437" s="532"/>
      <c r="E437" s="532"/>
      <c r="F437" s="532"/>
      <c r="G437" s="532"/>
      <c r="H437" s="532"/>
    </row>
    <row r="438" spans="1:8" ht="12.75">
      <c r="A438" s="532"/>
      <c r="B438" s="532"/>
      <c r="C438" s="532"/>
      <c r="D438" s="532"/>
      <c r="E438" s="532"/>
      <c r="F438" s="532"/>
      <c r="G438" s="532"/>
      <c r="H438" s="532"/>
    </row>
    <row r="439" spans="1:8" ht="12.75">
      <c r="A439" s="532"/>
      <c r="B439" s="532"/>
      <c r="C439" s="532"/>
      <c r="D439" s="532"/>
      <c r="E439" s="532"/>
      <c r="F439" s="532"/>
      <c r="G439" s="532"/>
      <c r="H439" s="532"/>
    </row>
    <row r="440" spans="1:8" ht="12.75">
      <c r="A440" s="532"/>
      <c r="B440" s="532"/>
      <c r="C440" s="532"/>
      <c r="D440" s="532"/>
      <c r="E440" s="532"/>
      <c r="F440" s="532"/>
      <c r="G440" s="532"/>
      <c r="H440" s="532"/>
    </row>
    <row r="441" spans="1:8" ht="12.75">
      <c r="A441" s="532"/>
      <c r="B441" s="532"/>
      <c r="C441" s="532"/>
      <c r="D441" s="532"/>
      <c r="E441" s="532"/>
      <c r="F441" s="532"/>
      <c r="G441" s="532"/>
      <c r="H441" s="532"/>
    </row>
    <row r="442" spans="1:8" ht="12.75">
      <c r="A442" s="532"/>
      <c r="B442" s="532"/>
      <c r="C442" s="532"/>
      <c r="D442" s="532"/>
      <c r="E442" s="532"/>
      <c r="F442" s="532"/>
      <c r="G442" s="532"/>
      <c r="H442" s="532"/>
    </row>
    <row r="443" spans="1:8" ht="12.75">
      <c r="A443" s="532"/>
      <c r="B443" s="532"/>
      <c r="C443" s="532"/>
      <c r="D443" s="532"/>
      <c r="E443" s="532"/>
      <c r="F443" s="532"/>
      <c r="G443" s="532"/>
      <c r="H443" s="532"/>
    </row>
    <row r="444" spans="1:8" ht="12.75">
      <c r="A444" s="532"/>
      <c r="B444" s="532"/>
      <c r="C444" s="532"/>
      <c r="D444" s="532"/>
      <c r="E444" s="532"/>
      <c r="F444" s="532"/>
      <c r="G444" s="532"/>
      <c r="H444" s="532"/>
    </row>
    <row r="445" spans="1:8" ht="12.75">
      <c r="A445" s="532"/>
      <c r="B445" s="532"/>
      <c r="C445" s="532"/>
      <c r="D445" s="532"/>
      <c r="E445" s="532"/>
      <c r="F445" s="532"/>
      <c r="G445" s="532"/>
      <c r="H445" s="532"/>
    </row>
    <row r="446" spans="1:8" ht="12.75">
      <c r="A446" s="532"/>
      <c r="B446" s="532"/>
      <c r="C446" s="532"/>
      <c r="D446" s="532"/>
      <c r="E446" s="532"/>
      <c r="F446" s="532"/>
      <c r="G446" s="532"/>
      <c r="H446" s="532"/>
    </row>
    <row r="447" spans="1:8" ht="12.75">
      <c r="A447" s="532"/>
      <c r="B447" s="532"/>
      <c r="C447" s="532"/>
      <c r="D447" s="532"/>
      <c r="E447" s="532"/>
      <c r="F447" s="532"/>
      <c r="G447" s="532"/>
      <c r="H447" s="532"/>
    </row>
    <row r="448" spans="1:8" ht="12.75">
      <c r="A448" s="532"/>
      <c r="B448" s="532"/>
      <c r="C448" s="532"/>
      <c r="D448" s="532"/>
      <c r="E448" s="532"/>
      <c r="F448" s="532"/>
      <c r="G448" s="532"/>
      <c r="H448" s="532"/>
    </row>
    <row r="449" spans="1:8" ht="12.75">
      <c r="A449" s="532"/>
      <c r="B449" s="532"/>
      <c r="C449" s="532"/>
      <c r="D449" s="532"/>
      <c r="E449" s="532"/>
      <c r="F449" s="532"/>
      <c r="G449" s="532"/>
      <c r="H449" s="532"/>
    </row>
    <row r="450" spans="1:8" ht="12.75">
      <c r="A450" s="532"/>
      <c r="B450" s="532"/>
      <c r="C450" s="532"/>
      <c r="D450" s="532"/>
      <c r="E450" s="532"/>
      <c r="F450" s="532"/>
      <c r="G450" s="532"/>
      <c r="H450" s="532"/>
    </row>
    <row r="451" spans="1:8" ht="12.75">
      <c r="A451" s="532"/>
      <c r="B451" s="532"/>
      <c r="C451" s="532"/>
      <c r="D451" s="532"/>
      <c r="E451" s="532"/>
      <c r="F451" s="532"/>
      <c r="G451" s="532"/>
      <c r="H451" s="532"/>
    </row>
    <row r="452" spans="1:8" ht="12.75">
      <c r="A452" s="532"/>
      <c r="B452" s="532"/>
      <c r="C452" s="532"/>
      <c r="D452" s="532"/>
      <c r="E452" s="532"/>
      <c r="F452" s="532"/>
      <c r="G452" s="532"/>
      <c r="H452" s="532"/>
    </row>
    <row r="453" spans="1:8" ht="12.75">
      <c r="A453" s="532"/>
      <c r="B453" s="532"/>
      <c r="C453" s="532"/>
      <c r="D453" s="532"/>
      <c r="E453" s="532"/>
      <c r="F453" s="532"/>
      <c r="G453" s="532"/>
      <c r="H453" s="532"/>
    </row>
    <row r="454" spans="1:8" ht="12.75">
      <c r="A454" s="532"/>
      <c r="B454" s="532"/>
      <c r="C454" s="532"/>
      <c r="D454" s="532"/>
      <c r="E454" s="532"/>
      <c r="F454" s="532"/>
      <c r="G454" s="532"/>
      <c r="H454" s="532"/>
    </row>
    <row r="455" spans="1:8" ht="12.75">
      <c r="A455" s="532"/>
      <c r="B455" s="532"/>
      <c r="C455" s="532"/>
      <c r="D455" s="532"/>
      <c r="E455" s="532"/>
      <c r="F455" s="532"/>
      <c r="G455" s="532"/>
      <c r="H455" s="532"/>
    </row>
    <row r="456" spans="1:8" ht="12.75">
      <c r="A456" s="532"/>
      <c r="B456" s="532"/>
      <c r="C456" s="532"/>
      <c r="D456" s="532"/>
      <c r="E456" s="532"/>
      <c r="F456" s="532"/>
      <c r="G456" s="532"/>
      <c r="H456" s="532"/>
    </row>
    <row r="457" spans="1:8" ht="12.75">
      <c r="A457" s="532"/>
      <c r="B457" s="532"/>
      <c r="C457" s="532"/>
      <c r="D457" s="532"/>
      <c r="E457" s="532"/>
      <c r="F457" s="532"/>
      <c r="G457" s="532"/>
      <c r="H457" s="532"/>
    </row>
    <row r="458" spans="1:8" ht="12.75">
      <c r="A458" s="532"/>
      <c r="B458" s="532"/>
      <c r="C458" s="532"/>
      <c r="D458" s="532"/>
      <c r="E458" s="532"/>
      <c r="F458" s="532"/>
      <c r="G458" s="532"/>
      <c r="H458" s="532"/>
    </row>
    <row r="459" spans="1:8" ht="12.75">
      <c r="A459" s="532"/>
      <c r="B459" s="532"/>
      <c r="C459" s="532"/>
      <c r="D459" s="532"/>
      <c r="E459" s="532"/>
      <c r="F459" s="532"/>
      <c r="G459" s="532"/>
      <c r="H459" s="532"/>
    </row>
    <row r="460" spans="1:8" ht="12.75">
      <c r="A460" s="532"/>
      <c r="B460" s="532"/>
      <c r="C460" s="532"/>
      <c r="D460" s="532"/>
      <c r="E460" s="532"/>
      <c r="F460" s="532"/>
      <c r="G460" s="532"/>
      <c r="H460" s="532"/>
    </row>
    <row r="461" spans="1:8" ht="12.75">
      <c r="A461" s="532"/>
      <c r="B461" s="532"/>
      <c r="C461" s="532"/>
      <c r="D461" s="532"/>
      <c r="E461" s="532"/>
      <c r="F461" s="532"/>
      <c r="G461" s="532"/>
      <c r="H461" s="532"/>
    </row>
    <row r="462" spans="1:8" ht="12.75">
      <c r="A462" s="532"/>
      <c r="B462" s="532"/>
      <c r="C462" s="532"/>
      <c r="D462" s="532"/>
      <c r="E462" s="532"/>
      <c r="F462" s="532"/>
      <c r="G462" s="532"/>
      <c r="H462" s="532"/>
    </row>
    <row r="463" spans="1:8" ht="12.75">
      <c r="A463" s="532"/>
      <c r="B463" s="532"/>
      <c r="C463" s="532"/>
      <c r="D463" s="532"/>
      <c r="E463" s="532"/>
      <c r="F463" s="532"/>
      <c r="G463" s="532"/>
      <c r="H463" s="532"/>
    </row>
    <row r="464" spans="1:8" ht="12.75">
      <c r="A464" s="532"/>
      <c r="B464" s="532"/>
      <c r="C464" s="532"/>
      <c r="D464" s="532"/>
      <c r="E464" s="532"/>
      <c r="F464" s="532"/>
      <c r="G464" s="532"/>
      <c r="H464" s="532"/>
    </row>
    <row r="465" spans="1:8" ht="12.75">
      <c r="A465" s="532"/>
      <c r="B465" s="532"/>
      <c r="C465" s="532"/>
      <c r="D465" s="532"/>
      <c r="E465" s="532"/>
      <c r="F465" s="532"/>
      <c r="G465" s="532"/>
      <c r="H465" s="532"/>
    </row>
    <row r="466" spans="1:8" ht="12.75">
      <c r="A466" s="532"/>
      <c r="B466" s="532"/>
      <c r="C466" s="532"/>
      <c r="D466" s="532"/>
      <c r="E466" s="532"/>
      <c r="F466" s="532"/>
      <c r="G466" s="532"/>
      <c r="H466" s="532"/>
    </row>
    <row r="467" spans="1:8" ht="12.75">
      <c r="A467" s="532"/>
      <c r="B467" s="532"/>
      <c r="C467" s="532"/>
      <c r="D467" s="532"/>
      <c r="E467" s="532"/>
      <c r="F467" s="532"/>
      <c r="G467" s="532"/>
      <c r="H467" s="532"/>
    </row>
    <row r="468" spans="1:8" ht="12.75">
      <c r="A468" s="532"/>
      <c r="B468" s="532"/>
      <c r="C468" s="532"/>
      <c r="D468" s="532"/>
      <c r="E468" s="532"/>
      <c r="F468" s="532"/>
      <c r="G468" s="532"/>
      <c r="H468" s="532"/>
    </row>
    <row r="469" spans="1:8" ht="12.75">
      <c r="A469" s="532"/>
      <c r="B469" s="532"/>
      <c r="C469" s="532"/>
      <c r="D469" s="532"/>
      <c r="E469" s="532"/>
      <c r="F469" s="532"/>
      <c r="G469" s="532"/>
      <c r="H469" s="532"/>
    </row>
    <row r="470" spans="1:8" ht="12.75">
      <c r="A470" s="532"/>
      <c r="B470" s="532"/>
      <c r="C470" s="532"/>
      <c r="D470" s="532"/>
      <c r="E470" s="532"/>
      <c r="F470" s="532"/>
      <c r="G470" s="532"/>
      <c r="H470" s="532"/>
    </row>
    <row r="471" spans="1:8" ht="12.75">
      <c r="A471" s="532"/>
      <c r="B471" s="532"/>
      <c r="C471" s="532"/>
      <c r="D471" s="532"/>
      <c r="E471" s="532"/>
      <c r="F471" s="532"/>
      <c r="G471" s="532"/>
      <c r="H471" s="532"/>
    </row>
    <row r="472" spans="1:8" ht="12.75">
      <c r="A472" s="532"/>
      <c r="B472" s="532"/>
      <c r="C472" s="532"/>
      <c r="D472" s="532"/>
      <c r="E472" s="532"/>
      <c r="F472" s="532"/>
      <c r="G472" s="532"/>
      <c r="H472" s="532"/>
    </row>
    <row r="473" spans="1:8" ht="12.75">
      <c r="A473" s="532"/>
      <c r="B473" s="532"/>
      <c r="C473" s="532"/>
      <c r="D473" s="532"/>
      <c r="E473" s="532"/>
      <c r="F473" s="532"/>
      <c r="G473" s="532"/>
      <c r="H473" s="532"/>
    </row>
    <row r="474" spans="1:8" ht="12.75">
      <c r="A474" s="532"/>
      <c r="B474" s="532"/>
      <c r="C474" s="532"/>
      <c r="D474" s="532"/>
      <c r="E474" s="532"/>
      <c r="F474" s="532"/>
      <c r="G474" s="532"/>
      <c r="H474" s="532"/>
    </row>
    <row r="475" spans="1:8" ht="12.75">
      <c r="A475" s="532"/>
      <c r="B475" s="532"/>
      <c r="C475" s="532"/>
      <c r="D475" s="532"/>
      <c r="E475" s="532"/>
      <c r="F475" s="532"/>
      <c r="G475" s="532"/>
      <c r="H475" s="532"/>
    </row>
    <row r="476" spans="1:8" ht="12.75">
      <c r="A476" s="532"/>
      <c r="B476" s="532"/>
      <c r="C476" s="532"/>
      <c r="D476" s="532"/>
      <c r="E476" s="532"/>
      <c r="F476" s="532"/>
      <c r="G476" s="532"/>
      <c r="H476" s="532"/>
    </row>
    <row r="477" spans="1:8" ht="12.75">
      <c r="A477" s="532"/>
      <c r="B477" s="532"/>
      <c r="C477" s="532"/>
      <c r="D477" s="532"/>
      <c r="E477" s="532"/>
      <c r="F477" s="532"/>
      <c r="G477" s="532"/>
      <c r="H477" s="532"/>
    </row>
    <row r="478" spans="1:8" ht="12.75">
      <c r="A478" s="532"/>
      <c r="B478" s="532"/>
      <c r="C478" s="532"/>
      <c r="D478" s="532"/>
      <c r="E478" s="532"/>
      <c r="F478" s="532"/>
      <c r="G478" s="532"/>
      <c r="H478" s="532"/>
    </row>
    <row r="479" spans="1:8" ht="12.75">
      <c r="A479" s="532"/>
      <c r="B479" s="532"/>
      <c r="C479" s="532"/>
      <c r="D479" s="532"/>
      <c r="E479" s="532"/>
      <c r="F479" s="532"/>
      <c r="G479" s="532"/>
      <c r="H479" s="532"/>
    </row>
    <row r="480" spans="1:8" ht="12.75">
      <c r="A480" s="532"/>
      <c r="B480" s="532"/>
      <c r="C480" s="532"/>
      <c r="D480" s="532"/>
      <c r="E480" s="532"/>
      <c r="F480" s="532"/>
      <c r="G480" s="532"/>
      <c r="H480" s="532"/>
    </row>
    <row r="481" spans="1:8" ht="12.75">
      <c r="A481" s="532"/>
      <c r="B481" s="532"/>
      <c r="C481" s="532"/>
      <c r="D481" s="532"/>
      <c r="E481" s="532"/>
      <c r="F481" s="532"/>
      <c r="G481" s="532"/>
      <c r="H481" s="532"/>
    </row>
    <row r="482" spans="1:8" ht="12.75">
      <c r="A482" s="532"/>
      <c r="B482" s="532"/>
      <c r="C482" s="532"/>
      <c r="D482" s="532"/>
      <c r="E482" s="532"/>
      <c r="F482" s="532"/>
      <c r="G482" s="532"/>
      <c r="H482" s="532"/>
    </row>
    <row r="483" spans="1:8" ht="12.75">
      <c r="A483" s="532"/>
      <c r="B483" s="532"/>
      <c r="C483" s="532"/>
      <c r="D483" s="532"/>
      <c r="E483" s="532"/>
      <c r="F483" s="532"/>
      <c r="G483" s="532"/>
      <c r="H483" s="532"/>
    </row>
    <row r="484" spans="1:8" ht="12.75">
      <c r="A484" s="532"/>
      <c r="B484" s="532"/>
      <c r="C484" s="532"/>
      <c r="D484" s="532"/>
      <c r="E484" s="532"/>
      <c r="F484" s="532"/>
      <c r="G484" s="532"/>
      <c r="H484" s="532"/>
    </row>
    <row r="485" spans="1:8" ht="12.75">
      <c r="A485" s="532"/>
      <c r="B485" s="532"/>
      <c r="C485" s="532"/>
      <c r="D485" s="532"/>
      <c r="E485" s="532"/>
      <c r="F485" s="532"/>
      <c r="G485" s="532"/>
      <c r="H485" s="532"/>
    </row>
    <row r="486" spans="1:8" ht="12.75">
      <c r="A486" s="532"/>
      <c r="B486" s="532"/>
      <c r="C486" s="532"/>
      <c r="D486" s="532"/>
      <c r="E486" s="532"/>
      <c r="F486" s="532"/>
      <c r="G486" s="532"/>
      <c r="H486" s="532"/>
    </row>
    <row r="487" spans="1:8" ht="12.75">
      <c r="A487" s="532"/>
      <c r="B487" s="532"/>
      <c r="C487" s="532"/>
      <c r="D487" s="532"/>
      <c r="E487" s="532"/>
      <c r="F487" s="532"/>
      <c r="G487" s="532"/>
      <c r="H487" s="532"/>
    </row>
    <row r="488" spans="1:8" ht="12.75">
      <c r="A488" s="532"/>
      <c r="B488" s="532"/>
      <c r="C488" s="532"/>
      <c r="D488" s="532"/>
      <c r="E488" s="532"/>
      <c r="F488" s="532"/>
      <c r="G488" s="532"/>
      <c r="H488" s="532"/>
    </row>
    <row r="489" spans="1:8" ht="12.75">
      <c r="A489" s="532"/>
      <c r="B489" s="532"/>
      <c r="C489" s="532"/>
      <c r="D489" s="532"/>
      <c r="E489" s="532"/>
      <c r="F489" s="532"/>
      <c r="G489" s="532"/>
      <c r="H489" s="532"/>
    </row>
    <row r="490" spans="1:8" ht="12.75">
      <c r="A490" s="532"/>
      <c r="B490" s="532"/>
      <c r="C490" s="532"/>
      <c r="D490" s="532"/>
      <c r="E490" s="532"/>
      <c r="F490" s="532"/>
      <c r="G490" s="532"/>
      <c r="H490" s="532"/>
    </row>
    <row r="491" spans="1:8" ht="12.75">
      <c r="A491" s="532"/>
      <c r="B491" s="532"/>
      <c r="C491" s="532"/>
      <c r="D491" s="532"/>
      <c r="E491" s="532"/>
      <c r="F491" s="532"/>
      <c r="G491" s="532"/>
      <c r="H491" s="532"/>
    </row>
    <row r="492" spans="1:8" ht="12.75">
      <c r="A492" s="532"/>
      <c r="B492" s="532"/>
      <c r="C492" s="532"/>
      <c r="D492" s="532"/>
      <c r="E492" s="532"/>
      <c r="F492" s="532"/>
      <c r="G492" s="532"/>
      <c r="H492" s="532"/>
    </row>
    <row r="493" spans="1:8" ht="12.75">
      <c r="A493" s="532"/>
      <c r="B493" s="532"/>
      <c r="C493" s="532"/>
      <c r="D493" s="532"/>
      <c r="E493" s="532"/>
      <c r="F493" s="532"/>
      <c r="G493" s="532"/>
      <c r="H493" s="532"/>
    </row>
    <row r="494" spans="1:8" ht="12.75">
      <c r="A494" s="532"/>
      <c r="B494" s="532"/>
      <c r="C494" s="532"/>
      <c r="D494" s="532"/>
      <c r="E494" s="532"/>
      <c r="F494" s="532"/>
      <c r="G494" s="532"/>
      <c r="H494" s="532"/>
    </row>
    <row r="495" spans="1:8" ht="12.75">
      <c r="A495" s="532"/>
      <c r="B495" s="532"/>
      <c r="C495" s="532"/>
      <c r="D495" s="532"/>
      <c r="E495" s="532"/>
      <c r="F495" s="532"/>
      <c r="G495" s="532"/>
      <c r="H495" s="532"/>
    </row>
    <row r="496" spans="1:8" ht="12.75">
      <c r="A496" s="532"/>
      <c r="B496" s="532"/>
      <c r="C496" s="532"/>
      <c r="D496" s="532"/>
      <c r="E496" s="532"/>
      <c r="F496" s="532"/>
      <c r="G496" s="532"/>
      <c r="H496" s="532"/>
    </row>
    <row r="497" spans="1:8" ht="12.75">
      <c r="A497" s="532"/>
      <c r="B497" s="532"/>
      <c r="C497" s="532"/>
      <c r="D497" s="532"/>
      <c r="E497" s="532"/>
      <c r="F497" s="532"/>
      <c r="G497" s="532"/>
      <c r="H497" s="532"/>
    </row>
    <row r="498" spans="1:8" ht="12.75">
      <c r="A498" s="532"/>
      <c r="B498" s="532"/>
      <c r="C498" s="532"/>
      <c r="D498" s="532"/>
      <c r="E498" s="532"/>
      <c r="F498" s="532"/>
      <c r="G498" s="532"/>
      <c r="H498" s="532"/>
    </row>
    <row r="499" spans="1:8" ht="12.75">
      <c r="A499" s="532"/>
      <c r="B499" s="532"/>
      <c r="C499" s="532"/>
      <c r="D499" s="532"/>
      <c r="E499" s="532"/>
      <c r="F499" s="532"/>
      <c r="G499" s="532"/>
      <c r="H499" s="532"/>
    </row>
    <row r="500" spans="1:8" ht="12.75">
      <c r="A500" s="532"/>
      <c r="B500" s="532"/>
      <c r="C500" s="532"/>
      <c r="D500" s="532"/>
      <c r="E500" s="532"/>
      <c r="F500" s="532"/>
      <c r="G500" s="532"/>
      <c r="H500" s="532"/>
    </row>
    <row r="501" spans="1:8" ht="12.75">
      <c r="A501" s="532"/>
      <c r="B501" s="532"/>
      <c r="C501" s="532"/>
      <c r="D501" s="532"/>
      <c r="E501" s="532"/>
      <c r="F501" s="532"/>
      <c r="G501" s="532"/>
      <c r="H501" s="532"/>
    </row>
    <row r="502" spans="1:8" ht="12.75">
      <c r="A502" s="532"/>
      <c r="B502" s="532"/>
      <c r="C502" s="532"/>
      <c r="D502" s="532"/>
      <c r="E502" s="532"/>
      <c r="F502" s="532"/>
      <c r="G502" s="532"/>
      <c r="H502" s="532"/>
    </row>
    <row r="503" spans="1:8" ht="12.75">
      <c r="A503" s="532"/>
      <c r="B503" s="532"/>
      <c r="C503" s="532"/>
      <c r="D503" s="532"/>
      <c r="E503" s="532"/>
      <c r="F503" s="532"/>
      <c r="G503" s="532"/>
      <c r="H503" s="532"/>
    </row>
    <row r="504" spans="1:8" ht="12.75">
      <c r="A504" s="532"/>
      <c r="B504" s="532"/>
      <c r="C504" s="532"/>
      <c r="D504" s="532"/>
      <c r="E504" s="532"/>
      <c r="F504" s="532"/>
      <c r="G504" s="532"/>
      <c r="H504" s="532"/>
    </row>
    <row r="505" spans="1:8" ht="12.75">
      <c r="A505" s="532"/>
      <c r="B505" s="532"/>
      <c r="C505" s="532"/>
      <c r="D505" s="532"/>
      <c r="E505" s="532"/>
      <c r="F505" s="532"/>
      <c r="G505" s="532"/>
      <c r="H505" s="532"/>
    </row>
    <row r="506" spans="1:8" ht="12.75">
      <c r="A506" s="532"/>
      <c r="B506" s="532"/>
      <c r="C506" s="532"/>
      <c r="D506" s="532"/>
      <c r="E506" s="532"/>
      <c r="F506" s="532"/>
      <c r="G506" s="532"/>
      <c r="H506" s="532"/>
    </row>
    <row r="507" spans="1:8" ht="12.75">
      <c r="A507" s="532"/>
      <c r="B507" s="532"/>
      <c r="C507" s="532"/>
      <c r="D507" s="532"/>
      <c r="E507" s="532"/>
      <c r="F507" s="532"/>
      <c r="G507" s="532"/>
      <c r="H507" s="532"/>
    </row>
    <row r="508" spans="1:8" ht="12.75">
      <c r="A508" s="532"/>
      <c r="B508" s="532"/>
      <c r="C508" s="532"/>
      <c r="D508" s="532"/>
      <c r="E508" s="532"/>
      <c r="F508" s="532"/>
      <c r="G508" s="532"/>
      <c r="H508" s="532"/>
    </row>
    <row r="509" spans="1:8" ht="12.75">
      <c r="A509" s="532"/>
      <c r="B509" s="532"/>
      <c r="C509" s="532"/>
      <c r="D509" s="532"/>
      <c r="E509" s="532"/>
      <c r="F509" s="532"/>
      <c r="G509" s="532"/>
      <c r="H509" s="532"/>
    </row>
    <row r="510" spans="1:8" ht="12.75">
      <c r="A510" s="532"/>
      <c r="B510" s="532"/>
      <c r="C510" s="532"/>
      <c r="D510" s="532"/>
      <c r="E510" s="532"/>
      <c r="F510" s="532"/>
      <c r="G510" s="532"/>
      <c r="H510" s="532"/>
    </row>
    <row r="511" spans="1:8" ht="12.75">
      <c r="A511" s="532"/>
      <c r="B511" s="532"/>
      <c r="C511" s="532"/>
      <c r="D511" s="532"/>
      <c r="E511" s="532"/>
      <c r="F511" s="532"/>
      <c r="G511" s="532"/>
      <c r="H511" s="532"/>
    </row>
    <row r="512" spans="1:8" ht="12.75">
      <c r="A512" s="532"/>
      <c r="B512" s="532"/>
      <c r="C512" s="532"/>
      <c r="D512" s="532"/>
      <c r="E512" s="532"/>
      <c r="F512" s="532"/>
      <c r="G512" s="532"/>
      <c r="H512" s="532"/>
    </row>
    <row r="513" spans="1:8" ht="12.75">
      <c r="A513" s="532"/>
      <c r="B513" s="532"/>
      <c r="C513" s="532"/>
      <c r="D513" s="532"/>
      <c r="E513" s="532"/>
      <c r="F513" s="532"/>
      <c r="G513" s="532"/>
      <c r="H513" s="532"/>
    </row>
    <row r="514" spans="1:8" ht="12.75">
      <c r="A514" s="532"/>
      <c r="B514" s="532"/>
      <c r="C514" s="532"/>
      <c r="D514" s="532"/>
      <c r="E514" s="532"/>
      <c r="F514" s="532"/>
      <c r="G514" s="532"/>
      <c r="H514" s="532"/>
    </row>
    <row r="515" spans="1:8" ht="12.75">
      <c r="A515" s="532"/>
      <c r="B515" s="532"/>
      <c r="C515" s="532"/>
      <c r="D515" s="532"/>
      <c r="E515" s="532"/>
      <c r="F515" s="532"/>
      <c r="G515" s="532"/>
      <c r="H515" s="532"/>
    </row>
    <row r="516" spans="1:8" ht="12.75">
      <c r="A516" s="532"/>
      <c r="B516" s="532"/>
      <c r="C516" s="532"/>
      <c r="D516" s="532"/>
      <c r="E516" s="532"/>
      <c r="F516" s="532"/>
      <c r="G516" s="532"/>
      <c r="H516" s="532"/>
    </row>
    <row r="517" spans="1:8" ht="12.75">
      <c r="A517" s="532"/>
      <c r="B517" s="532"/>
      <c r="C517" s="532"/>
      <c r="D517" s="532"/>
      <c r="E517" s="532"/>
      <c r="F517" s="532"/>
      <c r="G517" s="532"/>
      <c r="H517" s="532"/>
    </row>
    <row r="518" spans="1:8" ht="12.75">
      <c r="A518" s="532"/>
      <c r="B518" s="532"/>
      <c r="C518" s="532"/>
      <c r="D518" s="532"/>
      <c r="E518" s="532"/>
      <c r="F518" s="532"/>
      <c r="G518" s="532"/>
      <c r="H518" s="532"/>
    </row>
    <row r="519" spans="1:8" ht="12.75">
      <c r="A519" s="532"/>
      <c r="B519" s="532"/>
      <c r="C519" s="532"/>
      <c r="D519" s="532"/>
      <c r="E519" s="532"/>
      <c r="F519" s="532"/>
      <c r="G519" s="532"/>
      <c r="H519" s="532"/>
    </row>
    <row r="520" spans="1:8" ht="12.75">
      <c r="A520" s="532"/>
      <c r="B520" s="532"/>
      <c r="C520" s="532"/>
      <c r="D520" s="532"/>
      <c r="E520" s="532"/>
      <c r="F520" s="532"/>
      <c r="G520" s="532"/>
      <c r="H520" s="532"/>
    </row>
    <row r="521" spans="1:8" ht="12.75">
      <c r="A521" s="532"/>
      <c r="B521" s="532"/>
      <c r="C521" s="532"/>
      <c r="D521" s="532"/>
      <c r="E521" s="532"/>
      <c r="F521" s="532"/>
      <c r="G521" s="532"/>
      <c r="H521" s="532"/>
    </row>
    <row r="522" spans="1:8" ht="12.75">
      <c r="A522" s="532"/>
      <c r="B522" s="532"/>
      <c r="C522" s="532"/>
      <c r="D522" s="532"/>
      <c r="E522" s="532"/>
      <c r="F522" s="532"/>
      <c r="G522" s="532"/>
      <c r="H522" s="532"/>
    </row>
    <row r="523" spans="1:8" ht="12.75">
      <c r="A523" s="532"/>
      <c r="B523" s="532"/>
      <c r="C523" s="532"/>
      <c r="D523" s="532"/>
      <c r="E523" s="532"/>
      <c r="F523" s="532"/>
      <c r="G523" s="532"/>
      <c r="H523" s="532"/>
    </row>
    <row r="524" spans="1:8" ht="12.75">
      <c r="A524" s="532"/>
      <c r="B524" s="532"/>
      <c r="C524" s="532"/>
      <c r="D524" s="532"/>
      <c r="E524" s="532"/>
      <c r="F524" s="532"/>
      <c r="G524" s="532"/>
      <c r="H524" s="532"/>
    </row>
    <row r="525" spans="1:8" ht="12.75">
      <c r="A525" s="532"/>
      <c r="B525" s="532"/>
      <c r="C525" s="532"/>
      <c r="D525" s="532"/>
      <c r="E525" s="532"/>
      <c r="F525" s="532"/>
      <c r="G525" s="532"/>
      <c r="H525" s="532"/>
    </row>
    <row r="526" spans="1:8" ht="12.75">
      <c r="A526" s="532"/>
      <c r="B526" s="532"/>
      <c r="C526" s="532"/>
      <c r="D526" s="532"/>
      <c r="E526" s="532"/>
      <c r="F526" s="532"/>
      <c r="G526" s="532"/>
      <c r="H526" s="532"/>
    </row>
    <row r="527" spans="1:8" ht="12.75">
      <c r="A527" s="532"/>
      <c r="B527" s="532"/>
      <c r="C527" s="532"/>
      <c r="D527" s="532"/>
      <c r="E527" s="532"/>
      <c r="F527" s="532"/>
      <c r="G527" s="532"/>
      <c r="H527" s="532"/>
    </row>
    <row r="528" spans="1:8" ht="12.75">
      <c r="A528" s="532"/>
      <c r="B528" s="532"/>
      <c r="C528" s="532"/>
      <c r="D528" s="532"/>
      <c r="E528" s="532"/>
      <c r="F528" s="532"/>
      <c r="G528" s="532"/>
      <c r="H528" s="532"/>
    </row>
    <row r="529" spans="1:8" ht="12.75">
      <c r="A529" s="532"/>
      <c r="B529" s="532"/>
      <c r="C529" s="532"/>
      <c r="D529" s="532"/>
      <c r="E529" s="532"/>
      <c r="F529" s="532"/>
      <c r="G529" s="532"/>
      <c r="H529" s="532"/>
    </row>
    <row r="530" spans="1:8" ht="12.75">
      <c r="A530" s="532"/>
      <c r="B530" s="532"/>
      <c r="C530" s="532"/>
      <c r="D530" s="532"/>
      <c r="E530" s="532"/>
      <c r="F530" s="532"/>
      <c r="G530" s="532"/>
      <c r="H530" s="532"/>
    </row>
    <row r="531" spans="1:8" ht="12.75">
      <c r="A531" s="532"/>
      <c r="B531" s="532"/>
      <c r="C531" s="532"/>
      <c r="D531" s="532"/>
      <c r="E531" s="532"/>
      <c r="F531" s="532"/>
      <c r="G531" s="532"/>
      <c r="H531" s="532"/>
    </row>
    <row r="532" spans="1:8" ht="12.75">
      <c r="A532" s="532"/>
      <c r="B532" s="532"/>
      <c r="C532" s="532"/>
      <c r="D532" s="532"/>
      <c r="E532" s="532"/>
      <c r="F532" s="532"/>
      <c r="G532" s="532"/>
      <c r="H532" s="532"/>
    </row>
    <row r="533" spans="1:8" ht="12.75">
      <c r="A533" s="532"/>
      <c r="B533" s="532"/>
      <c r="C533" s="532"/>
      <c r="D533" s="532"/>
      <c r="E533" s="532"/>
      <c r="F533" s="532"/>
      <c r="G533" s="532"/>
      <c r="H533" s="532"/>
    </row>
    <row r="534" spans="1:8" ht="12.75">
      <c r="A534" s="532"/>
      <c r="B534" s="532"/>
      <c r="C534" s="532"/>
      <c r="D534" s="532"/>
      <c r="E534" s="532"/>
      <c r="F534" s="532"/>
      <c r="G534" s="532"/>
      <c r="H534" s="532"/>
    </row>
    <row r="535" spans="1:8" ht="12.75">
      <c r="A535" s="532"/>
      <c r="B535" s="532"/>
      <c r="C535" s="532"/>
      <c r="D535" s="532"/>
      <c r="E535" s="532"/>
      <c r="F535" s="532"/>
      <c r="G535" s="532"/>
      <c r="H535" s="532"/>
    </row>
    <row r="536" spans="1:8" ht="12.75">
      <c r="A536" s="532"/>
      <c r="B536" s="532"/>
      <c r="C536" s="532"/>
      <c r="D536" s="532"/>
      <c r="E536" s="532"/>
      <c r="F536" s="532"/>
      <c r="G536" s="532"/>
      <c r="H536" s="532"/>
    </row>
    <row r="537" spans="1:8" ht="12.75">
      <c r="A537" s="532"/>
      <c r="B537" s="532"/>
      <c r="C537" s="532"/>
      <c r="D537" s="532"/>
      <c r="E537" s="532"/>
      <c r="F537" s="532"/>
      <c r="G537" s="532"/>
      <c r="H537" s="532"/>
    </row>
    <row r="538" spans="1:8" ht="12.75">
      <c r="A538" s="532"/>
      <c r="B538" s="532"/>
      <c r="C538" s="532"/>
      <c r="D538" s="532"/>
      <c r="E538" s="532"/>
      <c r="F538" s="532"/>
      <c r="G538" s="532"/>
      <c r="H538" s="532"/>
    </row>
    <row r="539" spans="1:8" ht="12.75">
      <c r="A539" s="532"/>
      <c r="B539" s="532"/>
      <c r="C539" s="532"/>
      <c r="D539" s="532"/>
      <c r="E539" s="532"/>
      <c r="F539" s="532"/>
      <c r="G539" s="532"/>
      <c r="H539" s="532"/>
    </row>
    <row r="540" spans="1:8" ht="12.75">
      <c r="A540" s="532"/>
      <c r="B540" s="532"/>
      <c r="C540" s="532"/>
      <c r="D540" s="532"/>
      <c r="E540" s="532"/>
      <c r="F540" s="532"/>
      <c r="G540" s="532"/>
      <c r="H540" s="532"/>
    </row>
    <row r="541" spans="1:8" ht="12.75">
      <c r="A541" s="532"/>
      <c r="B541" s="532"/>
      <c r="C541" s="532"/>
      <c r="D541" s="532"/>
      <c r="E541" s="532"/>
      <c r="F541" s="532"/>
      <c r="G541" s="532"/>
      <c r="H541" s="532"/>
    </row>
    <row r="542" spans="1:8" ht="12.75">
      <c r="A542" s="532"/>
      <c r="B542" s="532"/>
      <c r="C542" s="532"/>
      <c r="D542" s="532"/>
      <c r="E542" s="532"/>
      <c r="F542" s="532"/>
      <c r="G542" s="532"/>
      <c r="H542" s="532"/>
    </row>
    <row r="543" spans="1:8" ht="12.75">
      <c r="A543" s="532"/>
      <c r="B543" s="532"/>
      <c r="C543" s="532"/>
      <c r="D543" s="532"/>
      <c r="E543" s="532"/>
      <c r="F543" s="532"/>
      <c r="G543" s="532"/>
      <c r="H543" s="532"/>
    </row>
    <row r="544" spans="1:8" ht="12.75">
      <c r="A544" s="532"/>
      <c r="B544" s="532"/>
      <c r="C544" s="532"/>
      <c r="D544" s="532"/>
      <c r="E544" s="532"/>
      <c r="F544" s="532"/>
      <c r="G544" s="532"/>
      <c r="H544" s="532"/>
    </row>
    <row r="545" spans="1:8" ht="12.75">
      <c r="A545" s="532"/>
      <c r="B545" s="532"/>
      <c r="C545" s="532"/>
      <c r="D545" s="532"/>
      <c r="E545" s="532"/>
      <c r="F545" s="532"/>
      <c r="G545" s="532"/>
      <c r="H545" s="532"/>
    </row>
    <row r="546" spans="1:8" ht="12.75">
      <c r="A546" s="532"/>
      <c r="B546" s="532"/>
      <c r="C546" s="532"/>
      <c r="D546" s="532"/>
      <c r="E546" s="532"/>
      <c r="F546" s="532"/>
      <c r="G546" s="532"/>
      <c r="H546" s="532"/>
    </row>
    <row r="547" spans="1:8" ht="12.75">
      <c r="A547" s="532"/>
      <c r="B547" s="532"/>
      <c r="C547" s="532"/>
      <c r="D547" s="532"/>
      <c r="E547" s="532"/>
      <c r="F547" s="532"/>
      <c r="G547" s="532"/>
      <c r="H547" s="532"/>
    </row>
    <row r="548" spans="1:8" ht="12.75">
      <c r="A548" s="532"/>
      <c r="B548" s="532"/>
      <c r="C548" s="532"/>
      <c r="D548" s="532"/>
      <c r="E548" s="532"/>
      <c r="F548" s="532"/>
      <c r="G548" s="532"/>
      <c r="H548" s="532"/>
    </row>
    <row r="549" spans="1:8" ht="12.75">
      <c r="A549" s="532"/>
      <c r="B549" s="532"/>
      <c r="C549" s="532"/>
      <c r="D549" s="532"/>
      <c r="E549" s="532"/>
      <c r="F549" s="532"/>
      <c r="G549" s="532"/>
      <c r="H549" s="532"/>
    </row>
    <row r="550" spans="1:8" ht="12.75">
      <c r="A550" s="532"/>
      <c r="B550" s="532"/>
      <c r="C550" s="532"/>
      <c r="D550" s="532"/>
      <c r="E550" s="532"/>
      <c r="F550" s="532"/>
      <c r="G550" s="532"/>
      <c r="H550" s="532"/>
    </row>
    <row r="551" spans="1:8" ht="12.75">
      <c r="A551" s="532"/>
      <c r="B551" s="532"/>
      <c r="C551" s="532"/>
      <c r="D551" s="532"/>
      <c r="E551" s="532"/>
      <c r="F551" s="532"/>
      <c r="G551" s="532"/>
      <c r="H551" s="532"/>
    </row>
    <row r="552" spans="1:8" ht="12.75">
      <c r="A552" s="532"/>
      <c r="B552" s="532"/>
      <c r="C552" s="532"/>
      <c r="D552" s="532"/>
      <c r="E552" s="532"/>
      <c r="F552" s="532"/>
      <c r="G552" s="532"/>
      <c r="H552" s="532"/>
    </row>
    <row r="553" spans="1:8" ht="12.75">
      <c r="A553" s="532"/>
      <c r="B553" s="532"/>
      <c r="C553" s="532"/>
      <c r="D553" s="532"/>
      <c r="E553" s="532"/>
      <c r="F553" s="532"/>
      <c r="G553" s="532"/>
      <c r="H553" s="532"/>
    </row>
    <row r="554" spans="1:8" ht="12.75">
      <c r="A554" s="532"/>
      <c r="B554" s="532"/>
      <c r="C554" s="532"/>
      <c r="D554" s="532"/>
      <c r="E554" s="532"/>
      <c r="F554" s="532"/>
      <c r="G554" s="532"/>
      <c r="H554" s="532"/>
    </row>
    <row r="555" spans="1:8" ht="12.75">
      <c r="A555" s="532"/>
      <c r="B555" s="532"/>
      <c r="C555" s="532"/>
      <c r="D555" s="532"/>
      <c r="E555" s="532"/>
      <c r="F555" s="532"/>
      <c r="G555" s="532"/>
      <c r="H555" s="532"/>
    </row>
    <row r="556" spans="1:8" ht="12.75">
      <c r="A556" s="532"/>
      <c r="B556" s="532"/>
      <c r="C556" s="532"/>
      <c r="D556" s="532"/>
      <c r="E556" s="532"/>
      <c r="F556" s="532"/>
      <c r="G556" s="532"/>
      <c r="H556" s="532"/>
    </row>
    <row r="557" spans="1:8" ht="12.75">
      <c r="A557" s="532"/>
      <c r="B557" s="532"/>
      <c r="C557" s="532"/>
      <c r="D557" s="532"/>
      <c r="E557" s="532"/>
      <c r="F557" s="532"/>
      <c r="G557" s="532"/>
      <c r="H557" s="532"/>
    </row>
    <row r="558" spans="1:8" ht="12.75">
      <c r="A558" s="532"/>
      <c r="B558" s="532"/>
      <c r="C558" s="532"/>
      <c r="D558" s="532"/>
      <c r="E558" s="532"/>
      <c r="F558" s="532"/>
      <c r="G558" s="532"/>
      <c r="H558" s="532"/>
    </row>
    <row r="559" spans="1:8" ht="12.75">
      <c r="A559" s="532"/>
      <c r="B559" s="532"/>
      <c r="C559" s="532"/>
      <c r="D559" s="532"/>
      <c r="E559" s="532"/>
      <c r="F559" s="532"/>
      <c r="G559" s="532"/>
      <c r="H559" s="532"/>
    </row>
    <row r="560" spans="1:8" ht="12.75">
      <c r="A560" s="532"/>
      <c r="B560" s="532"/>
      <c r="C560" s="532"/>
      <c r="D560" s="532"/>
      <c r="E560" s="532"/>
      <c r="F560" s="532"/>
      <c r="G560" s="532"/>
      <c r="H560" s="532"/>
    </row>
    <row r="561" spans="1:8" ht="12.75">
      <c r="A561" s="532"/>
      <c r="B561" s="532"/>
      <c r="C561" s="532"/>
      <c r="D561" s="532"/>
      <c r="E561" s="532"/>
      <c r="F561" s="532"/>
      <c r="G561" s="532"/>
      <c r="H561" s="532"/>
    </row>
    <row r="562" spans="1:8" ht="12.75">
      <c r="A562" s="532"/>
      <c r="B562" s="532"/>
      <c r="C562" s="532"/>
      <c r="D562" s="532"/>
      <c r="E562" s="532"/>
      <c r="F562" s="532"/>
      <c r="G562" s="532"/>
      <c r="H562" s="532"/>
    </row>
    <row r="563" spans="1:8" ht="12.75">
      <c r="A563" s="532"/>
      <c r="B563" s="532"/>
      <c r="C563" s="532"/>
      <c r="D563" s="532"/>
      <c r="E563" s="532"/>
      <c r="F563" s="532"/>
      <c r="G563" s="532"/>
      <c r="H563" s="532"/>
    </row>
    <row r="564" spans="1:8" ht="12.75">
      <c r="A564" s="532"/>
      <c r="B564" s="532"/>
      <c r="C564" s="532"/>
      <c r="D564" s="532"/>
      <c r="E564" s="532"/>
      <c r="F564" s="532"/>
      <c r="G564" s="532"/>
      <c r="H564" s="532"/>
    </row>
    <row r="565" spans="1:8" ht="12.75">
      <c r="A565" s="532"/>
      <c r="B565" s="532"/>
      <c r="C565" s="532"/>
      <c r="D565" s="532"/>
      <c r="E565" s="532"/>
      <c r="F565" s="532"/>
      <c r="G565" s="532"/>
      <c r="H565" s="532"/>
    </row>
    <row r="566" spans="1:8" ht="12.75">
      <c r="A566" s="532"/>
      <c r="B566" s="532"/>
      <c r="C566" s="532"/>
      <c r="D566" s="532"/>
      <c r="E566" s="532"/>
      <c r="F566" s="532"/>
      <c r="G566" s="532"/>
      <c r="H566" s="532"/>
    </row>
    <row r="567" spans="1:8" ht="12.75">
      <c r="A567" s="532"/>
      <c r="B567" s="532"/>
      <c r="C567" s="532"/>
      <c r="D567" s="532"/>
      <c r="E567" s="532"/>
      <c r="F567" s="532"/>
      <c r="G567" s="532"/>
      <c r="H567" s="532"/>
    </row>
    <row r="568" spans="1:8" ht="12.75">
      <c r="A568" s="532"/>
      <c r="B568" s="532"/>
      <c r="C568" s="532"/>
      <c r="D568" s="532"/>
      <c r="E568" s="532"/>
      <c r="F568" s="532"/>
      <c r="G568" s="532"/>
      <c r="H568" s="532"/>
    </row>
    <row r="569" spans="1:8" ht="12.75">
      <c r="A569" s="532"/>
      <c r="B569" s="532"/>
      <c r="C569" s="532"/>
      <c r="D569" s="532"/>
      <c r="E569" s="532"/>
      <c r="F569" s="532"/>
      <c r="G569" s="532"/>
      <c r="H569" s="532"/>
    </row>
    <row r="570" spans="1:8" ht="12.75">
      <c r="A570" s="532"/>
      <c r="B570" s="532"/>
      <c r="C570" s="532"/>
      <c r="D570" s="532"/>
      <c r="E570" s="532"/>
      <c r="F570" s="532"/>
      <c r="G570" s="532"/>
      <c r="H570" s="532"/>
    </row>
    <row r="571" spans="1:8" ht="12.75">
      <c r="A571" s="532"/>
      <c r="B571" s="532"/>
      <c r="C571" s="532"/>
      <c r="D571" s="532"/>
      <c r="E571" s="532"/>
      <c r="F571" s="532"/>
      <c r="G571" s="532"/>
      <c r="H571" s="532"/>
    </row>
    <row r="572" spans="1:8" ht="12.75">
      <c r="A572" s="532"/>
      <c r="B572" s="532"/>
      <c r="C572" s="532"/>
      <c r="D572" s="532"/>
      <c r="E572" s="532"/>
      <c r="F572" s="532"/>
      <c r="G572" s="532"/>
      <c r="H572" s="532"/>
    </row>
    <row r="573" spans="1:8" ht="12.75">
      <c r="A573" s="532"/>
      <c r="B573" s="532"/>
      <c r="C573" s="532"/>
      <c r="D573" s="532"/>
      <c r="E573" s="532"/>
      <c r="F573" s="532"/>
      <c r="G573" s="532"/>
      <c r="H573" s="532"/>
    </row>
    <row r="574" spans="1:8" ht="12.75">
      <c r="A574" s="532"/>
      <c r="B574" s="532"/>
      <c r="C574" s="532"/>
      <c r="D574" s="532"/>
      <c r="E574" s="532"/>
      <c r="F574" s="532"/>
      <c r="G574" s="532"/>
      <c r="H574" s="532"/>
    </row>
    <row r="575" spans="1:8" ht="12.75">
      <c r="A575" s="532"/>
      <c r="B575" s="532"/>
      <c r="C575" s="532"/>
      <c r="D575" s="532"/>
      <c r="E575" s="532"/>
      <c r="F575" s="532"/>
      <c r="G575" s="532"/>
      <c r="H575" s="532"/>
    </row>
    <row r="576" spans="1:8" ht="12.75">
      <c r="A576" s="532"/>
      <c r="B576" s="532"/>
      <c r="C576" s="532"/>
      <c r="D576" s="532"/>
      <c r="E576" s="532"/>
      <c r="F576" s="532"/>
      <c r="G576" s="532"/>
      <c r="H576" s="532"/>
    </row>
    <row r="577" spans="1:8" ht="12.75">
      <c r="A577" s="532"/>
      <c r="B577" s="532"/>
      <c r="C577" s="532"/>
      <c r="D577" s="532"/>
      <c r="E577" s="532"/>
      <c r="F577" s="532"/>
      <c r="G577" s="532"/>
      <c r="H577" s="532"/>
    </row>
    <row r="578" spans="1:8" ht="12.75">
      <c r="A578" s="532"/>
      <c r="B578" s="532"/>
      <c r="C578" s="532"/>
      <c r="D578" s="532"/>
      <c r="E578" s="532"/>
      <c r="F578" s="532"/>
      <c r="G578" s="532"/>
      <c r="H578" s="532"/>
    </row>
    <row r="579" spans="1:8" ht="12.75">
      <c r="A579" s="532"/>
      <c r="B579" s="532"/>
      <c r="C579" s="532"/>
      <c r="D579" s="532"/>
      <c r="E579" s="532"/>
      <c r="F579" s="532"/>
      <c r="G579" s="532"/>
      <c r="H579" s="532"/>
    </row>
    <row r="580" spans="1:8" ht="12.75">
      <c r="A580" s="532"/>
      <c r="B580" s="532"/>
      <c r="C580" s="532"/>
      <c r="D580" s="532"/>
      <c r="E580" s="532"/>
      <c r="F580" s="532"/>
      <c r="G580" s="532"/>
      <c r="H580" s="532"/>
    </row>
    <row r="581" spans="1:8" ht="12.75">
      <c r="A581" s="532"/>
      <c r="B581" s="532"/>
      <c r="C581" s="532"/>
      <c r="D581" s="532"/>
      <c r="E581" s="532"/>
      <c r="F581" s="532"/>
      <c r="G581" s="532"/>
      <c r="H581" s="532"/>
    </row>
    <row r="582" spans="1:8" ht="12.75">
      <c r="A582" s="532"/>
      <c r="B582" s="532"/>
      <c r="C582" s="532"/>
      <c r="D582" s="532"/>
      <c r="E582" s="532"/>
      <c r="F582" s="532"/>
      <c r="G582" s="532"/>
      <c r="H582" s="532"/>
    </row>
    <row r="583" spans="1:8" ht="12.75">
      <c r="A583" s="532"/>
      <c r="B583" s="532"/>
      <c r="C583" s="532"/>
      <c r="D583" s="532"/>
      <c r="E583" s="532"/>
      <c r="F583" s="532"/>
      <c r="G583" s="532"/>
      <c r="H583" s="532"/>
    </row>
    <row r="584" spans="1:8" ht="12.75">
      <c r="A584" s="532"/>
      <c r="B584" s="532"/>
      <c r="C584" s="532"/>
      <c r="D584" s="532"/>
      <c r="E584" s="532"/>
      <c r="F584" s="532"/>
      <c r="G584" s="532"/>
      <c r="H584" s="532"/>
    </row>
    <row r="585" spans="1:8" ht="12.75">
      <c r="A585" s="532"/>
      <c r="B585" s="532"/>
      <c r="C585" s="532"/>
      <c r="D585" s="532"/>
      <c r="E585" s="532"/>
      <c r="F585" s="532"/>
      <c r="G585" s="532"/>
      <c r="H585" s="532"/>
    </row>
    <row r="586" spans="1:8" ht="12.75">
      <c r="A586" s="532"/>
      <c r="B586" s="532"/>
      <c r="C586" s="532"/>
      <c r="D586" s="532"/>
      <c r="E586" s="532"/>
      <c r="F586" s="532"/>
      <c r="G586" s="532"/>
      <c r="H586" s="532"/>
    </row>
    <row r="587" spans="1:8" ht="12.75">
      <c r="A587" s="532"/>
      <c r="B587" s="532"/>
      <c r="C587" s="532"/>
      <c r="D587" s="532"/>
      <c r="E587" s="532"/>
      <c r="F587" s="532"/>
      <c r="G587" s="532"/>
      <c r="H587" s="532"/>
    </row>
    <row r="588" spans="1:8" ht="12.75">
      <c r="A588" s="532"/>
      <c r="B588" s="532"/>
      <c r="C588" s="532"/>
      <c r="D588" s="532"/>
      <c r="E588" s="532"/>
      <c r="F588" s="532"/>
      <c r="G588" s="532"/>
      <c r="H588" s="532"/>
    </row>
    <row r="589" spans="1:8" ht="12.75">
      <c r="A589" s="532"/>
      <c r="B589" s="532"/>
      <c r="C589" s="532"/>
      <c r="D589" s="532"/>
      <c r="E589" s="532"/>
      <c r="F589" s="532"/>
      <c r="G589" s="532"/>
      <c r="H589" s="532"/>
    </row>
    <row r="590" spans="1:8" ht="12.75">
      <c r="A590" s="532"/>
      <c r="B590" s="532"/>
      <c r="C590" s="532"/>
      <c r="D590" s="532"/>
      <c r="E590" s="532"/>
      <c r="F590" s="532"/>
      <c r="G590" s="532"/>
      <c r="H590" s="532"/>
    </row>
    <row r="591" spans="1:8" ht="12.75">
      <c r="A591" s="532"/>
      <c r="B591" s="532"/>
      <c r="C591" s="532"/>
      <c r="D591" s="532"/>
      <c r="E591" s="532"/>
      <c r="F591" s="532"/>
      <c r="G591" s="532"/>
      <c r="H591" s="532"/>
    </row>
    <row r="592" spans="1:8" ht="12.75">
      <c r="A592" s="532"/>
      <c r="B592" s="532"/>
      <c r="C592" s="532"/>
      <c r="D592" s="532"/>
      <c r="E592" s="532"/>
      <c r="F592" s="532"/>
      <c r="G592" s="532"/>
      <c r="H592" s="532"/>
    </row>
    <row r="593" spans="1:8" ht="12.75">
      <c r="A593" s="532"/>
      <c r="B593" s="532"/>
      <c r="C593" s="532"/>
      <c r="D593" s="532"/>
      <c r="E593" s="532"/>
      <c r="F593" s="532"/>
      <c r="G593" s="532"/>
      <c r="H593" s="532"/>
    </row>
    <row r="594" spans="1:8" ht="12.75">
      <c r="A594" s="532"/>
      <c r="B594" s="532"/>
      <c r="C594" s="532"/>
      <c r="D594" s="532"/>
      <c r="E594" s="532"/>
      <c r="F594" s="532"/>
      <c r="G594" s="532"/>
      <c r="H594" s="532"/>
    </row>
    <row r="595" spans="1:8" ht="12.75">
      <c r="A595" s="532"/>
      <c r="B595" s="532"/>
      <c r="C595" s="532"/>
      <c r="D595" s="532"/>
      <c r="E595" s="532"/>
      <c r="F595" s="532"/>
      <c r="G595" s="532"/>
      <c r="H595" s="532"/>
    </row>
    <row r="596" spans="1:8" ht="12.75">
      <c r="A596" s="532"/>
      <c r="B596" s="532"/>
      <c r="C596" s="532"/>
      <c r="D596" s="532"/>
      <c r="E596" s="532"/>
      <c r="F596" s="532"/>
      <c r="G596" s="532"/>
      <c r="H596" s="532"/>
    </row>
    <row r="597" spans="1:8" ht="12.75">
      <c r="A597" s="532"/>
      <c r="B597" s="532"/>
      <c r="C597" s="532"/>
      <c r="D597" s="532"/>
      <c r="E597" s="532"/>
      <c r="F597" s="532"/>
      <c r="G597" s="532"/>
      <c r="H597" s="532"/>
    </row>
    <row r="598" spans="1:8" ht="12.75">
      <c r="A598" s="532"/>
      <c r="B598" s="532"/>
      <c r="C598" s="532"/>
      <c r="D598" s="532"/>
      <c r="E598" s="532"/>
      <c r="F598" s="532"/>
      <c r="G598" s="532"/>
      <c r="H598" s="532"/>
    </row>
    <row r="599" spans="1:8" ht="12.75">
      <c r="A599" s="532"/>
      <c r="B599" s="532"/>
      <c r="C599" s="532"/>
      <c r="D599" s="532"/>
      <c r="E599" s="532"/>
      <c r="F599" s="532"/>
      <c r="G599" s="532"/>
      <c r="H599" s="532"/>
    </row>
    <row r="600" spans="1:8" ht="12.75">
      <c r="A600" s="532"/>
      <c r="B600" s="532"/>
      <c r="C600" s="532"/>
      <c r="D600" s="532"/>
      <c r="E600" s="532"/>
      <c r="F600" s="532"/>
      <c r="G600" s="532"/>
      <c r="H600" s="532"/>
    </row>
    <row r="601" spans="1:8" ht="12.75">
      <c r="A601" s="532"/>
      <c r="B601" s="532"/>
      <c r="C601" s="532"/>
      <c r="D601" s="532"/>
      <c r="E601" s="532"/>
      <c r="F601" s="532"/>
      <c r="G601" s="532"/>
      <c r="H601" s="532"/>
    </row>
    <row r="602" spans="1:8" ht="12.75">
      <c r="A602" s="532"/>
      <c r="B602" s="532"/>
      <c r="C602" s="532"/>
      <c r="D602" s="532"/>
      <c r="E602" s="532"/>
      <c r="F602" s="532"/>
      <c r="G602" s="532"/>
      <c r="H602" s="532"/>
    </row>
    <row r="603" spans="1:8" ht="12.75">
      <c r="A603" s="532"/>
      <c r="B603" s="532"/>
      <c r="C603" s="532"/>
      <c r="D603" s="532"/>
      <c r="E603" s="532"/>
      <c r="F603" s="532"/>
      <c r="G603" s="532"/>
      <c r="H603" s="532"/>
    </row>
    <row r="604" spans="1:8" ht="12.75">
      <c r="A604" s="532"/>
      <c r="B604" s="532"/>
      <c r="C604" s="532"/>
      <c r="D604" s="532"/>
      <c r="E604" s="532"/>
      <c r="F604" s="532"/>
      <c r="G604" s="532"/>
      <c r="H604" s="532"/>
    </row>
    <row r="605" spans="1:8" ht="12.75">
      <c r="A605" s="532"/>
      <c r="B605" s="532"/>
      <c r="C605" s="532"/>
      <c r="D605" s="532"/>
      <c r="E605" s="532"/>
      <c r="F605" s="532"/>
      <c r="G605" s="532"/>
      <c r="H605" s="532"/>
    </row>
    <row r="606" spans="1:8" ht="12.75">
      <c r="A606" s="532"/>
      <c r="B606" s="532"/>
      <c r="C606" s="532"/>
      <c r="D606" s="532"/>
      <c r="E606" s="532"/>
      <c r="F606" s="532"/>
      <c r="G606" s="532"/>
      <c r="H606" s="532"/>
    </row>
    <row r="607" spans="1:8" ht="12.75">
      <c r="A607" s="532"/>
      <c r="B607" s="532"/>
      <c r="C607" s="532"/>
      <c r="D607" s="532"/>
      <c r="E607" s="532"/>
      <c r="F607" s="532"/>
      <c r="G607" s="532"/>
      <c r="H607" s="532"/>
    </row>
    <row r="608" spans="1:8" ht="12.75">
      <c r="A608" s="532"/>
      <c r="B608" s="532"/>
      <c r="C608" s="532"/>
      <c r="D608" s="532"/>
      <c r="E608" s="532"/>
      <c r="F608" s="532"/>
      <c r="G608" s="532"/>
      <c r="H608" s="532"/>
    </row>
    <row r="609" spans="1:8" ht="12.75">
      <c r="A609" s="532"/>
      <c r="B609" s="532"/>
      <c r="C609" s="532"/>
      <c r="D609" s="532"/>
      <c r="E609" s="532"/>
      <c r="F609" s="532"/>
      <c r="G609" s="532"/>
      <c r="H609" s="532"/>
    </row>
    <row r="610" spans="1:8" ht="12.75">
      <c r="A610" s="532"/>
      <c r="B610" s="532"/>
      <c r="C610" s="532"/>
      <c r="D610" s="532"/>
      <c r="E610" s="532"/>
      <c r="F610" s="532"/>
      <c r="G610" s="532"/>
      <c r="H610" s="532"/>
    </row>
    <row r="611" spans="1:8" ht="12.75">
      <c r="A611" s="532"/>
      <c r="B611" s="532"/>
      <c r="C611" s="532"/>
      <c r="D611" s="532"/>
      <c r="E611" s="532"/>
      <c r="F611" s="532"/>
      <c r="G611" s="532"/>
      <c r="H611" s="532"/>
    </row>
    <row r="612" spans="1:8" ht="12.75">
      <c r="A612" s="532"/>
      <c r="B612" s="532"/>
      <c r="C612" s="532"/>
      <c r="D612" s="532"/>
      <c r="E612" s="532"/>
      <c r="F612" s="532"/>
      <c r="G612" s="532"/>
      <c r="H612" s="532"/>
    </row>
    <row r="613" spans="1:8" ht="12.75">
      <c r="A613" s="532"/>
      <c r="B613" s="532"/>
      <c r="C613" s="532"/>
      <c r="D613" s="532"/>
      <c r="E613" s="532"/>
      <c r="F613" s="532"/>
      <c r="G613" s="532"/>
      <c r="H613" s="532"/>
    </row>
    <row r="614" spans="1:8" ht="12.75">
      <c r="A614" s="532"/>
      <c r="B614" s="532"/>
      <c r="C614" s="532"/>
      <c r="D614" s="532"/>
      <c r="E614" s="532"/>
      <c r="F614" s="532"/>
      <c r="G614" s="532"/>
      <c r="H614" s="532"/>
    </row>
    <row r="615" spans="1:8" ht="12.75">
      <c r="A615" s="532"/>
      <c r="B615" s="532"/>
      <c r="C615" s="532"/>
      <c r="D615" s="532"/>
      <c r="E615" s="532"/>
      <c r="F615" s="532"/>
      <c r="G615" s="532"/>
      <c r="H615" s="532"/>
    </row>
    <row r="616" spans="1:8" ht="12.75">
      <c r="A616" s="532"/>
      <c r="B616" s="532"/>
      <c r="C616" s="532"/>
      <c r="D616" s="532"/>
      <c r="E616" s="532"/>
      <c r="F616" s="532"/>
      <c r="G616" s="532"/>
      <c r="H616" s="532"/>
    </row>
    <row r="617" spans="1:8" ht="12.75">
      <c r="A617" s="532"/>
      <c r="B617" s="532"/>
      <c r="C617" s="532"/>
      <c r="D617" s="532"/>
      <c r="E617" s="532"/>
      <c r="F617" s="532"/>
      <c r="G617" s="532"/>
      <c r="H617" s="532"/>
    </row>
    <row r="618" spans="1:8" ht="12.75">
      <c r="A618" s="532"/>
      <c r="B618" s="532"/>
      <c r="C618" s="532"/>
      <c r="D618" s="532"/>
      <c r="E618" s="532"/>
      <c r="F618" s="532"/>
      <c r="G618" s="532"/>
      <c r="H618" s="532"/>
    </row>
    <row r="619" spans="1:8" ht="12.75">
      <c r="A619" s="532"/>
      <c r="B619" s="532"/>
      <c r="C619" s="532"/>
      <c r="D619" s="532"/>
      <c r="E619" s="532"/>
      <c r="F619" s="532"/>
      <c r="G619" s="532"/>
      <c r="H619" s="532"/>
    </row>
    <row r="620" spans="1:8" ht="12.75">
      <c r="A620" s="532"/>
      <c r="B620" s="532"/>
      <c r="C620" s="532"/>
      <c r="D620" s="532"/>
      <c r="E620" s="532"/>
      <c r="F620" s="532"/>
      <c r="G620" s="532"/>
      <c r="H620" s="532"/>
    </row>
    <row r="621" spans="1:8" ht="12.75">
      <c r="A621" s="532"/>
      <c r="B621" s="532"/>
      <c r="C621" s="532"/>
      <c r="D621" s="532"/>
      <c r="E621" s="532"/>
      <c r="F621" s="532"/>
      <c r="G621" s="532"/>
      <c r="H621" s="532"/>
    </row>
    <row r="622" spans="1:8" ht="12.75">
      <c r="A622" s="532"/>
      <c r="B622" s="532"/>
      <c r="C622" s="532"/>
      <c r="D622" s="532"/>
      <c r="E622" s="532"/>
      <c r="F622" s="532"/>
      <c r="G622" s="532"/>
      <c r="H622" s="532"/>
    </row>
    <row r="623" spans="1:8" ht="12.75">
      <c r="A623" s="532"/>
      <c r="B623" s="532"/>
      <c r="C623" s="532"/>
      <c r="D623" s="532"/>
      <c r="E623" s="532"/>
      <c r="F623" s="532"/>
      <c r="G623" s="532"/>
      <c r="H623" s="532"/>
    </row>
    <row r="624" spans="1:8" ht="12.75">
      <c r="A624" s="532"/>
      <c r="B624" s="532"/>
      <c r="C624" s="532"/>
      <c r="D624" s="532"/>
      <c r="E624" s="532"/>
      <c r="F624" s="532"/>
      <c r="G624" s="532"/>
      <c r="H624" s="532"/>
    </row>
    <row r="625" spans="1:8" ht="12.75">
      <c r="A625" s="532"/>
      <c r="B625" s="532"/>
      <c r="C625" s="532"/>
      <c r="D625" s="532"/>
      <c r="E625" s="532"/>
      <c r="F625" s="532"/>
      <c r="G625" s="532"/>
      <c r="H625" s="532"/>
    </row>
    <row r="626" spans="1:8" ht="12.75">
      <c r="A626" s="532"/>
      <c r="B626" s="532"/>
      <c r="C626" s="532"/>
      <c r="D626" s="532"/>
      <c r="E626" s="532"/>
      <c r="F626" s="532"/>
      <c r="G626" s="532"/>
      <c r="H626" s="532"/>
    </row>
    <row r="627" spans="1:8" ht="12.75">
      <c r="A627" s="532"/>
      <c r="B627" s="532"/>
      <c r="C627" s="532"/>
      <c r="D627" s="532"/>
      <c r="E627" s="532"/>
      <c r="F627" s="532"/>
      <c r="G627" s="532"/>
      <c r="H627" s="532"/>
    </row>
    <row r="628" spans="1:8" ht="12.75">
      <c r="A628" s="532"/>
      <c r="B628" s="532"/>
      <c r="C628" s="532"/>
      <c r="D628" s="532"/>
      <c r="E628" s="532"/>
      <c r="F628" s="532"/>
      <c r="G628" s="532"/>
      <c r="H628" s="532"/>
    </row>
    <row r="629" spans="1:8" ht="12.75">
      <c r="A629" s="532"/>
      <c r="B629" s="532"/>
      <c r="C629" s="532"/>
      <c r="D629" s="532"/>
      <c r="E629" s="532"/>
      <c r="F629" s="532"/>
      <c r="G629" s="532"/>
      <c r="H629" s="532"/>
    </row>
    <row r="630" spans="1:8" ht="12.75">
      <c r="A630" s="532"/>
      <c r="B630" s="532"/>
      <c r="C630" s="532"/>
      <c r="D630" s="532"/>
      <c r="E630" s="532"/>
      <c r="F630" s="532"/>
      <c r="G630" s="532"/>
      <c r="H630" s="532"/>
    </row>
    <row r="631" spans="1:8" ht="12.75">
      <c r="A631" s="532"/>
      <c r="B631" s="532"/>
      <c r="C631" s="532"/>
      <c r="D631" s="532"/>
      <c r="E631" s="532"/>
      <c r="F631" s="532"/>
      <c r="G631" s="532"/>
      <c r="H631" s="532"/>
    </row>
    <row r="632" spans="1:8" ht="12.75">
      <c r="A632" s="532"/>
      <c r="B632" s="532"/>
      <c r="C632" s="532"/>
      <c r="D632" s="532"/>
      <c r="E632" s="532"/>
      <c r="F632" s="532"/>
      <c r="G632" s="532"/>
      <c r="H632" s="532"/>
    </row>
    <row r="633" spans="1:8" ht="12.75">
      <c r="A633" s="532"/>
      <c r="B633" s="532"/>
      <c r="C633" s="532"/>
      <c r="D633" s="532"/>
      <c r="E633" s="532"/>
      <c r="F633" s="532"/>
      <c r="G633" s="532"/>
      <c r="H633" s="532"/>
    </row>
    <row r="634" spans="1:8" ht="12.75">
      <c r="A634" s="532"/>
      <c r="B634" s="532"/>
      <c r="C634" s="532"/>
      <c r="D634" s="532"/>
      <c r="E634" s="532"/>
      <c r="F634" s="532"/>
      <c r="G634" s="532"/>
      <c r="H634" s="532"/>
    </row>
    <row r="635" spans="1:8" ht="12.75">
      <c r="A635" s="532"/>
      <c r="B635" s="532"/>
      <c r="C635" s="532"/>
      <c r="D635" s="532"/>
      <c r="E635" s="532"/>
      <c r="F635" s="532"/>
      <c r="G635" s="532"/>
      <c r="H635" s="532"/>
    </row>
    <row r="636" spans="1:8" ht="12.75">
      <c r="A636" s="532"/>
      <c r="B636" s="532"/>
      <c r="C636" s="532"/>
      <c r="D636" s="532"/>
      <c r="E636" s="532"/>
      <c r="F636" s="532"/>
      <c r="G636" s="532"/>
      <c r="H636" s="532"/>
    </row>
    <row r="637" spans="1:8" ht="12.75">
      <c r="A637" s="532"/>
      <c r="B637" s="532"/>
      <c r="C637" s="532"/>
      <c r="D637" s="532"/>
      <c r="E637" s="532"/>
      <c r="F637" s="532"/>
      <c r="G637" s="532"/>
      <c r="H637" s="532"/>
    </row>
    <row r="638" spans="1:8" ht="12.75">
      <c r="A638" s="532"/>
      <c r="B638" s="532"/>
      <c r="C638" s="532"/>
      <c r="D638" s="532"/>
      <c r="E638" s="532"/>
      <c r="F638" s="532"/>
      <c r="G638" s="532"/>
      <c r="H638" s="532"/>
    </row>
    <row r="639" spans="1:8" ht="12.75">
      <c r="A639" s="532"/>
      <c r="B639" s="532"/>
      <c r="C639" s="532"/>
      <c r="D639" s="532"/>
      <c r="E639" s="532"/>
      <c r="F639" s="532"/>
      <c r="G639" s="532"/>
      <c r="H639" s="532"/>
    </row>
    <row r="640" spans="1:8" ht="12.75">
      <c r="A640" s="532"/>
      <c r="B640" s="532"/>
      <c r="C640" s="532"/>
      <c r="D640" s="532"/>
      <c r="E640" s="532"/>
      <c r="F640" s="532"/>
      <c r="G640" s="532"/>
      <c r="H640" s="532"/>
    </row>
    <row r="641" spans="1:8" ht="12.75">
      <c r="A641" s="532"/>
      <c r="B641" s="532"/>
      <c r="C641" s="532"/>
      <c r="D641" s="532"/>
      <c r="E641" s="532"/>
      <c r="F641" s="532"/>
      <c r="G641" s="532"/>
      <c r="H641" s="532"/>
    </row>
    <row r="642" spans="1:8" ht="12.75">
      <c r="A642" s="532"/>
      <c r="B642" s="532"/>
      <c r="C642" s="532"/>
      <c r="D642" s="532"/>
      <c r="E642" s="532"/>
      <c r="F642" s="532"/>
      <c r="G642" s="532"/>
      <c r="H642" s="532"/>
    </row>
    <row r="643" spans="1:8" ht="12.75">
      <c r="A643" s="532"/>
      <c r="B643" s="532"/>
      <c r="C643" s="532"/>
      <c r="D643" s="532"/>
      <c r="E643" s="532"/>
      <c r="F643" s="532"/>
      <c r="G643" s="532"/>
      <c r="H643" s="532"/>
    </row>
    <row r="644" spans="1:8" ht="12.75">
      <c r="A644" s="532"/>
      <c r="B644" s="532"/>
      <c r="C644" s="532"/>
      <c r="D644" s="532"/>
      <c r="E644" s="532"/>
      <c r="F644" s="532"/>
      <c r="G644" s="532"/>
      <c r="H644" s="532"/>
    </row>
    <row r="645" spans="1:8" ht="12.75">
      <c r="A645" s="532"/>
      <c r="B645" s="532"/>
      <c r="C645" s="532"/>
      <c r="D645" s="532"/>
      <c r="E645" s="532"/>
      <c r="F645" s="532"/>
      <c r="G645" s="532"/>
      <c r="H645" s="532"/>
    </row>
    <row r="646" spans="1:8" ht="12.75">
      <c r="A646" s="532"/>
      <c r="B646" s="532"/>
      <c r="C646" s="532"/>
      <c r="D646" s="532"/>
      <c r="E646" s="532"/>
      <c r="F646" s="532"/>
      <c r="G646" s="532"/>
      <c r="H646" s="532"/>
    </row>
    <row r="647" spans="1:8" ht="12.75">
      <c r="A647" s="532"/>
      <c r="B647" s="532"/>
      <c r="C647" s="532"/>
      <c r="D647" s="532"/>
      <c r="E647" s="532"/>
      <c r="F647" s="532"/>
      <c r="G647" s="532"/>
      <c r="H647" s="532"/>
    </row>
    <row r="648" spans="1:8" ht="12.75">
      <c r="A648" s="532"/>
      <c r="B648" s="532"/>
      <c r="C648" s="532"/>
      <c r="D648" s="532"/>
      <c r="E648" s="532"/>
      <c r="F648" s="532"/>
      <c r="G648" s="532"/>
      <c r="H648" s="532"/>
    </row>
    <row r="649" spans="1:8" ht="12.75">
      <c r="A649" s="532"/>
      <c r="B649" s="532"/>
      <c r="C649" s="532"/>
      <c r="D649" s="532"/>
      <c r="E649" s="532"/>
      <c r="F649" s="532"/>
      <c r="G649" s="532"/>
      <c r="H649" s="532"/>
    </row>
    <row r="650" spans="1:8" ht="12.75">
      <c r="A650" s="532"/>
      <c r="B650" s="532"/>
      <c r="C650" s="532"/>
      <c r="D650" s="532"/>
      <c r="E650" s="532"/>
      <c r="F650" s="532"/>
      <c r="G650" s="532"/>
      <c r="H650" s="532"/>
    </row>
    <row r="651" spans="1:8" ht="12.75">
      <c r="A651" s="532"/>
      <c r="B651" s="532"/>
      <c r="C651" s="532"/>
      <c r="D651" s="532"/>
      <c r="E651" s="532"/>
      <c r="F651" s="532"/>
      <c r="G651" s="532"/>
      <c r="H651" s="532"/>
    </row>
    <row r="652" spans="1:8" ht="12.75">
      <c r="A652" s="532"/>
      <c r="B652" s="532"/>
      <c r="C652" s="532"/>
      <c r="D652" s="532"/>
      <c r="E652" s="532"/>
      <c r="F652" s="532"/>
      <c r="G652" s="532"/>
      <c r="H652" s="532"/>
    </row>
    <row r="653" spans="1:8" ht="12.75">
      <c r="A653" s="532"/>
      <c r="B653" s="532"/>
      <c r="C653" s="532"/>
      <c r="D653" s="532"/>
      <c r="E653" s="532"/>
      <c r="F653" s="532"/>
      <c r="G653" s="532"/>
      <c r="H653" s="532"/>
    </row>
    <row r="654" spans="1:8" ht="12.75">
      <c r="A654" s="532"/>
      <c r="B654" s="532"/>
      <c r="C654" s="532"/>
      <c r="D654" s="532"/>
      <c r="E654" s="532"/>
      <c r="F654" s="532"/>
      <c r="G654" s="532"/>
      <c r="H654" s="532"/>
    </row>
    <row r="655" spans="1:8" ht="12.75">
      <c r="A655" s="532"/>
      <c r="B655" s="532"/>
      <c r="C655" s="532"/>
      <c r="D655" s="532"/>
      <c r="E655" s="532"/>
      <c r="F655" s="532"/>
      <c r="G655" s="532"/>
      <c r="H655" s="532"/>
    </row>
    <row r="656" spans="1:8" ht="12.75">
      <c r="A656" s="532"/>
      <c r="B656" s="532"/>
      <c r="C656" s="532"/>
      <c r="D656" s="532"/>
      <c r="E656" s="532"/>
      <c r="F656" s="532"/>
      <c r="G656" s="532"/>
      <c r="H656" s="532"/>
    </row>
    <row r="657" spans="1:8" ht="12.75">
      <c r="A657" s="532"/>
      <c r="B657" s="532"/>
      <c r="C657" s="532"/>
      <c r="D657" s="532"/>
      <c r="E657" s="532"/>
      <c r="F657" s="532"/>
      <c r="G657" s="532"/>
      <c r="H657" s="532"/>
    </row>
    <row r="658" spans="1:8" ht="12.75">
      <c r="A658" s="532"/>
      <c r="B658" s="532"/>
      <c r="C658" s="532"/>
      <c r="D658" s="532"/>
      <c r="E658" s="532"/>
      <c r="F658" s="532"/>
      <c r="G658" s="532"/>
      <c r="H658" s="532"/>
    </row>
    <row r="659" spans="1:8" ht="12.75">
      <c r="A659" s="532"/>
      <c r="B659" s="532"/>
      <c r="C659" s="532"/>
      <c r="D659" s="532"/>
      <c r="E659" s="532"/>
      <c r="F659" s="532"/>
      <c r="G659" s="532"/>
      <c r="H659" s="532"/>
    </row>
    <row r="660" spans="1:8" ht="12.75">
      <c r="A660" s="532"/>
      <c r="B660" s="532"/>
      <c r="C660" s="532"/>
      <c r="D660" s="532"/>
      <c r="E660" s="532"/>
      <c r="F660" s="532"/>
      <c r="G660" s="532"/>
      <c r="H660" s="532"/>
    </row>
    <row r="661" spans="1:8" ht="12.75">
      <c r="A661" s="532"/>
      <c r="B661" s="532"/>
      <c r="C661" s="532"/>
      <c r="D661" s="532"/>
      <c r="E661" s="532"/>
      <c r="F661" s="532"/>
      <c r="G661" s="532"/>
      <c r="H661" s="532"/>
    </row>
    <row r="662" spans="1:8" ht="12.75">
      <c r="A662" s="532"/>
      <c r="B662" s="532"/>
      <c r="C662" s="532"/>
      <c r="D662" s="532"/>
      <c r="E662" s="532"/>
      <c r="F662" s="532"/>
      <c r="G662" s="532"/>
      <c r="H662" s="532"/>
    </row>
    <row r="663" spans="1:8" ht="12.75">
      <c r="A663" s="532"/>
      <c r="B663" s="532"/>
      <c r="C663" s="532"/>
      <c r="D663" s="532"/>
      <c r="E663" s="532"/>
      <c r="F663" s="532"/>
      <c r="G663" s="532"/>
      <c r="H663" s="532"/>
    </row>
    <row r="664" spans="1:8" ht="12.75">
      <c r="A664" s="532"/>
      <c r="B664" s="532"/>
      <c r="C664" s="532"/>
      <c r="D664" s="532"/>
      <c r="E664" s="532"/>
      <c r="F664" s="532"/>
      <c r="G664" s="532"/>
      <c r="H664" s="532"/>
    </row>
    <row r="665" spans="1:8" ht="12.75">
      <c r="A665" s="532"/>
      <c r="B665" s="532"/>
      <c r="C665" s="532"/>
      <c r="D665" s="532"/>
      <c r="E665" s="532"/>
      <c r="F665" s="532"/>
      <c r="G665" s="532"/>
      <c r="H665" s="532"/>
    </row>
    <row r="666" spans="1:8" ht="12.75">
      <c r="A666" s="532"/>
      <c r="B666" s="532"/>
      <c r="C666" s="532"/>
      <c r="D666" s="532"/>
      <c r="E666" s="532"/>
      <c r="F666" s="532"/>
      <c r="G666" s="532"/>
      <c r="H666" s="532"/>
    </row>
    <row r="667" spans="1:8" ht="12.75">
      <c r="A667" s="532"/>
      <c r="B667" s="532"/>
      <c r="C667" s="532"/>
      <c r="D667" s="532"/>
      <c r="E667" s="532"/>
      <c r="F667" s="532"/>
      <c r="G667" s="532"/>
      <c r="H667" s="532"/>
    </row>
    <row r="668" spans="1:8" ht="12.75">
      <c r="A668" s="532"/>
      <c r="B668" s="532"/>
      <c r="C668" s="532"/>
      <c r="D668" s="532"/>
      <c r="E668" s="532"/>
      <c r="F668" s="532"/>
      <c r="G668" s="532"/>
      <c r="H668" s="532"/>
    </row>
    <row r="669" spans="1:8" ht="12.75">
      <c r="A669" s="532"/>
      <c r="B669" s="532"/>
      <c r="C669" s="532"/>
      <c r="D669" s="532"/>
      <c r="E669" s="532"/>
      <c r="F669" s="532"/>
      <c r="G669" s="532"/>
      <c r="H669" s="532"/>
    </row>
    <row r="670" spans="1:8" ht="12.75">
      <c r="A670" s="532"/>
      <c r="B670" s="532"/>
      <c r="C670" s="532"/>
      <c r="D670" s="532"/>
      <c r="E670" s="532"/>
      <c r="F670" s="532"/>
      <c r="G670" s="532"/>
      <c r="H670" s="532"/>
    </row>
    <row r="671" spans="1:8" ht="12.75">
      <c r="A671" s="532"/>
      <c r="B671" s="532"/>
      <c r="C671" s="532"/>
      <c r="D671" s="532"/>
      <c r="E671" s="532"/>
      <c r="F671" s="532"/>
      <c r="G671" s="532"/>
      <c r="H671" s="532"/>
    </row>
    <row r="672" spans="1:8" ht="12.75">
      <c r="A672" s="532"/>
      <c r="B672" s="532"/>
      <c r="C672" s="532"/>
      <c r="D672" s="532"/>
      <c r="E672" s="532"/>
      <c r="F672" s="532"/>
      <c r="G672" s="532"/>
      <c r="H672" s="532"/>
    </row>
    <row r="673" spans="1:8" ht="12.75">
      <c r="A673" s="532"/>
      <c r="B673" s="532"/>
      <c r="C673" s="532"/>
      <c r="D673" s="532"/>
      <c r="E673" s="532"/>
      <c r="F673" s="532"/>
      <c r="G673" s="532"/>
      <c r="H673" s="532"/>
    </row>
    <row r="674" spans="1:8" ht="12.75">
      <c r="A674" s="532"/>
      <c r="B674" s="532"/>
      <c r="C674" s="532"/>
      <c r="D674" s="532"/>
      <c r="E674" s="532"/>
      <c r="F674" s="532"/>
      <c r="G674" s="532"/>
      <c r="H674" s="532"/>
    </row>
    <row r="675" spans="1:8" ht="12.75">
      <c r="A675" s="532"/>
      <c r="B675" s="532"/>
      <c r="C675" s="532"/>
      <c r="D675" s="532"/>
      <c r="E675" s="532"/>
      <c r="F675" s="532"/>
      <c r="G675" s="532"/>
      <c r="H675" s="532"/>
    </row>
    <row r="676" spans="1:8" ht="12.75">
      <c r="A676" s="532"/>
      <c r="B676" s="532"/>
      <c r="C676" s="532"/>
      <c r="D676" s="532"/>
      <c r="E676" s="532"/>
      <c r="F676" s="532"/>
      <c r="G676" s="532"/>
      <c r="H676" s="532"/>
    </row>
    <row r="677" spans="1:8" ht="12.75">
      <c r="A677" s="532"/>
      <c r="B677" s="532"/>
      <c r="C677" s="532"/>
      <c r="D677" s="532"/>
      <c r="E677" s="532"/>
      <c r="F677" s="532"/>
      <c r="G677" s="532"/>
      <c r="H677" s="532"/>
    </row>
    <row r="678" spans="1:8" ht="12.75">
      <c r="A678" s="532"/>
      <c r="B678" s="532"/>
      <c r="C678" s="532"/>
      <c r="D678" s="532"/>
      <c r="E678" s="532"/>
      <c r="F678" s="532"/>
      <c r="G678" s="532"/>
      <c r="H678" s="532"/>
    </row>
    <row r="679" spans="1:8" ht="12.75">
      <c r="A679" s="532"/>
      <c r="B679" s="532"/>
      <c r="C679" s="532"/>
      <c r="D679" s="532"/>
      <c r="E679" s="532"/>
      <c r="F679" s="532"/>
      <c r="G679" s="532"/>
      <c r="H679" s="532"/>
    </row>
    <row r="680" spans="1:8" ht="12.75">
      <c r="A680" s="532"/>
      <c r="B680" s="532"/>
      <c r="C680" s="532"/>
      <c r="D680" s="532"/>
      <c r="E680" s="532"/>
      <c r="F680" s="532"/>
      <c r="G680" s="532"/>
      <c r="H680" s="532"/>
    </row>
    <row r="681" spans="1:8" ht="12.75">
      <c r="A681" s="532"/>
      <c r="B681" s="532"/>
      <c r="C681" s="532"/>
      <c r="D681" s="532"/>
      <c r="E681" s="532"/>
      <c r="F681" s="532"/>
      <c r="G681" s="532"/>
      <c r="H681" s="532"/>
    </row>
    <row r="682" spans="1:8" ht="12.75">
      <c r="A682" s="532"/>
      <c r="B682" s="532"/>
      <c r="C682" s="532"/>
      <c r="D682" s="532"/>
      <c r="E682" s="532"/>
      <c r="F682" s="532"/>
      <c r="G682" s="532"/>
      <c r="H682" s="532"/>
    </row>
    <row r="683" spans="1:8" ht="12.75">
      <c r="A683" s="532"/>
      <c r="B683" s="532"/>
      <c r="C683" s="532"/>
      <c r="D683" s="532"/>
      <c r="E683" s="532"/>
      <c r="F683" s="532"/>
      <c r="G683" s="532"/>
      <c r="H683" s="532"/>
    </row>
    <row r="684" spans="1:8" ht="12.75">
      <c r="A684" s="532"/>
      <c r="B684" s="532"/>
      <c r="C684" s="532"/>
      <c r="D684" s="532"/>
      <c r="E684" s="532"/>
      <c r="F684" s="532"/>
      <c r="G684" s="532"/>
      <c r="H684" s="532"/>
    </row>
    <row r="685" spans="1:8" ht="12.75">
      <c r="A685" s="532"/>
      <c r="B685" s="532"/>
      <c r="C685" s="532"/>
      <c r="D685" s="532"/>
      <c r="E685" s="532"/>
      <c r="F685" s="532"/>
      <c r="G685" s="532"/>
      <c r="H685" s="532"/>
    </row>
    <row r="686" spans="1:8" ht="12.75">
      <c r="A686" s="532"/>
      <c r="B686" s="532"/>
      <c r="C686" s="532"/>
      <c r="D686" s="532"/>
      <c r="E686" s="532"/>
      <c r="F686" s="532"/>
      <c r="G686" s="532"/>
      <c r="H686" s="532"/>
    </row>
    <row r="687" spans="1:8" ht="12.75">
      <c r="A687" s="532"/>
      <c r="B687" s="532"/>
      <c r="C687" s="532"/>
      <c r="D687" s="532"/>
      <c r="E687" s="532"/>
      <c r="F687" s="532"/>
      <c r="G687" s="532"/>
      <c r="H687" s="532"/>
    </row>
    <row r="688" spans="1:8" ht="12.75">
      <c r="A688" s="532"/>
      <c r="B688" s="532"/>
      <c r="C688" s="532"/>
      <c r="D688" s="532"/>
      <c r="E688" s="532"/>
      <c r="F688" s="532"/>
      <c r="G688" s="532"/>
      <c r="H688" s="532"/>
    </row>
    <row r="689" spans="1:8" ht="12.75">
      <c r="A689" s="532"/>
      <c r="B689" s="532"/>
      <c r="C689" s="532"/>
      <c r="D689" s="532"/>
      <c r="E689" s="532"/>
      <c r="F689" s="532"/>
      <c r="G689" s="532"/>
      <c r="H689" s="532"/>
    </row>
    <row r="690" spans="1:8" ht="12.75">
      <c r="A690" s="532"/>
      <c r="B690" s="532"/>
      <c r="C690" s="532"/>
      <c r="D690" s="532"/>
      <c r="E690" s="532"/>
      <c r="F690" s="532"/>
      <c r="G690" s="532"/>
      <c r="H690" s="532"/>
    </row>
    <row r="691" spans="1:8" ht="12.75">
      <c r="A691" s="532"/>
      <c r="B691" s="532"/>
      <c r="C691" s="532"/>
      <c r="D691" s="532"/>
      <c r="E691" s="532"/>
      <c r="F691" s="532"/>
      <c r="G691" s="532"/>
      <c r="H691" s="532"/>
    </row>
    <row r="692" spans="1:8" ht="12.75">
      <c r="A692" s="532"/>
      <c r="B692" s="532"/>
      <c r="C692" s="532"/>
      <c r="D692" s="532"/>
      <c r="E692" s="532"/>
      <c r="F692" s="532"/>
      <c r="G692" s="532"/>
      <c r="H692" s="532"/>
    </row>
    <row r="693" spans="1:8" ht="12.75">
      <c r="A693" s="532"/>
      <c r="B693" s="532"/>
      <c r="C693" s="532"/>
      <c r="D693" s="532"/>
      <c r="E693" s="532"/>
      <c r="F693" s="532"/>
      <c r="G693" s="532"/>
      <c r="H693" s="532"/>
    </row>
    <row r="694" spans="1:8" ht="12.75">
      <c r="A694" s="532"/>
      <c r="B694" s="532"/>
      <c r="C694" s="532"/>
      <c r="D694" s="532"/>
      <c r="E694" s="532"/>
      <c r="F694" s="532"/>
      <c r="G694" s="532"/>
      <c r="H694" s="532"/>
    </row>
    <row r="695" spans="1:8" ht="12.75">
      <c r="A695" s="532"/>
      <c r="B695" s="532"/>
      <c r="C695" s="532"/>
      <c r="D695" s="532"/>
      <c r="E695" s="532"/>
      <c r="F695" s="532"/>
      <c r="G695" s="532"/>
      <c r="H695" s="532"/>
    </row>
    <row r="696" spans="1:8" ht="12.75">
      <c r="A696" s="532"/>
      <c r="B696" s="532"/>
      <c r="C696" s="532"/>
      <c r="D696" s="532"/>
      <c r="E696" s="532"/>
      <c r="F696" s="532"/>
      <c r="G696" s="532"/>
      <c r="H696" s="532"/>
    </row>
    <row r="697" spans="1:8" ht="12.75">
      <c r="A697" s="532"/>
      <c r="B697" s="532"/>
      <c r="C697" s="532"/>
      <c r="D697" s="532"/>
      <c r="E697" s="532"/>
      <c r="F697" s="532"/>
      <c r="G697" s="532"/>
      <c r="H697" s="532"/>
    </row>
    <row r="698" spans="1:8" ht="12.75">
      <c r="A698" s="532"/>
      <c r="B698" s="532"/>
      <c r="C698" s="532"/>
      <c r="D698" s="532"/>
      <c r="E698" s="532"/>
      <c r="F698" s="532"/>
      <c r="G698" s="532"/>
      <c r="H698" s="532"/>
    </row>
    <row r="699" spans="1:8" ht="12.75">
      <c r="A699" s="532"/>
      <c r="B699" s="532"/>
      <c r="C699" s="532"/>
      <c r="D699" s="532"/>
      <c r="E699" s="532"/>
      <c r="F699" s="532"/>
      <c r="G699" s="532"/>
      <c r="H699" s="532"/>
    </row>
    <row r="700" spans="1:8" ht="12.75">
      <c r="A700" s="532"/>
      <c r="B700" s="532"/>
      <c r="C700" s="532"/>
      <c r="D700" s="532"/>
      <c r="E700" s="532"/>
      <c r="F700" s="532"/>
      <c r="G700" s="532"/>
      <c r="H700" s="532"/>
    </row>
    <row r="701" spans="1:8" ht="12.75">
      <c r="A701" s="532"/>
      <c r="B701" s="532"/>
      <c r="C701" s="532"/>
      <c r="D701" s="532"/>
      <c r="E701" s="532"/>
      <c r="F701" s="532"/>
      <c r="G701" s="532"/>
      <c r="H701" s="532"/>
    </row>
    <row r="702" spans="1:8" ht="12.75">
      <c r="A702" s="532"/>
      <c r="B702" s="532"/>
      <c r="C702" s="532"/>
      <c r="D702" s="532"/>
      <c r="E702" s="532"/>
      <c r="F702" s="532"/>
      <c r="G702" s="532"/>
      <c r="H702" s="532"/>
    </row>
    <row r="703" spans="1:8" ht="12.75">
      <c r="A703" s="532"/>
      <c r="B703" s="532"/>
      <c r="C703" s="532"/>
      <c r="D703" s="532"/>
      <c r="E703" s="532"/>
      <c r="F703" s="532"/>
      <c r="G703" s="532"/>
      <c r="H703" s="532"/>
    </row>
    <row r="704" spans="1:8" ht="12.75">
      <c r="A704" s="532"/>
      <c r="B704" s="532"/>
      <c r="C704" s="532"/>
      <c r="D704" s="532"/>
      <c r="E704" s="532"/>
      <c r="F704" s="532"/>
      <c r="G704" s="532"/>
      <c r="H704" s="532"/>
    </row>
    <row r="705" spans="1:8" ht="12.75">
      <c r="A705" s="532"/>
      <c r="B705" s="532"/>
      <c r="C705" s="532"/>
      <c r="D705" s="532"/>
      <c r="E705" s="532"/>
      <c r="F705" s="532"/>
      <c r="G705" s="532"/>
      <c r="H705" s="532"/>
    </row>
    <row r="706" spans="1:8" ht="12.75">
      <c r="A706" s="532"/>
      <c r="B706" s="532"/>
      <c r="C706" s="532"/>
      <c r="D706" s="532"/>
      <c r="E706" s="532"/>
      <c r="F706" s="532"/>
      <c r="G706" s="532"/>
      <c r="H706" s="532"/>
    </row>
    <row r="707" spans="1:8" ht="12.75">
      <c r="A707" s="532"/>
      <c r="B707" s="532"/>
      <c r="C707" s="532"/>
      <c r="D707" s="532"/>
      <c r="E707" s="532"/>
      <c r="F707" s="532"/>
      <c r="G707" s="532"/>
      <c r="H707" s="532"/>
    </row>
    <row r="708" spans="1:8" ht="12.75">
      <c r="A708" s="532"/>
      <c r="B708" s="532"/>
      <c r="C708" s="532"/>
      <c r="D708" s="532"/>
      <c r="E708" s="532"/>
      <c r="F708" s="532"/>
      <c r="G708" s="532"/>
      <c r="H708" s="532"/>
    </row>
    <row r="709" spans="1:8" ht="12.75">
      <c r="A709" s="532"/>
      <c r="B709" s="532"/>
      <c r="C709" s="532"/>
      <c r="D709" s="532"/>
      <c r="E709" s="532"/>
      <c r="F709" s="532"/>
      <c r="G709" s="532"/>
      <c r="H709" s="532"/>
    </row>
    <row r="710" spans="1:8" ht="12.75">
      <c r="A710" s="532"/>
      <c r="B710" s="532"/>
      <c r="C710" s="532"/>
      <c r="D710" s="532"/>
      <c r="E710" s="532"/>
      <c r="F710" s="532"/>
      <c r="G710" s="532"/>
      <c r="H710" s="532"/>
    </row>
    <row r="711" spans="1:8" ht="12.75">
      <c r="A711" s="532"/>
      <c r="B711" s="532"/>
      <c r="C711" s="532"/>
      <c r="D711" s="532"/>
      <c r="E711" s="532"/>
      <c r="F711" s="532"/>
      <c r="G711" s="532"/>
      <c r="H711" s="532"/>
    </row>
    <row r="712" spans="1:8" ht="12.75">
      <c r="A712" s="532"/>
      <c r="B712" s="532"/>
      <c r="C712" s="532"/>
      <c r="D712" s="532"/>
      <c r="E712" s="532"/>
      <c r="F712" s="532"/>
      <c r="G712" s="532"/>
      <c r="H712" s="532"/>
    </row>
    <row r="713" spans="1:8" ht="12.75">
      <c r="A713" s="532"/>
      <c r="B713" s="532"/>
      <c r="C713" s="532"/>
      <c r="D713" s="532"/>
      <c r="E713" s="532"/>
      <c r="F713" s="532"/>
      <c r="G713" s="532"/>
      <c r="H713" s="532"/>
    </row>
    <row r="714" spans="1:8" ht="12.75">
      <c r="A714" s="532"/>
      <c r="B714" s="532"/>
      <c r="C714" s="532"/>
      <c r="D714" s="532"/>
      <c r="E714" s="532"/>
      <c r="F714" s="532"/>
      <c r="G714" s="532"/>
      <c r="H714" s="532"/>
    </row>
    <row r="715" spans="1:8" ht="12.75">
      <c r="A715" s="532"/>
      <c r="B715" s="532"/>
      <c r="C715" s="532"/>
      <c r="D715" s="532"/>
      <c r="E715" s="532"/>
      <c r="F715" s="532"/>
      <c r="G715" s="532"/>
      <c r="H715" s="532"/>
    </row>
    <row r="716" spans="1:8" ht="12.75">
      <c r="A716" s="532"/>
      <c r="B716" s="532"/>
      <c r="C716" s="532"/>
      <c r="D716" s="532"/>
      <c r="E716" s="532"/>
      <c r="F716" s="532"/>
      <c r="G716" s="532"/>
      <c r="H716" s="532"/>
    </row>
    <row r="717" spans="1:8" ht="12.75">
      <c r="A717" s="532"/>
      <c r="B717" s="532"/>
      <c r="C717" s="532"/>
      <c r="D717" s="532"/>
      <c r="E717" s="532"/>
      <c r="F717" s="532"/>
      <c r="G717" s="532"/>
      <c r="H717" s="532"/>
    </row>
    <row r="718" spans="1:8" ht="12.75">
      <c r="A718" s="532"/>
      <c r="B718" s="532"/>
      <c r="C718" s="532"/>
      <c r="D718" s="532"/>
      <c r="E718" s="532"/>
      <c r="F718" s="532"/>
      <c r="G718" s="532"/>
      <c r="H718" s="532"/>
    </row>
    <row r="719" spans="1:8" ht="12.75">
      <c r="A719" s="532"/>
      <c r="B719" s="532"/>
      <c r="C719" s="532"/>
      <c r="D719" s="532"/>
      <c r="E719" s="532"/>
      <c r="F719" s="532"/>
      <c r="G719" s="532"/>
      <c r="H719" s="532"/>
    </row>
    <row r="720" spans="1:8" ht="12.75">
      <c r="A720" s="532"/>
      <c r="B720" s="532"/>
      <c r="C720" s="532"/>
      <c r="D720" s="532"/>
      <c r="E720" s="532"/>
      <c r="F720" s="532"/>
      <c r="G720" s="532"/>
      <c r="H720" s="532"/>
    </row>
    <row r="721" spans="1:8" ht="12.75">
      <c r="A721" s="532"/>
      <c r="B721" s="532"/>
      <c r="C721" s="532"/>
      <c r="D721" s="532"/>
      <c r="E721" s="532"/>
      <c r="F721" s="532"/>
      <c r="G721" s="532"/>
      <c r="H721" s="532"/>
    </row>
    <row r="722" spans="1:8" ht="12.75">
      <c r="A722" s="532"/>
      <c r="B722" s="532"/>
      <c r="C722" s="532"/>
      <c r="D722" s="532"/>
      <c r="E722" s="532"/>
      <c r="F722" s="532"/>
      <c r="G722" s="532"/>
      <c r="H722" s="532"/>
    </row>
    <row r="723" spans="1:8" ht="12.75">
      <c r="A723" s="532"/>
      <c r="B723" s="532"/>
      <c r="C723" s="532"/>
      <c r="D723" s="532"/>
      <c r="E723" s="532"/>
      <c r="F723" s="532"/>
      <c r="G723" s="532"/>
      <c r="H723" s="532"/>
    </row>
    <row r="724" spans="1:8" ht="12.75">
      <c r="A724" s="532"/>
      <c r="B724" s="532"/>
      <c r="C724" s="532"/>
      <c r="D724" s="532"/>
      <c r="E724" s="532"/>
      <c r="F724" s="532"/>
      <c r="G724" s="532"/>
      <c r="H724" s="532"/>
    </row>
    <row r="725" spans="1:8" ht="12.75">
      <c r="A725" s="532"/>
      <c r="B725" s="532"/>
      <c r="C725" s="532"/>
      <c r="D725" s="532"/>
      <c r="E725" s="532"/>
      <c r="F725" s="532"/>
      <c r="G725" s="532"/>
      <c r="H725" s="532"/>
    </row>
    <row r="726" spans="1:8" ht="12.75">
      <c r="A726" s="532"/>
      <c r="B726" s="532"/>
      <c r="C726" s="532"/>
      <c r="D726" s="532"/>
      <c r="E726" s="532"/>
      <c r="F726" s="532"/>
      <c r="G726" s="532"/>
      <c r="H726" s="532"/>
    </row>
    <row r="727" spans="1:8" ht="12.75">
      <c r="A727" s="532"/>
      <c r="B727" s="532"/>
      <c r="C727" s="532"/>
      <c r="D727" s="532"/>
      <c r="E727" s="532"/>
      <c r="F727" s="532"/>
      <c r="G727" s="532"/>
      <c r="H727" s="532"/>
    </row>
    <row r="728" spans="1:8" ht="12.75">
      <c r="A728" s="532"/>
      <c r="B728" s="532"/>
      <c r="C728" s="532"/>
      <c r="D728" s="532"/>
      <c r="E728" s="532"/>
      <c r="F728" s="532"/>
      <c r="G728" s="532"/>
      <c r="H728" s="532"/>
    </row>
    <row r="729" spans="1:8" ht="12.75">
      <c r="A729" s="532"/>
      <c r="B729" s="532"/>
      <c r="C729" s="532"/>
      <c r="D729" s="532"/>
      <c r="E729" s="532"/>
      <c r="F729" s="532"/>
      <c r="G729" s="532"/>
      <c r="H729" s="532"/>
    </row>
    <row r="730" spans="1:8" ht="12.75">
      <c r="A730" s="532"/>
      <c r="B730" s="532"/>
      <c r="C730" s="532"/>
      <c r="D730" s="532"/>
      <c r="E730" s="532"/>
      <c r="F730" s="532"/>
      <c r="G730" s="532"/>
      <c r="H730" s="532"/>
    </row>
    <row r="731" spans="1:8" ht="12.75">
      <c r="A731" s="532"/>
      <c r="B731" s="532"/>
      <c r="C731" s="532"/>
      <c r="D731" s="532"/>
      <c r="E731" s="532"/>
      <c r="F731" s="532"/>
      <c r="G731" s="532"/>
      <c r="H731" s="532"/>
    </row>
    <row r="732" spans="1:8" ht="12.75">
      <c r="A732" s="532"/>
      <c r="B732" s="532"/>
      <c r="C732" s="532"/>
      <c r="D732" s="532"/>
      <c r="E732" s="532"/>
      <c r="F732" s="532"/>
      <c r="G732" s="532"/>
      <c r="H732" s="532"/>
    </row>
    <row r="733" spans="1:8" ht="12.75">
      <c r="A733" s="532"/>
      <c r="B733" s="532"/>
      <c r="C733" s="532"/>
      <c r="D733" s="532"/>
      <c r="E733" s="532"/>
      <c r="F733" s="532"/>
      <c r="G733" s="532"/>
      <c r="H733" s="532"/>
    </row>
    <row r="734" spans="1:8" ht="12.75">
      <c r="A734" s="532"/>
      <c r="B734" s="532"/>
      <c r="C734" s="532"/>
      <c r="D734" s="532"/>
      <c r="E734" s="532"/>
      <c r="F734" s="532"/>
      <c r="G734" s="532"/>
      <c r="H734" s="532"/>
    </row>
    <row r="735" spans="1:8" ht="12.75">
      <c r="A735" s="532"/>
      <c r="B735" s="532"/>
      <c r="C735" s="532"/>
      <c r="D735" s="532"/>
      <c r="E735" s="532"/>
      <c r="F735" s="532"/>
      <c r="G735" s="532"/>
      <c r="H735" s="532"/>
    </row>
    <row r="736" spans="1:8" ht="12.75">
      <c r="A736" s="532"/>
      <c r="B736" s="532"/>
      <c r="C736" s="532"/>
      <c r="D736" s="532"/>
      <c r="E736" s="532"/>
      <c r="F736" s="532"/>
      <c r="G736" s="532"/>
      <c r="H736" s="532"/>
    </row>
    <row r="737" spans="1:8" ht="12.75">
      <c r="A737" s="532"/>
      <c r="B737" s="532"/>
      <c r="C737" s="532"/>
      <c r="D737" s="532"/>
      <c r="E737" s="532"/>
      <c r="F737" s="532"/>
      <c r="G737" s="532"/>
      <c r="H737" s="532"/>
    </row>
    <row r="738" spans="1:8" ht="12.75">
      <c r="A738" s="532"/>
      <c r="B738" s="532"/>
      <c r="C738" s="532"/>
      <c r="D738" s="532"/>
      <c r="E738" s="532"/>
      <c r="F738" s="532"/>
      <c r="G738" s="532"/>
      <c r="H738" s="532"/>
    </row>
    <row r="739" spans="1:8" ht="12.75">
      <c r="A739" s="532"/>
      <c r="B739" s="532"/>
      <c r="C739" s="532"/>
      <c r="D739" s="532"/>
      <c r="E739" s="532"/>
      <c r="F739" s="532"/>
      <c r="G739" s="532"/>
      <c r="H739" s="532"/>
    </row>
    <row r="740" spans="1:8" ht="12.75">
      <c r="A740" s="532"/>
      <c r="B740" s="532"/>
      <c r="C740" s="532"/>
      <c r="D740" s="532"/>
      <c r="E740" s="532"/>
      <c r="F740" s="532"/>
      <c r="G740" s="532"/>
      <c r="H740" s="532"/>
    </row>
    <row r="741" spans="1:8" ht="12.75">
      <c r="A741" s="532"/>
      <c r="B741" s="532"/>
      <c r="C741" s="532"/>
      <c r="D741" s="532"/>
      <c r="E741" s="532"/>
      <c r="F741" s="532"/>
      <c r="G741" s="532"/>
      <c r="H741" s="532"/>
    </row>
    <row r="742" spans="1:8" ht="12.75">
      <c r="A742" s="532"/>
      <c r="B742" s="532"/>
      <c r="C742" s="532"/>
      <c r="D742" s="532"/>
      <c r="E742" s="532"/>
      <c r="F742" s="532"/>
      <c r="G742" s="532"/>
      <c r="H742" s="532"/>
    </row>
    <row r="743" spans="1:8" ht="12.75">
      <c r="A743" s="532"/>
      <c r="B743" s="532"/>
      <c r="C743" s="532"/>
      <c r="D743" s="532"/>
      <c r="E743" s="532"/>
      <c r="F743" s="532"/>
      <c r="G743" s="532"/>
      <c r="H743" s="532"/>
    </row>
    <row r="744" spans="1:8" ht="12.75">
      <c r="A744" s="532"/>
      <c r="B744" s="532"/>
      <c r="C744" s="532"/>
      <c r="D744" s="532"/>
      <c r="E744" s="532"/>
      <c r="F744" s="532"/>
      <c r="G744" s="532"/>
      <c r="H744" s="532"/>
    </row>
    <row r="745" spans="1:8" ht="12.75">
      <c r="A745" s="532"/>
      <c r="B745" s="532"/>
      <c r="C745" s="532"/>
      <c r="D745" s="532"/>
      <c r="E745" s="532"/>
      <c r="F745" s="532"/>
      <c r="G745" s="532"/>
      <c r="H745" s="532"/>
    </row>
    <row r="746" spans="1:8" ht="12.75">
      <c r="A746" s="532"/>
      <c r="B746" s="532"/>
      <c r="C746" s="532"/>
      <c r="D746" s="532"/>
      <c r="E746" s="532"/>
      <c r="F746" s="532"/>
      <c r="G746" s="532"/>
      <c r="H746" s="532"/>
    </row>
    <row r="747" spans="1:8" ht="12.75">
      <c r="A747" s="532"/>
      <c r="B747" s="532"/>
      <c r="C747" s="532"/>
      <c r="D747" s="532"/>
      <c r="E747" s="532"/>
      <c r="F747" s="532"/>
      <c r="G747" s="532"/>
      <c r="H747" s="532"/>
    </row>
    <row r="748" spans="1:8" ht="12.75">
      <c r="A748" s="532"/>
      <c r="B748" s="532"/>
      <c r="C748" s="532"/>
      <c r="D748" s="532"/>
      <c r="E748" s="532"/>
      <c r="F748" s="532"/>
      <c r="G748" s="532"/>
      <c r="H748" s="532"/>
    </row>
    <row r="749" spans="1:8" ht="12.75">
      <c r="A749" s="532"/>
      <c r="B749" s="532"/>
      <c r="C749" s="532"/>
      <c r="D749" s="532"/>
      <c r="E749" s="532"/>
      <c r="F749" s="532"/>
      <c r="G749" s="532"/>
      <c r="H749" s="532"/>
    </row>
    <row r="750" spans="1:8" ht="12.75">
      <c r="A750" s="532"/>
      <c r="B750" s="532"/>
      <c r="C750" s="532"/>
      <c r="D750" s="532"/>
      <c r="E750" s="532"/>
      <c r="F750" s="532"/>
      <c r="G750" s="532"/>
      <c r="H750" s="532"/>
    </row>
    <row r="751" spans="1:8" ht="12.75">
      <c r="A751" s="532"/>
      <c r="B751" s="532"/>
      <c r="C751" s="532"/>
      <c r="D751" s="532"/>
      <c r="E751" s="532"/>
      <c r="F751" s="532"/>
      <c r="G751" s="532"/>
      <c r="H751" s="532"/>
    </row>
    <row r="752" spans="1:8" ht="12.75">
      <c r="A752" s="532"/>
      <c r="B752" s="532"/>
      <c r="C752" s="532"/>
      <c r="D752" s="532"/>
      <c r="E752" s="532"/>
      <c r="F752" s="532"/>
      <c r="G752" s="532"/>
      <c r="H752" s="532"/>
    </row>
    <row r="753" spans="1:8" ht="12.75">
      <c r="A753" s="532"/>
      <c r="B753" s="532"/>
      <c r="C753" s="532"/>
      <c r="D753" s="532"/>
      <c r="E753" s="532"/>
      <c r="F753" s="532"/>
      <c r="G753" s="532"/>
      <c r="H753" s="532"/>
    </row>
    <row r="754" spans="1:8" ht="12.75">
      <c r="A754" s="532"/>
      <c r="B754" s="532"/>
      <c r="C754" s="532"/>
      <c r="D754" s="532"/>
      <c r="E754" s="532"/>
      <c r="F754" s="532"/>
      <c r="G754" s="532"/>
      <c r="H754" s="532"/>
    </row>
    <row r="755" spans="1:8" ht="12.75">
      <c r="A755" s="532"/>
      <c r="B755" s="532"/>
      <c r="C755" s="532"/>
      <c r="D755" s="532"/>
      <c r="E755" s="532"/>
      <c r="F755" s="532"/>
      <c r="G755" s="532"/>
      <c r="H755" s="532"/>
    </row>
    <row r="756" spans="1:8" ht="12.75">
      <c r="A756" s="532"/>
      <c r="B756" s="532"/>
      <c r="C756" s="532"/>
      <c r="D756" s="532"/>
      <c r="E756" s="532"/>
      <c r="F756" s="532"/>
      <c r="G756" s="532"/>
      <c r="H756" s="532"/>
    </row>
    <row r="757" spans="1:8" ht="12.75">
      <c r="A757" s="532"/>
      <c r="B757" s="532"/>
      <c r="C757" s="532"/>
      <c r="D757" s="532"/>
      <c r="E757" s="532"/>
      <c r="F757" s="532"/>
      <c r="G757" s="532"/>
      <c r="H757" s="532"/>
    </row>
    <row r="758" spans="1:8" ht="12.75">
      <c r="A758" s="532"/>
      <c r="B758" s="532"/>
      <c r="C758" s="532"/>
      <c r="D758" s="532"/>
      <c r="E758" s="532"/>
      <c r="F758" s="532"/>
      <c r="G758" s="532"/>
      <c r="H758" s="532"/>
    </row>
    <row r="759" spans="1:8" ht="12.75">
      <c r="A759" s="532"/>
      <c r="B759" s="532"/>
      <c r="C759" s="532"/>
      <c r="D759" s="532"/>
      <c r="E759" s="532"/>
      <c r="F759" s="532"/>
      <c r="G759" s="532"/>
      <c r="H759" s="532"/>
    </row>
    <row r="760" spans="1:8" ht="12.75">
      <c r="A760" s="532"/>
      <c r="B760" s="532"/>
      <c r="C760" s="532"/>
      <c r="D760" s="532"/>
      <c r="E760" s="532"/>
      <c r="F760" s="532"/>
      <c r="G760" s="532"/>
      <c r="H760" s="532"/>
    </row>
    <row r="761" spans="1:8" ht="12.75">
      <c r="A761" s="532"/>
      <c r="B761" s="532"/>
      <c r="C761" s="532"/>
      <c r="D761" s="532"/>
      <c r="E761" s="532"/>
      <c r="F761" s="532"/>
      <c r="G761" s="532"/>
      <c r="H761" s="532"/>
    </row>
    <row r="762" spans="1:8" ht="12.75">
      <c r="A762" s="532"/>
      <c r="B762" s="532"/>
      <c r="C762" s="532"/>
      <c r="D762" s="532"/>
      <c r="E762" s="532"/>
      <c r="F762" s="532"/>
      <c r="G762" s="532"/>
      <c r="H762" s="532"/>
    </row>
    <row r="763" spans="1:8" ht="12.75">
      <c r="A763" s="532"/>
      <c r="B763" s="532"/>
      <c r="C763" s="532"/>
      <c r="D763" s="532"/>
      <c r="E763" s="532"/>
      <c r="F763" s="532"/>
      <c r="G763" s="532"/>
      <c r="H763" s="532"/>
    </row>
    <row r="764" spans="1:8" ht="12.75">
      <c r="A764" s="532"/>
      <c r="B764" s="532"/>
      <c r="C764" s="532"/>
      <c r="D764" s="532"/>
      <c r="E764" s="532"/>
      <c r="F764" s="532"/>
      <c r="G764" s="532"/>
      <c r="H764" s="532"/>
    </row>
    <row r="765" spans="1:8" ht="12.75">
      <c r="A765" s="532"/>
      <c r="B765" s="532"/>
      <c r="C765" s="532"/>
      <c r="D765" s="532"/>
      <c r="E765" s="532"/>
      <c r="F765" s="532"/>
      <c r="G765" s="532"/>
      <c r="H765" s="532"/>
    </row>
    <row r="766" spans="1:8" ht="12.75">
      <c r="A766" s="532"/>
      <c r="B766" s="532"/>
      <c r="C766" s="532"/>
      <c r="D766" s="532"/>
      <c r="E766" s="532"/>
      <c r="F766" s="532"/>
      <c r="G766" s="532"/>
      <c r="H766" s="532"/>
    </row>
    <row r="767" spans="1:8" ht="12.75">
      <c r="A767" s="532"/>
      <c r="B767" s="532"/>
      <c r="C767" s="532"/>
      <c r="D767" s="532"/>
      <c r="E767" s="532"/>
      <c r="F767" s="532"/>
      <c r="G767" s="532"/>
      <c r="H767" s="532"/>
    </row>
    <row r="768" spans="1:8" ht="12.75">
      <c r="A768" s="532"/>
      <c r="B768" s="532"/>
      <c r="C768" s="532"/>
      <c r="D768" s="532"/>
      <c r="E768" s="532"/>
      <c r="F768" s="532"/>
      <c r="G768" s="532"/>
      <c r="H768" s="532"/>
    </row>
    <row r="769" spans="1:8" ht="12.75">
      <c r="A769" s="532"/>
      <c r="B769" s="532"/>
      <c r="C769" s="532"/>
      <c r="D769" s="532"/>
      <c r="E769" s="532"/>
      <c r="F769" s="532"/>
      <c r="G769" s="532"/>
      <c r="H769" s="532"/>
    </row>
    <row r="770" spans="1:8" ht="12.75">
      <c r="A770" s="532"/>
      <c r="B770" s="532"/>
      <c r="C770" s="532"/>
      <c r="D770" s="532"/>
      <c r="E770" s="532"/>
      <c r="F770" s="532"/>
      <c r="G770" s="532"/>
      <c r="H770" s="532"/>
    </row>
    <row r="771" spans="1:8" ht="12.75">
      <c r="A771" s="532"/>
      <c r="B771" s="532"/>
      <c r="C771" s="532"/>
      <c r="D771" s="532"/>
      <c r="E771" s="532"/>
      <c r="F771" s="532"/>
      <c r="G771" s="532"/>
      <c r="H771" s="532"/>
    </row>
    <row r="772" spans="1:8" ht="12.75">
      <c r="A772" s="532"/>
      <c r="B772" s="532"/>
      <c r="C772" s="532"/>
      <c r="D772" s="532"/>
      <c r="E772" s="532"/>
      <c r="F772" s="532"/>
      <c r="G772" s="532"/>
      <c r="H772" s="532"/>
    </row>
    <row r="773" spans="1:8" ht="12.75">
      <c r="A773" s="532"/>
      <c r="B773" s="532"/>
      <c r="C773" s="532"/>
      <c r="D773" s="532"/>
      <c r="E773" s="532"/>
      <c r="F773" s="532"/>
      <c r="G773" s="532"/>
      <c r="H773" s="532"/>
    </row>
    <row r="774" spans="1:8" ht="12.75">
      <c r="A774" s="532"/>
      <c r="B774" s="532"/>
      <c r="C774" s="532"/>
      <c r="D774" s="532"/>
      <c r="E774" s="532"/>
      <c r="F774" s="532"/>
      <c r="G774" s="532"/>
      <c r="H774" s="532"/>
    </row>
    <row r="775" spans="1:8" ht="12.75">
      <c r="A775" s="532"/>
      <c r="B775" s="532"/>
      <c r="C775" s="532"/>
      <c r="D775" s="532"/>
      <c r="E775" s="532"/>
      <c r="F775" s="532"/>
      <c r="G775" s="532"/>
      <c r="H775" s="532"/>
    </row>
    <row r="776" spans="1:8" ht="12.75">
      <c r="A776" s="532"/>
      <c r="B776" s="532"/>
      <c r="C776" s="532"/>
      <c r="D776" s="532"/>
      <c r="E776" s="532"/>
      <c r="F776" s="532"/>
      <c r="G776" s="532"/>
      <c r="H776" s="532"/>
    </row>
    <row r="777" spans="1:8" ht="12.75">
      <c r="A777" s="532"/>
      <c r="B777" s="532"/>
      <c r="C777" s="532"/>
      <c r="D777" s="532"/>
      <c r="E777" s="532"/>
      <c r="F777" s="532"/>
      <c r="G777" s="532"/>
      <c r="H777" s="532"/>
    </row>
    <row r="778" spans="1:8" ht="12.75">
      <c r="A778" s="532"/>
      <c r="B778" s="532"/>
      <c r="C778" s="532"/>
      <c r="D778" s="532"/>
      <c r="E778" s="532"/>
      <c r="F778" s="532"/>
      <c r="G778" s="532"/>
      <c r="H778" s="532"/>
    </row>
    <row r="779" spans="1:8" ht="12.75">
      <c r="A779" s="532"/>
      <c r="B779" s="532"/>
      <c r="C779" s="532"/>
      <c r="D779" s="532"/>
      <c r="E779" s="532"/>
      <c r="F779" s="532"/>
      <c r="G779" s="532"/>
      <c r="H779" s="532"/>
    </row>
    <row r="780" spans="1:8" ht="12.75">
      <c r="A780" s="532"/>
      <c r="B780" s="532"/>
      <c r="C780" s="532"/>
      <c r="D780" s="532"/>
      <c r="E780" s="532"/>
      <c r="F780" s="532"/>
      <c r="G780" s="532"/>
      <c r="H780" s="532"/>
    </row>
    <row r="781" spans="1:8" ht="12.75">
      <c r="A781" s="532"/>
      <c r="B781" s="532"/>
      <c r="C781" s="532"/>
      <c r="D781" s="532"/>
      <c r="E781" s="532"/>
      <c r="F781" s="532"/>
      <c r="G781" s="532"/>
      <c r="H781" s="532"/>
    </row>
    <row r="782" spans="1:8" ht="12.75">
      <c r="A782" s="532"/>
      <c r="B782" s="532"/>
      <c r="C782" s="532"/>
      <c r="D782" s="532"/>
      <c r="E782" s="532"/>
      <c r="F782" s="532"/>
      <c r="G782" s="532"/>
      <c r="H782" s="532"/>
    </row>
    <row r="783" spans="1:8" ht="12.75">
      <c r="A783" s="532"/>
      <c r="B783" s="532"/>
      <c r="C783" s="532"/>
      <c r="D783" s="532"/>
      <c r="E783" s="532"/>
      <c r="F783" s="532"/>
      <c r="G783" s="532"/>
      <c r="H783" s="532"/>
    </row>
    <row r="784" spans="1:8" ht="12.75">
      <c r="A784" s="532"/>
      <c r="B784" s="532"/>
      <c r="C784" s="532"/>
      <c r="D784" s="532"/>
      <c r="E784" s="532"/>
      <c r="F784" s="532"/>
      <c r="G784" s="532"/>
      <c r="H784" s="532"/>
    </row>
    <row r="785" spans="1:8" ht="12.75">
      <c r="A785" s="532"/>
      <c r="B785" s="532"/>
      <c r="C785" s="532"/>
      <c r="D785" s="532"/>
      <c r="E785" s="532"/>
      <c r="F785" s="532"/>
      <c r="G785" s="532"/>
      <c r="H785" s="532"/>
    </row>
    <row r="786" spans="1:8" ht="12.75">
      <c r="A786" s="532"/>
      <c r="B786" s="532"/>
      <c r="C786" s="532"/>
      <c r="D786" s="532"/>
      <c r="E786" s="532"/>
      <c r="F786" s="532"/>
      <c r="G786" s="532"/>
      <c r="H786" s="532"/>
    </row>
    <row r="787" spans="1:8" ht="12.75">
      <c r="A787" s="532"/>
      <c r="B787" s="532"/>
      <c r="C787" s="532"/>
      <c r="D787" s="532"/>
      <c r="E787" s="532"/>
      <c r="F787" s="532"/>
      <c r="G787" s="532"/>
      <c r="H787" s="532"/>
    </row>
    <row r="788" spans="1:8" ht="12.75">
      <c r="A788" s="532"/>
      <c r="B788" s="532"/>
      <c r="C788" s="532"/>
      <c r="D788" s="532"/>
      <c r="E788" s="532"/>
      <c r="F788" s="532"/>
      <c r="G788" s="532"/>
      <c r="H788" s="532"/>
    </row>
    <row r="789" spans="1:8" ht="12.75">
      <c r="A789" s="532"/>
      <c r="B789" s="532"/>
      <c r="C789" s="532"/>
      <c r="D789" s="532"/>
      <c r="E789" s="532"/>
      <c r="F789" s="532"/>
      <c r="G789" s="532"/>
      <c r="H789" s="532"/>
    </row>
    <row r="790" spans="1:8" ht="12.75">
      <c r="A790" s="532"/>
      <c r="B790" s="532"/>
      <c r="C790" s="532"/>
      <c r="D790" s="532"/>
      <c r="E790" s="532"/>
      <c r="F790" s="532"/>
      <c r="G790" s="532"/>
      <c r="H790" s="532"/>
    </row>
    <row r="791" spans="1:8" ht="12.75">
      <c r="A791" s="532"/>
      <c r="B791" s="532"/>
      <c r="C791" s="532"/>
      <c r="D791" s="532"/>
      <c r="E791" s="532"/>
      <c r="F791" s="532"/>
      <c r="G791" s="532"/>
      <c r="H791" s="532"/>
    </row>
    <row r="792" spans="1:8" ht="12.75">
      <c r="A792" s="532"/>
      <c r="B792" s="532"/>
      <c r="C792" s="532"/>
      <c r="D792" s="532"/>
      <c r="E792" s="532"/>
      <c r="F792" s="532"/>
      <c r="G792" s="532"/>
      <c r="H792" s="532"/>
    </row>
    <row r="793" spans="1:8" ht="12.75">
      <c r="A793" s="532"/>
      <c r="B793" s="532"/>
      <c r="C793" s="532"/>
      <c r="D793" s="532"/>
      <c r="E793" s="532"/>
      <c r="F793" s="532"/>
      <c r="G793" s="532"/>
      <c r="H793" s="532"/>
    </row>
    <row r="794" spans="1:8" ht="12.75">
      <c r="A794" s="532"/>
      <c r="B794" s="532"/>
      <c r="C794" s="532"/>
      <c r="D794" s="532"/>
      <c r="E794" s="532"/>
      <c r="F794" s="532"/>
      <c r="G794" s="532"/>
      <c r="H794" s="532"/>
    </row>
    <row r="795" spans="1:8" ht="12.75">
      <c r="A795" s="532"/>
      <c r="B795" s="532"/>
      <c r="C795" s="532"/>
      <c r="D795" s="532"/>
      <c r="E795" s="532"/>
      <c r="F795" s="532"/>
      <c r="G795" s="532"/>
      <c r="H795" s="532"/>
    </row>
    <row r="796" spans="1:8" ht="12.75">
      <c r="A796" s="532"/>
      <c r="B796" s="532"/>
      <c r="C796" s="532"/>
      <c r="D796" s="532"/>
      <c r="E796" s="532"/>
      <c r="F796" s="532"/>
      <c r="G796" s="532"/>
      <c r="H796" s="532"/>
    </row>
    <row r="797" spans="1:8" ht="12.75">
      <c r="A797" s="532"/>
      <c r="B797" s="532"/>
      <c r="C797" s="532"/>
      <c r="D797" s="532"/>
      <c r="E797" s="532"/>
      <c r="F797" s="532"/>
      <c r="G797" s="532"/>
      <c r="H797" s="532"/>
    </row>
    <row r="798" spans="1:8" ht="12.75">
      <c r="A798" s="532"/>
      <c r="B798" s="532"/>
      <c r="C798" s="532"/>
      <c r="D798" s="532"/>
      <c r="E798" s="532"/>
      <c r="F798" s="532"/>
      <c r="G798" s="532"/>
      <c r="H798" s="532"/>
    </row>
    <row r="799" spans="1:8" ht="12.75">
      <c r="A799" s="532"/>
      <c r="B799" s="532"/>
      <c r="C799" s="532"/>
      <c r="D799" s="532"/>
      <c r="E799" s="532"/>
      <c r="F799" s="532"/>
      <c r="G799" s="532"/>
      <c r="H799" s="532"/>
    </row>
    <row r="800" spans="1:8" ht="12.75">
      <c r="A800" s="532"/>
      <c r="B800" s="532"/>
      <c r="C800" s="532"/>
      <c r="D800" s="532"/>
      <c r="E800" s="532"/>
      <c r="F800" s="532"/>
      <c r="G800" s="532"/>
      <c r="H800" s="532"/>
    </row>
    <row r="801" spans="1:8" ht="12.75">
      <c r="A801" s="532"/>
      <c r="B801" s="532"/>
      <c r="C801" s="532"/>
      <c r="D801" s="532"/>
      <c r="E801" s="532"/>
      <c r="F801" s="532"/>
      <c r="G801" s="532"/>
      <c r="H801" s="532"/>
    </row>
    <row r="802" spans="1:8" ht="12.75">
      <c r="A802" s="532"/>
      <c r="B802" s="532"/>
      <c r="C802" s="532"/>
      <c r="D802" s="532"/>
      <c r="E802" s="532"/>
      <c r="F802" s="532"/>
      <c r="G802" s="532"/>
      <c r="H802" s="532"/>
    </row>
    <row r="803" spans="1:8" ht="12.75">
      <c r="A803" s="532"/>
      <c r="B803" s="532"/>
      <c r="C803" s="532"/>
      <c r="D803" s="532"/>
      <c r="E803" s="532"/>
      <c r="F803" s="532"/>
      <c r="G803" s="532"/>
      <c r="H803" s="532"/>
    </row>
    <row r="804" spans="1:8" ht="12.75">
      <c r="A804" s="532"/>
      <c r="B804" s="532"/>
      <c r="C804" s="532"/>
      <c r="D804" s="532"/>
      <c r="E804" s="532"/>
      <c r="F804" s="532"/>
      <c r="G804" s="532"/>
      <c r="H804" s="532"/>
    </row>
    <row r="805" spans="1:8" ht="12.75">
      <c r="A805" s="532"/>
      <c r="B805" s="532"/>
      <c r="C805" s="532"/>
      <c r="D805" s="532"/>
      <c r="E805" s="532"/>
      <c r="F805" s="532"/>
      <c r="G805" s="532"/>
      <c r="H805" s="532"/>
    </row>
    <row r="806" spans="1:8" ht="12.75">
      <c r="A806" s="532"/>
      <c r="B806" s="532"/>
      <c r="C806" s="532"/>
      <c r="D806" s="532"/>
      <c r="E806" s="532"/>
      <c r="F806" s="532"/>
      <c r="G806" s="532"/>
      <c r="H806" s="532"/>
    </row>
    <row r="807" spans="1:8" ht="12.75">
      <c r="A807" s="532"/>
      <c r="B807" s="532"/>
      <c r="C807" s="532"/>
      <c r="D807" s="532"/>
      <c r="E807" s="532"/>
      <c r="F807" s="532"/>
      <c r="G807" s="532"/>
      <c r="H807" s="532"/>
    </row>
    <row r="808" spans="1:8" ht="12.75">
      <c r="A808" s="532"/>
      <c r="B808" s="532"/>
      <c r="C808" s="532"/>
      <c r="D808" s="532"/>
      <c r="E808" s="532"/>
      <c r="F808" s="532"/>
      <c r="G808" s="532"/>
      <c r="H808" s="532"/>
    </row>
    <row r="809" spans="1:8" ht="12.75">
      <c r="A809" s="532"/>
      <c r="B809" s="532"/>
      <c r="C809" s="532"/>
      <c r="D809" s="532"/>
      <c r="E809" s="532"/>
      <c r="F809" s="532"/>
      <c r="G809" s="532"/>
      <c r="H809" s="532"/>
    </row>
    <row r="810" spans="1:8" ht="12.75">
      <c r="A810" s="532"/>
      <c r="B810" s="532"/>
      <c r="C810" s="532"/>
      <c r="D810" s="532"/>
      <c r="E810" s="532"/>
      <c r="F810" s="532"/>
      <c r="G810" s="532"/>
      <c r="H810" s="532"/>
    </row>
    <row r="811" spans="1:8" ht="12.75">
      <c r="A811" s="532"/>
      <c r="B811" s="532"/>
      <c r="C811" s="532"/>
      <c r="D811" s="532"/>
      <c r="E811" s="532"/>
      <c r="F811" s="532"/>
      <c r="G811" s="532"/>
      <c r="H811" s="532"/>
    </row>
    <row r="812" spans="1:8" ht="12.75">
      <c r="A812" s="532"/>
      <c r="B812" s="532"/>
      <c r="C812" s="532"/>
      <c r="D812" s="532"/>
      <c r="E812" s="532"/>
      <c r="F812" s="532"/>
      <c r="G812" s="532"/>
      <c r="H812" s="532"/>
    </row>
    <row r="813" spans="1:8" ht="12.75">
      <c r="A813" s="532"/>
      <c r="B813" s="532"/>
      <c r="C813" s="532"/>
      <c r="D813" s="532"/>
      <c r="E813" s="532"/>
      <c r="F813" s="532"/>
      <c r="G813" s="532"/>
      <c r="H813" s="532"/>
    </row>
    <row r="814" spans="1:8" ht="12.75">
      <c r="A814" s="532"/>
      <c r="B814" s="532"/>
      <c r="C814" s="532"/>
      <c r="D814" s="532"/>
      <c r="E814" s="532"/>
      <c r="F814" s="532"/>
      <c r="G814" s="532"/>
      <c r="H814" s="532"/>
    </row>
    <row r="815" spans="1:8" ht="12.75">
      <c r="A815" s="532"/>
      <c r="B815" s="532"/>
      <c r="C815" s="532"/>
      <c r="D815" s="532"/>
      <c r="E815" s="532"/>
      <c r="F815" s="532"/>
      <c r="G815" s="532"/>
      <c r="H815" s="532"/>
    </row>
    <row r="816" spans="1:8" ht="12.75">
      <c r="A816" s="532"/>
      <c r="B816" s="532"/>
      <c r="C816" s="532"/>
      <c r="D816" s="532"/>
      <c r="E816" s="532"/>
      <c r="F816" s="532"/>
      <c r="G816" s="532"/>
      <c r="H816" s="532"/>
    </row>
    <row r="817" spans="1:8" ht="12.75">
      <c r="A817" s="532"/>
      <c r="B817" s="532"/>
      <c r="C817" s="532"/>
      <c r="D817" s="532"/>
      <c r="E817" s="532"/>
      <c r="F817" s="532"/>
      <c r="G817" s="532"/>
      <c r="H817" s="532"/>
    </row>
    <row r="818" spans="1:8" ht="12.75">
      <c r="A818" s="532"/>
      <c r="B818" s="532"/>
      <c r="C818" s="532"/>
      <c r="D818" s="532"/>
      <c r="E818" s="532"/>
      <c r="F818" s="532"/>
      <c r="G818" s="532"/>
      <c r="H818" s="532"/>
    </row>
    <row r="819" spans="1:8" ht="12.75">
      <c r="A819" s="532"/>
      <c r="B819" s="532"/>
      <c r="C819" s="532"/>
      <c r="D819" s="532"/>
      <c r="E819" s="532"/>
      <c r="F819" s="532"/>
      <c r="G819" s="532"/>
      <c r="H819" s="532"/>
    </row>
    <row r="820" spans="1:8" ht="12.75">
      <c r="A820" s="532"/>
      <c r="B820" s="532"/>
      <c r="C820" s="532"/>
      <c r="D820" s="532"/>
      <c r="E820" s="532"/>
      <c r="F820" s="532"/>
      <c r="G820" s="532"/>
      <c r="H820" s="532"/>
    </row>
    <row r="821" spans="1:8" ht="12.75">
      <c r="A821" s="532"/>
      <c r="B821" s="532"/>
      <c r="C821" s="532"/>
      <c r="D821" s="532"/>
      <c r="E821" s="532"/>
      <c r="F821" s="532"/>
      <c r="G821" s="532"/>
      <c r="H821" s="532"/>
    </row>
    <row r="822" spans="1:8" ht="12.75">
      <c r="A822" s="532"/>
      <c r="B822" s="532"/>
      <c r="C822" s="532"/>
      <c r="D822" s="532"/>
      <c r="E822" s="532"/>
      <c r="F822" s="532"/>
      <c r="G822" s="532"/>
      <c r="H822" s="532"/>
    </row>
    <row r="823" spans="1:8" ht="12.75">
      <c r="A823" s="532"/>
      <c r="B823" s="532"/>
      <c r="C823" s="532"/>
      <c r="D823" s="532"/>
      <c r="E823" s="532"/>
      <c r="F823" s="532"/>
      <c r="G823" s="532"/>
      <c r="H823" s="532"/>
    </row>
    <row r="824" spans="1:8" ht="12.75">
      <c r="A824" s="532"/>
      <c r="B824" s="532"/>
      <c r="C824" s="532"/>
      <c r="D824" s="532"/>
      <c r="E824" s="532"/>
      <c r="F824" s="532"/>
      <c r="G824" s="532"/>
      <c r="H824" s="532"/>
    </row>
    <row r="825" spans="1:8" ht="12.75">
      <c r="A825" s="532"/>
      <c r="B825" s="532"/>
      <c r="C825" s="532"/>
      <c r="D825" s="532"/>
      <c r="E825" s="532"/>
      <c r="F825" s="532"/>
      <c r="G825" s="532"/>
      <c r="H825" s="532"/>
    </row>
    <row r="826" spans="1:8" ht="12.75">
      <c r="A826" s="532"/>
      <c r="B826" s="532"/>
      <c r="C826" s="532"/>
      <c r="D826" s="532"/>
      <c r="E826" s="532"/>
      <c r="F826" s="532"/>
      <c r="G826" s="532"/>
      <c r="H826" s="532"/>
    </row>
    <row r="827" spans="1:8" ht="12.75">
      <c r="A827" s="532"/>
      <c r="B827" s="532"/>
      <c r="C827" s="532"/>
      <c r="D827" s="532"/>
      <c r="E827" s="532"/>
      <c r="F827" s="532"/>
      <c r="G827" s="532"/>
      <c r="H827" s="532"/>
    </row>
    <row r="828" spans="1:8" ht="12.75">
      <c r="A828" s="532"/>
      <c r="B828" s="532"/>
      <c r="C828" s="532"/>
      <c r="D828" s="532"/>
      <c r="E828" s="532"/>
      <c r="F828" s="532"/>
      <c r="G828" s="532"/>
      <c r="H828" s="532"/>
    </row>
    <row r="829" spans="1:8" ht="12.75">
      <c r="A829" s="532"/>
      <c r="B829" s="532"/>
      <c r="C829" s="532"/>
      <c r="D829" s="532"/>
      <c r="E829" s="532"/>
      <c r="F829" s="532"/>
      <c r="G829" s="532"/>
      <c r="H829" s="532"/>
    </row>
    <row r="830" spans="1:8" ht="12.75">
      <c r="A830" s="532"/>
      <c r="B830" s="532"/>
      <c r="C830" s="532"/>
      <c r="D830" s="532"/>
      <c r="E830" s="532"/>
      <c r="F830" s="532"/>
      <c r="G830" s="532"/>
      <c r="H830" s="532"/>
    </row>
    <row r="831" spans="1:8" ht="12.75">
      <c r="A831" s="532"/>
      <c r="B831" s="532"/>
      <c r="C831" s="532"/>
      <c r="D831" s="532"/>
      <c r="E831" s="532"/>
      <c r="F831" s="532"/>
      <c r="G831" s="532"/>
      <c r="H831" s="532"/>
    </row>
    <row r="832" spans="1:8" ht="12.75">
      <c r="A832" s="532"/>
      <c r="B832" s="532"/>
      <c r="C832" s="532"/>
      <c r="D832" s="532"/>
      <c r="E832" s="532"/>
      <c r="F832" s="532"/>
      <c r="G832" s="532"/>
      <c r="H832" s="532"/>
    </row>
    <row r="833" spans="1:8" ht="12.75">
      <c r="A833" s="532"/>
      <c r="B833" s="532"/>
      <c r="C833" s="532"/>
      <c r="D833" s="532"/>
      <c r="E833" s="532"/>
      <c r="F833" s="532"/>
      <c r="G833" s="532"/>
      <c r="H833" s="532"/>
    </row>
    <row r="834" spans="1:8" ht="12.75">
      <c r="A834" s="532"/>
      <c r="B834" s="532"/>
      <c r="C834" s="532"/>
      <c r="D834" s="532"/>
      <c r="E834" s="532"/>
      <c r="F834" s="532"/>
      <c r="G834" s="532"/>
      <c r="H834" s="532"/>
    </row>
    <row r="835" spans="1:8" ht="12.75">
      <c r="A835" s="532"/>
      <c r="B835" s="532"/>
      <c r="C835" s="532"/>
      <c r="D835" s="532"/>
      <c r="E835" s="532"/>
      <c r="F835" s="532"/>
      <c r="G835" s="532"/>
      <c r="H835" s="532"/>
    </row>
    <row r="836" spans="1:8" ht="12.75">
      <c r="A836" s="532"/>
      <c r="B836" s="532"/>
      <c r="C836" s="532"/>
      <c r="D836" s="532"/>
      <c r="E836" s="532"/>
      <c r="F836" s="532"/>
      <c r="G836" s="532"/>
      <c r="H836" s="532"/>
    </row>
    <row r="837" spans="1:8" ht="12.75">
      <c r="A837" s="532"/>
      <c r="B837" s="532"/>
      <c r="C837" s="532"/>
      <c r="D837" s="532"/>
      <c r="E837" s="532"/>
      <c r="F837" s="532"/>
      <c r="G837" s="532"/>
      <c r="H837" s="532"/>
    </row>
    <row r="838" spans="1:8" ht="12.75">
      <c r="A838" s="532"/>
      <c r="B838" s="532"/>
      <c r="C838" s="532"/>
      <c r="D838" s="532"/>
      <c r="E838" s="532"/>
      <c r="F838" s="532"/>
      <c r="G838" s="532"/>
      <c r="H838" s="532"/>
    </row>
    <row r="839" spans="1:8" ht="12.75">
      <c r="A839" s="532"/>
      <c r="B839" s="532"/>
      <c r="C839" s="532"/>
      <c r="D839" s="532"/>
      <c r="E839" s="532"/>
      <c r="F839" s="532"/>
      <c r="G839" s="532"/>
      <c r="H839" s="532"/>
    </row>
    <row r="840" spans="1:8" ht="12.75">
      <c r="A840" s="532"/>
      <c r="B840" s="532"/>
      <c r="C840" s="532"/>
      <c r="D840" s="532"/>
      <c r="E840" s="532"/>
      <c r="F840" s="532"/>
      <c r="G840" s="532"/>
      <c r="H840" s="532"/>
    </row>
    <row r="841" spans="1:8" ht="12.75">
      <c r="A841" s="532"/>
      <c r="B841" s="532"/>
      <c r="C841" s="532"/>
      <c r="D841" s="532"/>
      <c r="E841" s="532"/>
      <c r="F841" s="532"/>
      <c r="G841" s="532"/>
      <c r="H841" s="532"/>
    </row>
    <row r="842" spans="1:8" ht="12.75">
      <c r="A842" s="532"/>
      <c r="B842" s="532"/>
      <c r="C842" s="532"/>
      <c r="D842" s="532"/>
      <c r="E842" s="532"/>
      <c r="F842" s="532"/>
      <c r="G842" s="532"/>
      <c r="H842" s="532"/>
    </row>
    <row r="843" spans="1:8" ht="12.75">
      <c r="A843" s="532"/>
      <c r="B843" s="532"/>
      <c r="C843" s="532"/>
      <c r="D843" s="532"/>
      <c r="E843" s="532"/>
      <c r="F843" s="532"/>
      <c r="G843" s="532"/>
      <c r="H843" s="532"/>
    </row>
    <row r="844" spans="1:8" ht="12.75">
      <c r="A844" s="532"/>
      <c r="B844" s="532"/>
      <c r="C844" s="532"/>
      <c r="D844" s="532"/>
      <c r="E844" s="532"/>
      <c r="F844" s="532"/>
      <c r="G844" s="532"/>
      <c r="H844" s="532"/>
    </row>
    <row r="845" spans="1:8" ht="12.75">
      <c r="A845" s="532"/>
      <c r="B845" s="532"/>
      <c r="C845" s="532"/>
      <c r="D845" s="532"/>
      <c r="E845" s="532"/>
      <c r="F845" s="532"/>
      <c r="G845" s="532"/>
      <c r="H845" s="532"/>
    </row>
    <row r="846" spans="1:8" ht="12.75">
      <c r="A846" s="532"/>
      <c r="B846" s="532"/>
      <c r="C846" s="532"/>
      <c r="D846" s="532"/>
      <c r="E846" s="532"/>
      <c r="F846" s="532"/>
      <c r="G846" s="532"/>
      <c r="H846" s="532"/>
    </row>
    <row r="847" spans="1:8" ht="12.75">
      <c r="A847" s="532"/>
      <c r="B847" s="532"/>
      <c r="C847" s="532"/>
      <c r="D847" s="532"/>
      <c r="E847" s="532"/>
      <c r="F847" s="532"/>
      <c r="G847" s="532"/>
      <c r="H847" s="532"/>
    </row>
    <row r="848" spans="1:8" ht="12.75">
      <c r="A848" s="532"/>
      <c r="B848" s="532"/>
      <c r="C848" s="532"/>
      <c r="D848" s="532"/>
      <c r="E848" s="532"/>
      <c r="F848" s="532"/>
      <c r="G848" s="532"/>
      <c r="H848" s="532"/>
    </row>
    <row r="849" spans="1:8" ht="12.75">
      <c r="A849" s="532"/>
      <c r="B849" s="532"/>
      <c r="C849" s="532"/>
      <c r="D849" s="532"/>
      <c r="E849" s="532"/>
      <c r="F849" s="532"/>
      <c r="G849" s="532"/>
      <c r="H849" s="532"/>
    </row>
    <row r="850" spans="1:8" ht="12.75">
      <c r="A850" s="532"/>
      <c r="B850" s="532"/>
      <c r="C850" s="532"/>
      <c r="D850" s="532"/>
      <c r="E850" s="532"/>
      <c r="F850" s="532"/>
      <c r="G850" s="532"/>
      <c r="H850" s="532"/>
    </row>
    <row r="851" spans="1:8" ht="12.75">
      <c r="A851" s="532"/>
      <c r="B851" s="532"/>
      <c r="C851" s="532"/>
      <c r="D851" s="532"/>
      <c r="E851" s="532"/>
      <c r="F851" s="532"/>
      <c r="G851" s="532"/>
      <c r="H851" s="532"/>
    </row>
    <row r="852" spans="1:8" ht="12.75">
      <c r="A852" s="532"/>
      <c r="B852" s="532"/>
      <c r="C852" s="532"/>
      <c r="D852" s="532"/>
      <c r="E852" s="532"/>
      <c r="F852" s="532"/>
      <c r="G852" s="532"/>
      <c r="H852" s="532"/>
    </row>
    <row r="853" spans="1:8" ht="12.75">
      <c r="A853" s="532"/>
      <c r="B853" s="532"/>
      <c r="C853" s="532"/>
      <c r="D853" s="532"/>
      <c r="E853" s="532"/>
      <c r="F853" s="532"/>
      <c r="G853" s="532"/>
      <c r="H853" s="532"/>
    </row>
    <row r="854" spans="1:8" ht="12.75">
      <c r="A854" s="532"/>
      <c r="B854" s="532"/>
      <c r="C854" s="532"/>
      <c r="D854" s="532"/>
      <c r="E854" s="532"/>
      <c r="F854" s="532"/>
      <c r="G854" s="532"/>
      <c r="H854" s="532"/>
    </row>
    <row r="855" spans="1:8" ht="12.75">
      <c r="A855" s="532"/>
      <c r="B855" s="532"/>
      <c r="C855" s="532"/>
      <c r="D855" s="532"/>
      <c r="E855" s="532"/>
      <c r="F855" s="532"/>
      <c r="G855" s="532"/>
      <c r="H855" s="532"/>
    </row>
    <row r="856" spans="1:8" ht="12.75">
      <c r="A856" s="532"/>
      <c r="B856" s="532"/>
      <c r="C856" s="532"/>
      <c r="D856" s="532"/>
      <c r="E856" s="532"/>
      <c r="F856" s="532"/>
      <c r="G856" s="532"/>
      <c r="H856" s="532"/>
    </row>
    <row r="857" spans="1:8" ht="12.75">
      <c r="A857" s="532"/>
      <c r="B857" s="532"/>
      <c r="C857" s="532"/>
      <c r="D857" s="532"/>
      <c r="E857" s="532"/>
      <c r="F857" s="532"/>
      <c r="G857" s="532"/>
      <c r="H857" s="532"/>
    </row>
    <row r="858" spans="1:8" ht="12.75">
      <c r="A858" s="532"/>
      <c r="B858" s="532"/>
      <c r="C858" s="532"/>
      <c r="D858" s="532"/>
      <c r="E858" s="532"/>
      <c r="F858" s="532"/>
      <c r="G858" s="532"/>
      <c r="H858" s="532"/>
    </row>
    <row r="859" spans="1:8" ht="12.75">
      <c r="A859" s="532"/>
      <c r="B859" s="532"/>
      <c r="C859" s="532"/>
      <c r="D859" s="532"/>
      <c r="E859" s="532"/>
      <c r="F859" s="532"/>
      <c r="G859" s="532"/>
      <c r="H859" s="532"/>
    </row>
    <row r="860" spans="1:8" ht="12.75">
      <c r="A860" s="532"/>
      <c r="B860" s="532"/>
      <c r="C860" s="532"/>
      <c r="D860" s="532"/>
      <c r="E860" s="532"/>
      <c r="F860" s="532"/>
      <c r="G860" s="532"/>
      <c r="H860" s="532"/>
    </row>
    <row r="861" spans="1:8" ht="12.75">
      <c r="A861" s="532"/>
      <c r="B861" s="532"/>
      <c r="C861" s="532"/>
      <c r="D861" s="532"/>
      <c r="E861" s="532"/>
      <c r="F861" s="532"/>
      <c r="G861" s="532"/>
      <c r="H861" s="532"/>
    </row>
    <row r="862" spans="1:8" ht="12.75">
      <c r="A862" s="532"/>
      <c r="B862" s="532"/>
      <c r="C862" s="532"/>
      <c r="D862" s="532"/>
      <c r="E862" s="532"/>
      <c r="F862" s="532"/>
      <c r="G862" s="532"/>
      <c r="H862" s="532"/>
    </row>
    <row r="863" spans="1:8" ht="12.75">
      <c r="A863" s="532"/>
      <c r="B863" s="532"/>
      <c r="C863" s="532"/>
      <c r="D863" s="532"/>
      <c r="E863" s="532"/>
      <c r="F863" s="532"/>
      <c r="G863" s="532"/>
      <c r="H863" s="532"/>
    </row>
    <row r="864" spans="1:8" ht="12.75">
      <c r="A864" s="532"/>
      <c r="B864" s="532"/>
      <c r="C864" s="532"/>
      <c r="D864" s="532"/>
      <c r="E864" s="532"/>
      <c r="F864" s="532"/>
      <c r="G864" s="532"/>
      <c r="H864" s="532"/>
    </row>
    <row r="865" spans="1:8" ht="12.75">
      <c r="A865" s="532"/>
      <c r="B865" s="532"/>
      <c r="C865" s="532"/>
      <c r="D865" s="532"/>
      <c r="E865" s="532"/>
      <c r="F865" s="532"/>
      <c r="G865" s="532"/>
      <c r="H865" s="532"/>
    </row>
    <row r="866" spans="1:8" ht="12.75">
      <c r="A866" s="532"/>
      <c r="B866" s="532"/>
      <c r="C866" s="532"/>
      <c r="D866" s="532"/>
      <c r="E866" s="532"/>
      <c r="F866" s="532"/>
      <c r="G866" s="532"/>
      <c r="H866" s="532"/>
    </row>
    <row r="867" spans="1:8" ht="12.75">
      <c r="A867" s="532"/>
      <c r="B867" s="532"/>
      <c r="C867" s="532"/>
      <c r="D867" s="532"/>
      <c r="E867" s="532"/>
      <c r="F867" s="532"/>
      <c r="G867" s="532"/>
      <c r="H867" s="532"/>
    </row>
    <row r="868" spans="1:8" ht="12.75">
      <c r="A868" s="532"/>
      <c r="B868" s="532"/>
      <c r="C868" s="532"/>
      <c r="D868" s="532"/>
      <c r="E868" s="532"/>
      <c r="F868" s="532"/>
      <c r="G868" s="532"/>
      <c r="H868" s="532"/>
    </row>
    <row r="869" spans="1:8" ht="12.75">
      <c r="A869" s="532"/>
      <c r="B869" s="532"/>
      <c r="C869" s="532"/>
      <c r="D869" s="532"/>
      <c r="E869" s="532"/>
      <c r="F869" s="532"/>
      <c r="G869" s="532"/>
      <c r="H869" s="532"/>
    </row>
    <row r="870" spans="1:8" ht="12.75">
      <c r="A870" s="532"/>
      <c r="B870" s="532"/>
      <c r="C870" s="532"/>
      <c r="D870" s="532"/>
      <c r="E870" s="532"/>
      <c r="F870" s="532"/>
      <c r="G870" s="532"/>
      <c r="H870" s="532"/>
    </row>
    <row r="871" spans="1:8" ht="12.75">
      <c r="A871" s="532"/>
      <c r="B871" s="532"/>
      <c r="C871" s="532"/>
      <c r="D871" s="532"/>
      <c r="E871" s="532"/>
      <c r="F871" s="532"/>
      <c r="G871" s="532"/>
      <c r="H871" s="532"/>
    </row>
    <row r="872" spans="1:8" ht="12.75">
      <c r="A872" s="532"/>
      <c r="B872" s="532"/>
      <c r="C872" s="532"/>
      <c r="D872" s="532"/>
      <c r="E872" s="532"/>
      <c r="F872" s="532"/>
      <c r="G872" s="532"/>
      <c r="H872" s="532"/>
    </row>
    <row r="873" spans="1:8" ht="12.75">
      <c r="A873" s="532"/>
      <c r="B873" s="532"/>
      <c r="C873" s="532"/>
      <c r="D873" s="532"/>
      <c r="E873" s="532"/>
      <c r="F873" s="532"/>
      <c r="G873" s="532"/>
      <c r="H873" s="532"/>
    </row>
    <row r="874" spans="1:8" ht="12.75">
      <c r="A874" s="532"/>
      <c r="B874" s="532"/>
      <c r="C874" s="532"/>
      <c r="D874" s="532"/>
      <c r="E874" s="532"/>
      <c r="F874" s="532"/>
      <c r="G874" s="532"/>
      <c r="H874" s="532"/>
    </row>
    <row r="875" spans="1:8" ht="12.75">
      <c r="A875" s="532"/>
      <c r="B875" s="532"/>
      <c r="C875" s="532"/>
      <c r="D875" s="532"/>
      <c r="E875" s="532"/>
      <c r="F875" s="532"/>
      <c r="G875" s="532"/>
      <c r="H875" s="532"/>
    </row>
    <row r="876" spans="1:8" ht="12.75">
      <c r="A876" s="532"/>
      <c r="B876" s="532"/>
      <c r="C876" s="532"/>
      <c r="D876" s="532"/>
      <c r="E876" s="532"/>
      <c r="F876" s="532"/>
      <c r="G876" s="532"/>
      <c r="H876" s="532"/>
    </row>
    <row r="877" spans="1:8" ht="12.75">
      <c r="A877" s="532"/>
      <c r="B877" s="532"/>
      <c r="C877" s="532"/>
      <c r="D877" s="532"/>
      <c r="E877" s="532"/>
      <c r="F877" s="532"/>
      <c r="G877" s="532"/>
      <c r="H877" s="532"/>
    </row>
    <row r="878" spans="1:8" ht="12.75">
      <c r="A878" s="532"/>
      <c r="B878" s="532"/>
      <c r="C878" s="532"/>
      <c r="D878" s="532"/>
      <c r="E878" s="532"/>
      <c r="F878" s="532"/>
      <c r="G878" s="532"/>
      <c r="H878" s="532"/>
    </row>
    <row r="879" spans="1:8" ht="12.75">
      <c r="A879" s="532"/>
      <c r="B879" s="532"/>
      <c r="C879" s="532"/>
      <c r="D879" s="532"/>
      <c r="E879" s="532"/>
      <c r="F879" s="532"/>
      <c r="G879" s="532"/>
      <c r="H879" s="532"/>
    </row>
    <row r="880" spans="1:8" ht="12.75">
      <c r="A880" s="532"/>
      <c r="B880" s="532"/>
      <c r="C880" s="532"/>
      <c r="D880" s="532"/>
      <c r="E880" s="532"/>
      <c r="F880" s="532"/>
      <c r="G880" s="532"/>
      <c r="H880" s="532"/>
    </row>
    <row r="881" spans="1:8" ht="12.75">
      <c r="A881" s="532"/>
      <c r="B881" s="532"/>
      <c r="C881" s="532"/>
      <c r="D881" s="532"/>
      <c r="E881" s="532"/>
      <c r="F881" s="532"/>
      <c r="G881" s="532"/>
      <c r="H881" s="532"/>
    </row>
    <row r="882" spans="1:8" ht="12.75">
      <c r="A882" s="532"/>
      <c r="B882" s="532"/>
      <c r="C882" s="532"/>
      <c r="D882" s="532"/>
      <c r="E882" s="532"/>
      <c r="F882" s="532"/>
      <c r="G882" s="532"/>
      <c r="H882" s="532"/>
    </row>
    <row r="883" spans="1:8" ht="12.75">
      <c r="A883" s="532"/>
      <c r="B883" s="532"/>
      <c r="C883" s="532"/>
      <c r="D883" s="532"/>
      <c r="E883" s="532"/>
      <c r="F883" s="532"/>
      <c r="G883" s="532"/>
      <c r="H883" s="532"/>
    </row>
    <row r="884" spans="1:8" ht="12.75">
      <c r="A884" s="532"/>
      <c r="B884" s="532"/>
      <c r="C884" s="532"/>
      <c r="D884" s="532"/>
      <c r="E884" s="532"/>
      <c r="F884" s="532"/>
      <c r="G884" s="532"/>
      <c r="H884" s="532"/>
    </row>
    <row r="885" spans="1:8" ht="12.75">
      <c r="A885" s="532"/>
      <c r="B885" s="532"/>
      <c r="C885" s="532"/>
      <c r="D885" s="532"/>
      <c r="E885" s="532"/>
      <c r="F885" s="532"/>
      <c r="G885" s="532"/>
      <c r="H885" s="532"/>
    </row>
    <row r="886" spans="1:8" ht="12.75">
      <c r="A886" s="532"/>
      <c r="B886" s="532"/>
      <c r="C886" s="532"/>
      <c r="D886" s="532"/>
      <c r="E886" s="532"/>
      <c r="F886" s="532"/>
      <c r="G886" s="532"/>
      <c r="H886" s="532"/>
    </row>
    <row r="887" spans="1:8" ht="12.75">
      <c r="A887" s="532"/>
      <c r="B887" s="532"/>
      <c r="C887" s="532"/>
      <c r="D887" s="532"/>
      <c r="E887" s="532"/>
      <c r="F887" s="532"/>
      <c r="G887" s="532"/>
      <c r="H887" s="532"/>
    </row>
    <row r="888" spans="1:8" ht="12.75">
      <c r="A888" s="532"/>
      <c r="B888" s="532"/>
      <c r="C888" s="532"/>
      <c r="D888" s="532"/>
      <c r="E888" s="532"/>
      <c r="F888" s="532"/>
      <c r="G888" s="532"/>
      <c r="H888" s="532"/>
    </row>
    <row r="889" spans="1:8" ht="12.75">
      <c r="A889" s="532"/>
      <c r="B889" s="532"/>
      <c r="C889" s="532"/>
      <c r="D889" s="532"/>
      <c r="E889" s="532"/>
      <c r="F889" s="532"/>
      <c r="G889" s="532"/>
      <c r="H889" s="532"/>
    </row>
    <row r="890" spans="1:8" ht="12.75">
      <c r="A890" s="532"/>
      <c r="B890" s="532"/>
      <c r="C890" s="532"/>
      <c r="D890" s="532"/>
      <c r="E890" s="532"/>
      <c r="F890" s="532"/>
      <c r="G890" s="532"/>
      <c r="H890" s="532"/>
    </row>
    <row r="891" spans="1:8" ht="12.75">
      <c r="A891" s="532"/>
      <c r="B891" s="532"/>
      <c r="C891" s="532"/>
      <c r="D891" s="532"/>
      <c r="E891" s="532"/>
      <c r="F891" s="532"/>
      <c r="G891" s="532"/>
      <c r="H891" s="532"/>
    </row>
    <row r="892" spans="1:8" ht="12.75">
      <c r="A892" s="532"/>
      <c r="B892" s="532"/>
      <c r="C892" s="532"/>
      <c r="D892" s="532"/>
      <c r="E892" s="532"/>
      <c r="F892" s="532"/>
      <c r="G892" s="532"/>
      <c r="H892" s="532"/>
    </row>
    <row r="893" spans="1:8" ht="12.75">
      <c r="A893" s="532"/>
      <c r="B893" s="532"/>
      <c r="C893" s="532"/>
      <c r="D893" s="532"/>
      <c r="E893" s="532"/>
      <c r="F893" s="532"/>
      <c r="G893" s="532"/>
      <c r="H893" s="532"/>
    </row>
    <row r="894" spans="1:8" ht="12.75">
      <c r="A894" s="532"/>
      <c r="B894" s="532"/>
      <c r="C894" s="532"/>
      <c r="D894" s="532"/>
      <c r="E894" s="532"/>
      <c r="F894" s="532"/>
      <c r="G894" s="532"/>
      <c r="H894" s="532"/>
    </row>
    <row r="895" spans="1:8" ht="12.75">
      <c r="A895" s="532"/>
      <c r="B895" s="532"/>
      <c r="C895" s="532"/>
      <c r="D895" s="532"/>
      <c r="E895" s="532"/>
      <c r="F895" s="532"/>
      <c r="G895" s="532"/>
      <c r="H895" s="532"/>
    </row>
    <row r="896" spans="1:8" ht="12.75">
      <c r="A896" s="532"/>
      <c r="B896" s="532"/>
      <c r="C896" s="532"/>
      <c r="D896" s="532"/>
      <c r="E896" s="532"/>
      <c r="F896" s="532"/>
      <c r="G896" s="532"/>
      <c r="H896" s="532"/>
    </row>
    <row r="897" spans="1:8" ht="12.75">
      <c r="A897" s="532"/>
      <c r="B897" s="532"/>
      <c r="C897" s="532"/>
      <c r="D897" s="532"/>
      <c r="E897" s="532"/>
      <c r="F897" s="532"/>
      <c r="G897" s="532"/>
      <c r="H897" s="532"/>
    </row>
    <row r="898" spans="1:8" ht="12.75">
      <c r="A898" s="532"/>
      <c r="B898" s="532"/>
      <c r="C898" s="532"/>
      <c r="D898" s="532"/>
      <c r="E898" s="532"/>
      <c r="F898" s="532"/>
      <c r="G898" s="532"/>
      <c r="H898" s="532"/>
    </row>
    <row r="899" spans="1:8" ht="12.75">
      <c r="A899" s="532"/>
      <c r="B899" s="532"/>
      <c r="C899" s="532"/>
      <c r="D899" s="532"/>
      <c r="E899" s="532"/>
      <c r="F899" s="532"/>
      <c r="G899" s="532"/>
      <c r="H899" s="532"/>
    </row>
    <row r="900" spans="1:8" ht="12.75">
      <c r="A900" s="532"/>
      <c r="B900" s="532"/>
      <c r="C900" s="532"/>
      <c r="D900" s="532"/>
      <c r="E900" s="532"/>
      <c r="F900" s="532"/>
      <c r="G900" s="532"/>
      <c r="H900" s="532"/>
    </row>
    <row r="901" spans="1:8" ht="12.75">
      <c r="A901" s="532"/>
      <c r="B901" s="532"/>
      <c r="C901" s="532"/>
      <c r="D901" s="532"/>
      <c r="E901" s="532"/>
      <c r="F901" s="532"/>
      <c r="G901" s="532"/>
      <c r="H901" s="532"/>
    </row>
    <row r="902" spans="1:8" ht="12.75">
      <c r="A902" s="532"/>
      <c r="B902" s="532"/>
      <c r="C902" s="532"/>
      <c r="D902" s="532"/>
      <c r="E902" s="532"/>
      <c r="F902" s="532"/>
      <c r="G902" s="532"/>
      <c r="H902" s="532"/>
    </row>
    <row r="903" spans="1:8" ht="12.75">
      <c r="A903" s="532"/>
      <c r="B903" s="532"/>
      <c r="C903" s="532"/>
      <c r="D903" s="532"/>
      <c r="E903" s="532"/>
      <c r="F903" s="532"/>
      <c r="G903" s="532"/>
      <c r="H903" s="532"/>
    </row>
    <row r="904" spans="1:8" ht="12.75">
      <c r="A904" s="532"/>
      <c r="B904" s="532"/>
      <c r="C904" s="532"/>
      <c r="D904" s="532"/>
      <c r="E904" s="532"/>
      <c r="F904" s="532"/>
      <c r="G904" s="532"/>
      <c r="H904" s="532"/>
    </row>
    <row r="905" spans="1:8" ht="12.75">
      <c r="A905" s="532"/>
      <c r="B905" s="532"/>
      <c r="C905" s="532"/>
      <c r="D905" s="532"/>
      <c r="E905" s="532"/>
      <c r="F905" s="532"/>
      <c r="G905" s="532"/>
      <c r="H905" s="532"/>
    </row>
    <row r="906" spans="1:8" ht="12.75">
      <c r="A906" s="532"/>
      <c r="B906" s="532"/>
      <c r="C906" s="532"/>
      <c r="D906" s="532"/>
      <c r="E906" s="532"/>
      <c r="F906" s="532"/>
      <c r="G906" s="532"/>
      <c r="H906" s="532"/>
    </row>
    <row r="907" spans="1:8" ht="12.75">
      <c r="A907" s="532"/>
      <c r="B907" s="532"/>
      <c r="C907" s="532"/>
      <c r="D907" s="532"/>
      <c r="E907" s="532"/>
      <c r="F907" s="532"/>
      <c r="G907" s="532"/>
      <c r="H907" s="532"/>
    </row>
    <row r="908" spans="1:8" ht="12.75">
      <c r="A908" s="532"/>
      <c r="B908" s="532"/>
      <c r="C908" s="532"/>
      <c r="D908" s="532"/>
      <c r="E908" s="532"/>
      <c r="F908" s="532"/>
      <c r="G908" s="532"/>
      <c r="H908" s="532"/>
    </row>
    <row r="909" spans="1:8" ht="12.75">
      <c r="A909" s="532"/>
      <c r="B909" s="532"/>
      <c r="C909" s="532"/>
      <c r="D909" s="532"/>
      <c r="E909" s="532"/>
      <c r="F909" s="532"/>
      <c r="G909" s="532"/>
      <c r="H909" s="532"/>
    </row>
    <row r="910" spans="1:8" ht="12.75">
      <c r="A910" s="532"/>
      <c r="B910" s="532"/>
      <c r="C910" s="532"/>
      <c r="D910" s="532"/>
      <c r="E910" s="532"/>
      <c r="F910" s="532"/>
      <c r="G910" s="532"/>
      <c r="H910" s="532"/>
    </row>
    <row r="911" spans="1:8" ht="12.75">
      <c r="A911" s="532"/>
      <c r="B911" s="532"/>
      <c r="C911" s="532"/>
      <c r="D911" s="532"/>
      <c r="E911" s="532"/>
      <c r="F911" s="532"/>
      <c r="G911" s="532"/>
      <c r="H911" s="532"/>
    </row>
    <row r="912" spans="1:8" ht="12.75">
      <c r="A912" s="532"/>
      <c r="B912" s="532"/>
      <c r="C912" s="532"/>
      <c r="D912" s="532"/>
      <c r="E912" s="532"/>
      <c r="F912" s="532"/>
      <c r="G912" s="532"/>
      <c r="H912" s="532"/>
    </row>
    <row r="913" spans="1:8" ht="12.75">
      <c r="A913" s="532"/>
      <c r="B913" s="532"/>
      <c r="C913" s="532"/>
      <c r="D913" s="532"/>
      <c r="E913" s="532"/>
      <c r="F913" s="532"/>
      <c r="G913" s="532"/>
      <c r="H913" s="532"/>
    </row>
    <row r="914" spans="1:8" ht="12.75">
      <c r="A914" s="532"/>
      <c r="B914" s="532"/>
      <c r="C914" s="532"/>
      <c r="D914" s="532"/>
      <c r="E914" s="532"/>
      <c r="F914" s="532"/>
      <c r="G914" s="532"/>
      <c r="H914" s="532"/>
    </row>
    <row r="915" spans="1:8" ht="12.75">
      <c r="A915" s="532"/>
      <c r="B915" s="532"/>
      <c r="C915" s="532"/>
      <c r="D915" s="532"/>
      <c r="E915" s="532"/>
      <c r="F915" s="532"/>
      <c r="G915" s="532"/>
      <c r="H915" s="532"/>
    </row>
    <row r="916" spans="1:8" ht="12.75">
      <c r="A916" s="532"/>
      <c r="B916" s="532"/>
      <c r="C916" s="532"/>
      <c r="D916" s="532"/>
      <c r="E916" s="532"/>
      <c r="F916" s="532"/>
      <c r="G916" s="532"/>
      <c r="H916" s="532"/>
    </row>
    <row r="917" spans="1:8" ht="12.75">
      <c r="A917" s="532"/>
      <c r="B917" s="532"/>
      <c r="C917" s="532"/>
      <c r="D917" s="532"/>
      <c r="E917" s="532"/>
      <c r="F917" s="532"/>
      <c r="G917" s="532"/>
      <c r="H917" s="532"/>
    </row>
    <row r="918" spans="1:8" ht="12.75">
      <c r="A918" s="532"/>
      <c r="B918" s="532"/>
      <c r="C918" s="532"/>
      <c r="D918" s="532"/>
      <c r="E918" s="532"/>
      <c r="F918" s="532"/>
      <c r="G918" s="532"/>
      <c r="H918" s="532"/>
    </row>
    <row r="919" spans="1:8" ht="12.75">
      <c r="A919" s="532"/>
      <c r="B919" s="532"/>
      <c r="C919" s="532"/>
      <c r="D919" s="532"/>
      <c r="E919" s="532"/>
      <c r="F919" s="532"/>
      <c r="G919" s="532"/>
      <c r="H919" s="532"/>
    </row>
    <row r="920" spans="1:8" ht="12.75">
      <c r="A920" s="532"/>
      <c r="B920" s="532"/>
      <c r="C920" s="532"/>
      <c r="D920" s="532"/>
      <c r="E920" s="532"/>
      <c r="F920" s="532"/>
      <c r="G920" s="532"/>
      <c r="H920" s="532"/>
    </row>
    <row r="921" spans="1:8" ht="12.75">
      <c r="A921" s="532"/>
      <c r="B921" s="532"/>
      <c r="C921" s="532"/>
      <c r="D921" s="532"/>
      <c r="E921" s="532"/>
      <c r="F921" s="532"/>
      <c r="G921" s="532"/>
      <c r="H921" s="532"/>
    </row>
    <row r="922" spans="1:8" ht="12.75">
      <c r="A922" s="532"/>
      <c r="B922" s="532"/>
      <c r="C922" s="532"/>
      <c r="D922" s="532"/>
      <c r="E922" s="532"/>
      <c r="F922" s="532"/>
      <c r="G922" s="532"/>
      <c r="H922" s="532"/>
    </row>
    <row r="923" spans="1:8" ht="12.75">
      <c r="A923" s="532"/>
      <c r="B923" s="532"/>
      <c r="C923" s="532"/>
      <c r="D923" s="532"/>
      <c r="E923" s="532"/>
      <c r="F923" s="532"/>
      <c r="G923" s="532"/>
      <c r="H923" s="532"/>
    </row>
    <row r="924" spans="1:8" ht="12.75">
      <c r="A924" s="532"/>
      <c r="B924" s="532"/>
      <c r="C924" s="532"/>
      <c r="D924" s="532"/>
      <c r="E924" s="532"/>
      <c r="F924" s="532"/>
      <c r="G924" s="532"/>
      <c r="H924" s="532"/>
    </row>
    <row r="925" spans="1:8" ht="12.75">
      <c r="A925" s="532"/>
      <c r="B925" s="532"/>
      <c r="C925" s="532"/>
      <c r="D925" s="532"/>
      <c r="E925" s="532"/>
      <c r="F925" s="532"/>
      <c r="G925" s="532"/>
      <c r="H925" s="532"/>
    </row>
    <row r="926" spans="1:8" ht="12.75">
      <c r="A926" s="532"/>
      <c r="B926" s="532"/>
      <c r="C926" s="532"/>
      <c r="D926" s="532"/>
      <c r="E926" s="532"/>
      <c r="F926" s="532"/>
      <c r="G926" s="532"/>
      <c r="H926" s="532"/>
    </row>
    <row r="927" spans="1:8" ht="12.75">
      <c r="A927" s="532"/>
      <c r="B927" s="532"/>
      <c r="C927" s="532"/>
      <c r="D927" s="532"/>
      <c r="E927" s="532"/>
      <c r="F927" s="532"/>
      <c r="G927" s="532"/>
      <c r="H927" s="532"/>
    </row>
    <row r="928" spans="1:8" ht="12.75">
      <c r="A928" s="532"/>
      <c r="B928" s="532"/>
      <c r="C928" s="532"/>
      <c r="D928" s="532"/>
      <c r="E928" s="532"/>
      <c r="F928" s="532"/>
      <c r="G928" s="532"/>
      <c r="H928" s="532"/>
    </row>
    <row r="929" spans="1:8" ht="12.75">
      <c r="A929" s="532"/>
      <c r="B929" s="532"/>
      <c r="C929" s="532"/>
      <c r="D929" s="532"/>
      <c r="E929" s="532"/>
      <c r="F929" s="532"/>
      <c r="G929" s="532"/>
      <c r="H929" s="532"/>
    </row>
    <row r="930" spans="1:8" ht="12.75">
      <c r="A930" s="532"/>
      <c r="B930" s="532"/>
      <c r="C930" s="532"/>
      <c r="D930" s="532"/>
      <c r="E930" s="532"/>
      <c r="F930" s="532"/>
      <c r="G930" s="532"/>
      <c r="H930" s="532"/>
    </row>
  </sheetData>
  <mergeCells count="14">
    <mergeCell ref="A25:C25"/>
    <mergeCell ref="A3:C3"/>
    <mergeCell ref="A4:A22"/>
    <mergeCell ref="B20:C20"/>
    <mergeCell ref="B21:C21"/>
    <mergeCell ref="B22:C22"/>
    <mergeCell ref="A66:A82"/>
    <mergeCell ref="B82:C82"/>
    <mergeCell ref="A26:A42"/>
    <mergeCell ref="B42:C42"/>
    <mergeCell ref="A45:C45"/>
    <mergeCell ref="A46:A62"/>
    <mergeCell ref="B62:C62"/>
    <mergeCell ref="A65:C65"/>
  </mergeCells>
  <phoneticPr fontId="63" type="noConversion"/>
  <conditionalFormatting sqref="D66:AB81">
    <cfRule type="colorScale" priority="1">
      <colorScale>
        <cfvo type="formula" val="0"/>
        <cfvo type="formula" val="3"/>
        <cfvo type="formula" val="10"/>
        <color rgb="FF6D9EEB"/>
        <color rgb="FFFFFFFF"/>
        <color rgb="FFE0666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F49D-0613-45EB-8302-EB1A4A1D29EF}">
  <sheetPr>
    <tabColor rgb="FF6AA84F"/>
    <outlinePr summaryBelow="0" summaryRight="0"/>
  </sheetPr>
  <dimension ref="A1:AC930"/>
  <sheetViews>
    <sheetView tabSelected="1" topLeftCell="A2" zoomScale="85" zoomScaleNormal="85" workbookViewId="0">
      <selection activeCell="D21" sqref="D21"/>
    </sheetView>
  </sheetViews>
  <sheetFormatPr defaultColWidth="14.42578125" defaultRowHeight="15.75" customHeight="1" outlineLevelRow="1"/>
  <cols>
    <col min="1" max="2" width="22.85546875" style="533" customWidth="1"/>
    <col min="3" max="3" width="21.140625" style="533" customWidth="1"/>
    <col min="4" max="10" width="14.42578125" style="533"/>
    <col min="11" max="11" width="14.42578125" style="570"/>
    <col min="12" max="16384" width="14.42578125" style="533"/>
  </cols>
  <sheetData>
    <row r="1" spans="1:29" ht="16.5">
      <c r="A1" s="558" t="s">
        <v>137</v>
      </c>
      <c r="B1" s="534"/>
      <c r="C1" s="532"/>
      <c r="D1" s="532"/>
      <c r="E1" s="532"/>
      <c r="F1" s="532"/>
      <c r="G1" s="532"/>
      <c r="H1" s="532"/>
      <c r="I1" s="532"/>
    </row>
    <row r="2" spans="1:29" ht="12.75">
      <c r="A2" s="559">
        <v>1670</v>
      </c>
      <c r="B2" s="559"/>
      <c r="C2" s="204"/>
      <c r="D2" s="204"/>
      <c r="E2" s="204"/>
      <c r="F2" s="532"/>
      <c r="G2" s="532"/>
      <c r="H2" s="532"/>
      <c r="I2" s="532"/>
      <c r="J2" s="560"/>
    </row>
    <row r="3" spans="1:29" ht="15" customHeight="1">
      <c r="A3" s="618" t="s">
        <v>0</v>
      </c>
      <c r="B3" s="618"/>
      <c r="C3" s="615"/>
      <c r="D3" s="531" t="s">
        <v>497</v>
      </c>
      <c r="E3" s="531" t="s">
        <v>141</v>
      </c>
      <c r="F3" s="531" t="s">
        <v>6</v>
      </c>
      <c r="G3" s="531" t="s">
        <v>7</v>
      </c>
      <c r="H3" s="531" t="s">
        <v>8</v>
      </c>
      <c r="I3" s="531" t="s">
        <v>9</v>
      </c>
      <c r="J3" s="531" t="s">
        <v>517</v>
      </c>
      <c r="K3" s="572" t="s">
        <v>515</v>
      </c>
      <c r="L3" s="573" t="s">
        <v>512</v>
      </c>
      <c r="M3" s="542" t="s">
        <v>510</v>
      </c>
      <c r="N3" s="542" t="s">
        <v>511</v>
      </c>
      <c r="O3" s="542" t="s">
        <v>512</v>
      </c>
      <c r="P3" s="542"/>
      <c r="Q3" s="542"/>
      <c r="R3" s="542"/>
      <c r="S3" s="543" t="s">
        <v>492</v>
      </c>
      <c r="T3" s="542"/>
      <c r="U3" s="542"/>
      <c r="V3" s="542"/>
      <c r="W3" s="542"/>
      <c r="X3" s="542"/>
      <c r="Y3" s="542"/>
      <c r="Z3" s="542"/>
      <c r="AA3" s="542"/>
      <c r="AB3" s="542"/>
      <c r="AC3" s="542"/>
    </row>
    <row r="4" spans="1:29" ht="13.5">
      <c r="A4" s="619" t="s">
        <v>15</v>
      </c>
      <c r="B4" s="536">
        <f>_xlfn.XLOOKUP(C4,'메디컬 SKU'!C:C,'메디컬 SKU'!A:A)</f>
        <v>117547</v>
      </c>
      <c r="C4" s="536" t="s">
        <v>142</v>
      </c>
      <c r="D4" s="537"/>
      <c r="E4" s="537">
        <v>96</v>
      </c>
      <c r="F4" s="537">
        <v>648</v>
      </c>
      <c r="G4" s="537">
        <v>0</v>
      </c>
      <c r="H4" s="537">
        <v>360</v>
      </c>
      <c r="I4" s="537">
        <v>240</v>
      </c>
      <c r="J4" s="538">
        <f>L4</f>
        <v>0</v>
      </c>
      <c r="K4" s="572"/>
      <c r="L4" s="574">
        <f>K4*N4</f>
        <v>0</v>
      </c>
      <c r="M4" s="544">
        <v>108</v>
      </c>
      <c r="N4" s="544">
        <v>6</v>
      </c>
      <c r="O4" s="544">
        <f>M4*N4</f>
        <v>648</v>
      </c>
      <c r="P4" s="542" t="s">
        <v>485</v>
      </c>
      <c r="Q4" s="542" t="s">
        <v>509</v>
      </c>
      <c r="R4" s="566" t="s">
        <v>491</v>
      </c>
      <c r="S4" s="567">
        <f>D22</f>
        <v>471490242.55376357</v>
      </c>
      <c r="T4" s="544"/>
      <c r="U4" s="544"/>
      <c r="V4" s="544"/>
      <c r="W4" s="544"/>
      <c r="X4" s="542"/>
      <c r="Y4" s="542"/>
      <c r="Z4" s="542"/>
      <c r="AA4" s="542"/>
      <c r="AB4" s="542"/>
      <c r="AC4" s="542"/>
    </row>
    <row r="5" spans="1:29" ht="13.5">
      <c r="A5" s="615"/>
      <c r="B5" s="536">
        <f>_xlfn.XLOOKUP(C5,'메디컬 SKU'!C:C,'메디컬 SKU'!A:A)</f>
        <v>552897</v>
      </c>
      <c r="C5" s="536" t="s">
        <v>143</v>
      </c>
      <c r="D5" s="537"/>
      <c r="E5" s="537">
        <v>0</v>
      </c>
      <c r="F5" s="537">
        <v>0</v>
      </c>
      <c r="G5" s="537">
        <v>0</v>
      </c>
      <c r="H5" s="537">
        <v>0</v>
      </c>
      <c r="I5" s="537">
        <v>0</v>
      </c>
      <c r="J5" s="538">
        <f t="shared" ref="J5:J19" si="0">L5</f>
        <v>0</v>
      </c>
      <c r="K5" s="572"/>
      <c r="L5" s="574">
        <f t="shared" ref="L5:L19" si="1">K5*N5</f>
        <v>0</v>
      </c>
      <c r="M5" s="542">
        <v>245</v>
      </c>
      <c r="N5" s="542">
        <v>10</v>
      </c>
      <c r="O5" s="544">
        <f t="shared" ref="O5:O19" si="2">M5*N5</f>
        <v>2450</v>
      </c>
      <c r="P5" s="542" t="s">
        <v>486</v>
      </c>
      <c r="Q5" s="542" t="s">
        <v>499</v>
      </c>
      <c r="R5" s="563" t="s">
        <v>504</v>
      </c>
      <c r="S5" s="562">
        <f>E22</f>
        <v>828863501.5</v>
      </c>
      <c r="T5" s="542"/>
      <c r="U5" s="542"/>
      <c r="V5" s="542"/>
      <c r="W5" s="542"/>
      <c r="X5" s="542"/>
      <c r="Y5" s="542"/>
      <c r="Z5" s="542"/>
      <c r="AA5" s="542"/>
      <c r="AB5" s="542"/>
      <c r="AC5" s="542"/>
    </row>
    <row r="6" spans="1:29" ht="13.5">
      <c r="A6" s="615"/>
      <c r="B6" s="536">
        <f>_xlfn.XLOOKUP(C6,'메디컬 SKU'!C:C,'메디컬 SKU'!A:A)</f>
        <v>117771</v>
      </c>
      <c r="C6" s="536" t="s">
        <v>144</v>
      </c>
      <c r="D6" s="537"/>
      <c r="E6" s="537">
        <v>0</v>
      </c>
      <c r="F6" s="537">
        <v>120</v>
      </c>
      <c r="G6" s="537">
        <v>0</v>
      </c>
      <c r="H6" s="537">
        <v>120</v>
      </c>
      <c r="I6" s="537">
        <v>204</v>
      </c>
      <c r="J6" s="538">
        <f t="shared" si="0"/>
        <v>0</v>
      </c>
      <c r="K6" s="572"/>
      <c r="L6" s="574">
        <f t="shared" si="1"/>
        <v>0</v>
      </c>
      <c r="M6" s="542">
        <v>200</v>
      </c>
      <c r="N6" s="542">
        <v>3</v>
      </c>
      <c r="O6" s="544">
        <f t="shared" si="2"/>
        <v>600</v>
      </c>
      <c r="P6" s="542" t="s">
        <v>487</v>
      </c>
      <c r="Q6" s="542" t="s">
        <v>500</v>
      </c>
      <c r="R6" s="568" t="s">
        <v>503</v>
      </c>
      <c r="S6" s="567">
        <f>F22</f>
        <v>300870317.33333331</v>
      </c>
      <c r="T6" s="542"/>
      <c r="U6" s="542"/>
      <c r="V6" s="542"/>
      <c r="W6" s="542"/>
      <c r="X6" s="542"/>
      <c r="Y6" s="542"/>
      <c r="Z6" s="542"/>
      <c r="AA6" s="542"/>
      <c r="AB6" s="542"/>
      <c r="AC6" s="542"/>
    </row>
    <row r="7" spans="1:29" ht="13.5">
      <c r="A7" s="615"/>
      <c r="B7" s="536">
        <f>_xlfn.XLOOKUP(C7,'메디컬 SKU'!C:C,'메디컬 SKU'!A:A)</f>
        <v>646546</v>
      </c>
      <c r="C7" s="536" t="s">
        <v>145</v>
      </c>
      <c r="D7" s="537"/>
      <c r="E7" s="537">
        <v>0</v>
      </c>
      <c r="F7" s="537">
        <v>69</v>
      </c>
      <c r="G7" s="537">
        <v>0</v>
      </c>
      <c r="H7" s="537">
        <v>135</v>
      </c>
      <c r="I7" s="537">
        <v>165</v>
      </c>
      <c r="J7" s="538">
        <f t="shared" si="0"/>
        <v>0</v>
      </c>
      <c r="K7" s="572"/>
      <c r="L7" s="574">
        <f t="shared" si="1"/>
        <v>0</v>
      </c>
      <c r="M7" s="542">
        <v>225</v>
      </c>
      <c r="N7" s="542">
        <v>3</v>
      </c>
      <c r="O7" s="544">
        <f t="shared" si="2"/>
        <v>675</v>
      </c>
      <c r="P7" s="542" t="s">
        <v>488</v>
      </c>
      <c r="Q7" s="542" t="s">
        <v>501</v>
      </c>
      <c r="R7" s="564" t="s">
        <v>502</v>
      </c>
      <c r="S7" s="562">
        <f>G22</f>
        <v>156893160</v>
      </c>
      <c r="T7" s="542"/>
      <c r="U7" s="542"/>
      <c r="V7" s="542"/>
      <c r="W7" s="542"/>
      <c r="X7" s="542"/>
      <c r="Y7" s="542"/>
      <c r="Z7" s="542"/>
      <c r="AA7" s="542"/>
      <c r="AB7" s="542"/>
      <c r="AC7" s="542"/>
    </row>
    <row r="8" spans="1:29" ht="13.5">
      <c r="A8" s="615"/>
      <c r="B8" s="536">
        <f>_xlfn.XLOOKUP(C8,'메디컬 SKU'!C:C,'메디컬 SKU'!A:A)</f>
        <v>646567</v>
      </c>
      <c r="C8" s="536" t="s">
        <v>146</v>
      </c>
      <c r="D8" s="537"/>
      <c r="E8" s="537">
        <v>69</v>
      </c>
      <c r="F8" s="537">
        <v>0</v>
      </c>
      <c r="G8" s="537">
        <v>0</v>
      </c>
      <c r="H8" s="537">
        <v>69</v>
      </c>
      <c r="I8" s="537">
        <v>159</v>
      </c>
      <c r="J8" s="538">
        <f t="shared" si="0"/>
        <v>0</v>
      </c>
      <c r="K8" s="572"/>
      <c r="L8" s="574">
        <f t="shared" si="1"/>
        <v>0</v>
      </c>
      <c r="M8" s="542">
        <v>225</v>
      </c>
      <c r="N8" s="542">
        <v>3</v>
      </c>
      <c r="O8" s="544">
        <f t="shared" si="2"/>
        <v>675</v>
      </c>
      <c r="P8" s="542" t="s">
        <v>489</v>
      </c>
      <c r="Q8" s="561" t="s">
        <v>505</v>
      </c>
      <c r="R8" s="563" t="s">
        <v>507</v>
      </c>
      <c r="S8" s="562">
        <f>H22</f>
        <v>63795670</v>
      </c>
      <c r="T8" s="542"/>
      <c r="U8" s="542"/>
      <c r="V8" s="542"/>
      <c r="W8" s="542"/>
      <c r="X8" s="542"/>
      <c r="Y8" s="542"/>
      <c r="Z8" s="542"/>
      <c r="AA8" s="542"/>
      <c r="AB8" s="542"/>
      <c r="AC8" s="542"/>
    </row>
    <row r="9" spans="1:29" ht="13.5">
      <c r="A9" s="615"/>
      <c r="B9" s="536">
        <f>_xlfn.XLOOKUP(C9,'메디컬 SKU'!C:C,'메디컬 SKU'!A:A)</f>
        <v>691217</v>
      </c>
      <c r="C9" s="536" t="s">
        <v>147</v>
      </c>
      <c r="D9" s="537"/>
      <c r="E9" s="537">
        <v>0</v>
      </c>
      <c r="F9" s="537">
        <v>0</v>
      </c>
      <c r="G9" s="537">
        <v>48</v>
      </c>
      <c r="H9" s="537">
        <v>132</v>
      </c>
      <c r="I9" s="537">
        <v>84</v>
      </c>
      <c r="J9" s="538">
        <f t="shared" si="0"/>
        <v>0</v>
      </c>
      <c r="K9" s="572"/>
      <c r="L9" s="574">
        <f t="shared" si="1"/>
        <v>0</v>
      </c>
      <c r="M9" s="542">
        <v>70</v>
      </c>
      <c r="N9" s="542">
        <v>12</v>
      </c>
      <c r="O9" s="544">
        <f t="shared" si="2"/>
        <v>840</v>
      </c>
      <c r="P9" s="542" t="s">
        <v>490</v>
      </c>
      <c r="Q9" s="561" t="s">
        <v>506</v>
      </c>
      <c r="R9" s="563" t="s">
        <v>508</v>
      </c>
      <c r="S9" s="565">
        <f>J22</f>
        <v>409132131</v>
      </c>
      <c r="T9" s="542"/>
      <c r="U9" s="542"/>
      <c r="V9" s="542"/>
      <c r="W9" s="542"/>
      <c r="X9" s="542"/>
      <c r="Y9" s="542"/>
      <c r="Z9" s="542"/>
      <c r="AA9" s="542"/>
      <c r="AB9" s="542"/>
      <c r="AC9" s="542"/>
    </row>
    <row r="10" spans="1:29" ht="12.75">
      <c r="A10" s="615"/>
      <c r="B10" s="536">
        <f>_xlfn.XLOOKUP(C10,'메디컬 SKU'!C:C,'메디컬 SKU'!A:A)</f>
        <v>611174</v>
      </c>
      <c r="C10" s="536" t="s">
        <v>148</v>
      </c>
      <c r="D10" s="537"/>
      <c r="E10" s="537">
        <v>0</v>
      </c>
      <c r="F10" s="537">
        <v>0</v>
      </c>
      <c r="G10" s="537">
        <v>0</v>
      </c>
      <c r="H10" s="537">
        <v>0</v>
      </c>
      <c r="I10" s="537">
        <v>0</v>
      </c>
      <c r="J10" s="538">
        <f t="shared" si="0"/>
        <v>0</v>
      </c>
      <c r="K10" s="572"/>
      <c r="L10" s="574">
        <f t="shared" si="1"/>
        <v>0</v>
      </c>
      <c r="M10" s="542">
        <v>72</v>
      </c>
      <c r="N10" s="542">
        <v>12</v>
      </c>
      <c r="O10" s="544">
        <f t="shared" si="2"/>
        <v>864</v>
      </c>
      <c r="P10" s="542"/>
      <c r="Q10" s="542"/>
      <c r="R10" s="542"/>
      <c r="S10" s="569">
        <f>SUM(S4:S9)</f>
        <v>2231045022.3870969</v>
      </c>
      <c r="T10" s="542"/>
      <c r="U10" s="542"/>
      <c r="V10" s="542"/>
      <c r="W10" s="542"/>
      <c r="X10" s="542"/>
      <c r="Y10" s="542"/>
      <c r="Z10" s="542"/>
      <c r="AA10" s="542"/>
      <c r="AB10" s="542"/>
      <c r="AC10" s="542"/>
    </row>
    <row r="11" spans="1:29" ht="12.75">
      <c r="A11" s="615"/>
      <c r="B11" s="536">
        <f>_xlfn.XLOOKUP(C11,'메디컬 SKU'!C:C,'메디컬 SKU'!A:A)</f>
        <v>701775</v>
      </c>
      <c r="C11" s="536" t="s">
        <v>149</v>
      </c>
      <c r="D11" s="537"/>
      <c r="E11" s="537">
        <v>0</v>
      </c>
      <c r="F11" s="537">
        <v>4536</v>
      </c>
      <c r="G11" s="537">
        <v>2592</v>
      </c>
      <c r="H11" s="537">
        <v>2592</v>
      </c>
      <c r="I11" s="537">
        <v>1944</v>
      </c>
      <c r="J11" s="538">
        <f t="shared" si="0"/>
        <v>0</v>
      </c>
      <c r="K11" s="572"/>
      <c r="L11" s="574">
        <f t="shared" si="1"/>
        <v>0</v>
      </c>
      <c r="M11" s="542">
        <v>108</v>
      </c>
      <c r="N11" s="542">
        <v>6</v>
      </c>
      <c r="O11" s="544">
        <f t="shared" si="2"/>
        <v>648</v>
      </c>
      <c r="P11" s="542"/>
      <c r="Q11" s="542"/>
      <c r="R11" s="542"/>
      <c r="S11" s="542"/>
      <c r="T11" s="542"/>
      <c r="U11" s="542"/>
      <c r="V11" s="542"/>
      <c r="W11" s="542"/>
      <c r="X11" s="542"/>
      <c r="Y11" s="542"/>
      <c r="Z11" s="542"/>
      <c r="AA11" s="542"/>
      <c r="AB11" s="542"/>
      <c r="AC11" s="542"/>
    </row>
    <row r="12" spans="1:29" ht="12.75">
      <c r="A12" s="615"/>
      <c r="B12" s="536">
        <f>_xlfn.XLOOKUP(C12,'메디컬 SKU'!C:C,'메디컬 SKU'!A:A)</f>
        <v>646548</v>
      </c>
      <c r="C12" s="536" t="s">
        <v>150</v>
      </c>
      <c r="D12" s="537"/>
      <c r="E12" s="537">
        <v>168</v>
      </c>
      <c r="F12" s="537">
        <v>0</v>
      </c>
      <c r="G12" s="537">
        <v>0</v>
      </c>
      <c r="H12" s="537">
        <v>60</v>
      </c>
      <c r="I12" s="537">
        <v>138</v>
      </c>
      <c r="J12" s="538">
        <f t="shared" si="0"/>
        <v>0</v>
      </c>
      <c r="K12" s="572"/>
      <c r="L12" s="574">
        <f t="shared" si="1"/>
        <v>0</v>
      </c>
      <c r="M12" s="542">
        <v>225</v>
      </c>
      <c r="N12" s="542">
        <v>3</v>
      </c>
      <c r="O12" s="544">
        <f t="shared" si="2"/>
        <v>675</v>
      </c>
      <c r="P12" s="542"/>
      <c r="Q12" s="542"/>
      <c r="R12" s="542"/>
      <c r="S12" s="542"/>
      <c r="T12" s="542"/>
      <c r="U12" s="542"/>
      <c r="V12" s="542"/>
      <c r="W12" s="542"/>
      <c r="X12" s="542"/>
      <c r="Y12" s="542"/>
      <c r="Z12" s="542"/>
      <c r="AA12" s="542"/>
      <c r="AB12" s="542"/>
      <c r="AC12" s="542"/>
    </row>
    <row r="13" spans="1:29" ht="12.75">
      <c r="A13" s="615"/>
      <c r="B13" s="536">
        <f>_xlfn.XLOOKUP(C13,'메디컬 SKU'!C:C,'메디컬 SKU'!A:A)</f>
        <v>589462</v>
      </c>
      <c r="C13" s="536" t="s">
        <v>151</v>
      </c>
      <c r="D13" s="537"/>
      <c r="E13" s="537">
        <v>96</v>
      </c>
      <c r="F13" s="537">
        <v>66</v>
      </c>
      <c r="G13" s="537">
        <v>0</v>
      </c>
      <c r="H13" s="537">
        <v>60</v>
      </c>
      <c r="I13" s="537">
        <v>132</v>
      </c>
      <c r="J13" s="538">
        <f t="shared" si="0"/>
        <v>0</v>
      </c>
      <c r="K13" s="572"/>
      <c r="L13" s="574">
        <f t="shared" si="1"/>
        <v>0</v>
      </c>
      <c r="M13" s="542">
        <v>108</v>
      </c>
      <c r="N13" s="542">
        <v>6</v>
      </c>
      <c r="O13" s="544">
        <f t="shared" si="2"/>
        <v>648</v>
      </c>
      <c r="P13" s="542"/>
      <c r="Q13" s="542"/>
      <c r="R13" s="542"/>
      <c r="S13" s="542"/>
      <c r="T13" s="542"/>
      <c r="U13" s="542"/>
      <c r="V13" s="542"/>
      <c r="W13" s="542"/>
      <c r="X13" s="542"/>
      <c r="Y13" s="542"/>
      <c r="Z13" s="542"/>
      <c r="AA13" s="542"/>
      <c r="AB13" s="542"/>
      <c r="AC13" s="542"/>
    </row>
    <row r="14" spans="1:29" ht="12.75">
      <c r="A14" s="615"/>
      <c r="B14" s="536">
        <f>_xlfn.XLOOKUP(C14,'메디컬 SKU'!C:C,'메디컬 SKU'!A:A)</f>
        <v>589466</v>
      </c>
      <c r="C14" s="536" t="s">
        <v>152</v>
      </c>
      <c r="D14" s="537"/>
      <c r="E14" s="537">
        <v>258</v>
      </c>
      <c r="F14" s="537">
        <v>0</v>
      </c>
      <c r="G14" s="537">
        <v>0</v>
      </c>
      <c r="H14" s="537">
        <v>180</v>
      </c>
      <c r="I14" s="537">
        <v>330</v>
      </c>
      <c r="J14" s="538">
        <f t="shared" si="0"/>
        <v>0</v>
      </c>
      <c r="K14" s="572"/>
      <c r="L14" s="574">
        <f t="shared" si="1"/>
        <v>0</v>
      </c>
      <c r="M14" s="542">
        <v>108</v>
      </c>
      <c r="N14" s="542">
        <v>6</v>
      </c>
      <c r="O14" s="544">
        <f t="shared" si="2"/>
        <v>648</v>
      </c>
      <c r="P14" s="542"/>
      <c r="Q14" s="542"/>
      <c r="R14" s="542"/>
      <c r="S14" s="542"/>
      <c r="T14" s="542"/>
      <c r="U14" s="542"/>
      <c r="V14" s="542"/>
      <c r="W14" s="542"/>
      <c r="X14" s="542"/>
      <c r="Y14" s="542"/>
      <c r="Z14" s="542"/>
      <c r="AA14" s="542"/>
      <c r="AB14" s="542"/>
      <c r="AC14" s="542"/>
    </row>
    <row r="15" spans="1:29" ht="12.75">
      <c r="A15" s="615"/>
      <c r="B15" s="536">
        <f>_xlfn.XLOOKUP(C15,'메디컬 SKU'!C:C,'메디컬 SKU'!A:A)</f>
        <v>116180</v>
      </c>
      <c r="C15" s="536" t="s">
        <v>153</v>
      </c>
      <c r="D15" s="537"/>
      <c r="E15" s="537">
        <v>132</v>
      </c>
      <c r="F15" s="537">
        <v>408</v>
      </c>
      <c r="G15" s="537">
        <v>0</v>
      </c>
      <c r="H15" s="537">
        <v>90</v>
      </c>
      <c r="I15" s="537">
        <v>735</v>
      </c>
      <c r="J15" s="538">
        <f t="shared" si="0"/>
        <v>0</v>
      </c>
      <c r="K15" s="572"/>
      <c r="L15" s="574">
        <f t="shared" si="1"/>
        <v>0</v>
      </c>
      <c r="M15" s="542">
        <v>200</v>
      </c>
      <c r="N15" s="542">
        <v>3</v>
      </c>
      <c r="O15" s="544">
        <f t="shared" si="2"/>
        <v>600</v>
      </c>
      <c r="P15" s="542"/>
      <c r="Q15" s="542"/>
      <c r="R15" s="542"/>
      <c r="S15" s="542"/>
      <c r="T15" s="542"/>
      <c r="U15" s="542"/>
      <c r="V15" s="542"/>
      <c r="W15" s="542"/>
      <c r="X15" s="542"/>
      <c r="Y15" s="542"/>
      <c r="Z15" s="542"/>
      <c r="AA15" s="542"/>
      <c r="AB15" s="542"/>
      <c r="AC15" s="542"/>
    </row>
    <row r="16" spans="1:29" ht="12.75">
      <c r="A16" s="615"/>
      <c r="B16" s="536">
        <f>_xlfn.XLOOKUP(C16,'메디컬 SKU'!C:C,'메디컬 SKU'!A:A)</f>
        <v>695413</v>
      </c>
      <c r="C16" s="536" t="s">
        <v>154</v>
      </c>
      <c r="D16" s="537"/>
      <c r="E16" s="537">
        <v>240</v>
      </c>
      <c r="F16" s="537">
        <v>0</v>
      </c>
      <c r="G16" s="537">
        <v>0</v>
      </c>
      <c r="H16" s="537">
        <v>120</v>
      </c>
      <c r="I16" s="537">
        <v>96</v>
      </c>
      <c r="J16" s="538">
        <f t="shared" si="0"/>
        <v>0</v>
      </c>
      <c r="K16" s="572"/>
      <c r="L16" s="574">
        <f t="shared" si="1"/>
        <v>0</v>
      </c>
      <c r="M16" s="542">
        <v>132</v>
      </c>
      <c r="N16" s="542">
        <v>6</v>
      </c>
      <c r="O16" s="544">
        <f t="shared" si="2"/>
        <v>792</v>
      </c>
      <c r="P16" s="542"/>
      <c r="Q16" s="542"/>
      <c r="R16" s="542"/>
      <c r="S16" s="542"/>
      <c r="T16" s="542"/>
      <c r="U16" s="542"/>
      <c r="V16" s="542"/>
      <c r="W16" s="542"/>
      <c r="X16" s="542"/>
      <c r="Y16" s="542"/>
      <c r="Z16" s="542"/>
      <c r="AA16" s="542"/>
      <c r="AB16" s="542"/>
      <c r="AC16" s="542"/>
    </row>
    <row r="17" spans="1:29" ht="12.75">
      <c r="A17" s="615"/>
      <c r="B17" s="536">
        <f>_xlfn.XLOOKUP(C17,'메디컬 SKU'!C:C,'메디컬 SKU'!A:A)</f>
        <v>699883</v>
      </c>
      <c r="C17" s="536" t="s">
        <v>155</v>
      </c>
      <c r="D17" s="537"/>
      <c r="E17" s="537">
        <f>42+90</f>
        <v>132</v>
      </c>
      <c r="F17" s="537">
        <v>0</v>
      </c>
      <c r="G17" s="537">
        <v>0</v>
      </c>
      <c r="H17" s="537">
        <v>90</v>
      </c>
      <c r="I17" s="537">
        <v>144</v>
      </c>
      <c r="J17" s="538">
        <f t="shared" si="0"/>
        <v>0</v>
      </c>
      <c r="K17" s="572"/>
      <c r="L17" s="574">
        <f t="shared" si="1"/>
        <v>0</v>
      </c>
      <c r="M17" s="542">
        <v>144</v>
      </c>
      <c r="N17" s="542">
        <v>6</v>
      </c>
      <c r="O17" s="544">
        <f t="shared" si="2"/>
        <v>864</v>
      </c>
      <c r="P17" s="542"/>
      <c r="Q17" s="542"/>
      <c r="R17" s="542"/>
      <c r="S17" s="542"/>
      <c r="T17" s="542"/>
      <c r="U17" s="542"/>
      <c r="V17" s="542"/>
      <c r="W17" s="542"/>
      <c r="X17" s="542"/>
      <c r="Y17" s="542"/>
      <c r="Z17" s="542"/>
      <c r="AA17" s="542"/>
      <c r="AB17" s="542"/>
      <c r="AC17" s="542"/>
    </row>
    <row r="18" spans="1:29" ht="12.75">
      <c r="A18" s="615"/>
      <c r="B18" s="536">
        <f>_xlfn.XLOOKUP(C18,'메디컬 SKU'!C:C,'메디컬 SKU'!A:A)</f>
        <v>645380</v>
      </c>
      <c r="C18" s="536" t="s">
        <v>156</v>
      </c>
      <c r="D18" s="537"/>
      <c r="E18" s="537">
        <v>3456</v>
      </c>
      <c r="F18" s="537">
        <v>864</v>
      </c>
      <c r="G18" s="537">
        <v>0</v>
      </c>
      <c r="H18" s="537">
        <v>1728</v>
      </c>
      <c r="I18" s="537">
        <v>2400</v>
      </c>
      <c r="J18" s="538">
        <f t="shared" si="0"/>
        <v>0</v>
      </c>
      <c r="K18" s="572"/>
      <c r="L18" s="574">
        <f t="shared" si="1"/>
        <v>0</v>
      </c>
      <c r="M18" s="542">
        <v>72</v>
      </c>
      <c r="N18" s="542">
        <v>12</v>
      </c>
      <c r="O18" s="544">
        <f t="shared" si="2"/>
        <v>864</v>
      </c>
      <c r="P18" s="542"/>
      <c r="Q18" s="542"/>
      <c r="R18" s="542"/>
      <c r="S18" s="542"/>
      <c r="T18" s="542"/>
      <c r="U18" s="542"/>
      <c r="V18" s="542"/>
      <c r="W18" s="542"/>
      <c r="X18" s="542"/>
      <c r="Y18" s="542"/>
      <c r="Z18" s="542"/>
      <c r="AA18" s="542"/>
      <c r="AB18" s="542"/>
      <c r="AC18" s="542"/>
    </row>
    <row r="19" spans="1:29" ht="12.75">
      <c r="A19" s="615"/>
      <c r="B19" s="536">
        <f>_xlfn.XLOOKUP(C19,'메디컬 SKU'!C:C,'메디컬 SKU'!A:A)</f>
        <v>578785</v>
      </c>
      <c r="C19" s="536" t="s">
        <v>157</v>
      </c>
      <c r="D19" s="537"/>
      <c r="E19" s="537">
        <v>661</v>
      </c>
      <c r="F19" s="537">
        <v>74</v>
      </c>
      <c r="G19" s="537">
        <v>0</v>
      </c>
      <c r="H19" s="537">
        <v>0</v>
      </c>
      <c r="I19" s="537">
        <v>331</v>
      </c>
      <c r="J19" s="538">
        <f t="shared" si="0"/>
        <v>0</v>
      </c>
      <c r="K19" s="572"/>
      <c r="L19" s="574">
        <f t="shared" si="1"/>
        <v>0</v>
      </c>
      <c r="M19" s="542">
        <v>245</v>
      </c>
      <c r="N19" s="542">
        <v>10</v>
      </c>
      <c r="O19" s="544">
        <f t="shared" si="2"/>
        <v>2450</v>
      </c>
      <c r="P19" s="542"/>
      <c r="Q19" s="542"/>
      <c r="R19" s="542"/>
      <c r="S19" s="542"/>
      <c r="T19" s="542"/>
      <c r="U19" s="542"/>
      <c r="V19" s="542"/>
      <c r="W19" s="542"/>
      <c r="X19" s="542"/>
      <c r="Y19" s="542"/>
      <c r="Z19" s="542"/>
      <c r="AA19" s="542"/>
      <c r="AB19" s="542"/>
      <c r="AC19" s="542"/>
    </row>
    <row r="20" spans="1:29" ht="12.75">
      <c r="A20" s="615"/>
      <c r="B20" s="622" t="s">
        <v>18</v>
      </c>
      <c r="C20" s="622"/>
      <c r="D20" s="539">
        <f t="shared" ref="D20:J20" si="3">SUM(D4:D19)</f>
        <v>0</v>
      </c>
      <c r="E20" s="539">
        <f t="shared" si="3"/>
        <v>5308</v>
      </c>
      <c r="F20" s="539">
        <f t="shared" si="3"/>
        <v>6785</v>
      </c>
      <c r="G20" s="539">
        <f t="shared" si="3"/>
        <v>2640</v>
      </c>
      <c r="H20" s="539">
        <f t="shared" si="3"/>
        <v>5736</v>
      </c>
      <c r="I20" s="539">
        <v>10081</v>
      </c>
      <c r="J20" s="539">
        <f t="shared" si="3"/>
        <v>0</v>
      </c>
      <c r="K20" s="571"/>
      <c r="L20" s="542"/>
      <c r="M20" s="542"/>
      <c r="N20" s="542"/>
      <c r="O20" s="542"/>
      <c r="P20" s="542"/>
      <c r="Q20" s="542"/>
      <c r="R20" s="542"/>
      <c r="S20" s="542"/>
      <c r="T20" s="542"/>
      <c r="U20" s="542"/>
      <c r="V20" s="542"/>
      <c r="W20" s="542"/>
      <c r="X20" s="542"/>
      <c r="Y20" s="542"/>
      <c r="Z20" s="542"/>
      <c r="AA20" s="542"/>
      <c r="AB20" s="542"/>
      <c r="AC20" s="542"/>
    </row>
    <row r="21" spans="1:29" ht="12.75">
      <c r="A21" s="615"/>
      <c r="B21" s="622" t="s">
        <v>19</v>
      </c>
      <c r="C21" s="622"/>
      <c r="D21" s="539">
        <f>금액!H56</f>
        <v>282329.48655913986</v>
      </c>
      <c r="E21" s="539">
        <f>금액!I56</f>
        <v>496325.45</v>
      </c>
      <c r="F21" s="539">
        <f>금액!J56</f>
        <v>180161.86666666667</v>
      </c>
      <c r="G21" s="539">
        <f>금액!K56</f>
        <v>93948</v>
      </c>
      <c r="H21" s="539">
        <f>금액!L56</f>
        <v>38201</v>
      </c>
      <c r="I21" s="539">
        <v>244989.3</v>
      </c>
      <c r="J21" s="539">
        <f>'금액(2)'!M56</f>
        <v>244989.3</v>
      </c>
      <c r="K21" s="571"/>
      <c r="L21" s="542"/>
      <c r="M21" s="542"/>
      <c r="N21" s="542"/>
      <c r="O21" s="542"/>
      <c r="P21" s="542"/>
      <c r="Q21" s="542"/>
      <c r="R21" s="542"/>
      <c r="S21" s="542"/>
      <c r="T21" s="542"/>
      <c r="U21" s="542"/>
      <c r="V21" s="542"/>
      <c r="W21" s="542"/>
      <c r="X21" s="542"/>
      <c r="Y21" s="542"/>
      <c r="Z21" s="542"/>
      <c r="AA21" s="542"/>
      <c r="AB21" s="542"/>
      <c r="AC21" s="542"/>
    </row>
    <row r="22" spans="1:29" ht="12.75">
      <c r="A22" s="615"/>
      <c r="B22" s="622" t="s">
        <v>20</v>
      </c>
      <c r="C22" s="622"/>
      <c r="D22" s="539">
        <f t="shared" ref="D22:J22" si="4">D21*$A$2</f>
        <v>471490242.55376357</v>
      </c>
      <c r="E22" s="539">
        <f t="shared" si="4"/>
        <v>828863501.5</v>
      </c>
      <c r="F22" s="539">
        <f t="shared" si="4"/>
        <v>300870317.33333331</v>
      </c>
      <c r="G22" s="539">
        <f t="shared" si="4"/>
        <v>156893160</v>
      </c>
      <c r="H22" s="539">
        <f t="shared" si="4"/>
        <v>63795670</v>
      </c>
      <c r="I22" s="539">
        <v>409132131</v>
      </c>
      <c r="J22" s="539">
        <f t="shared" si="4"/>
        <v>409132131</v>
      </c>
      <c r="K22" s="571"/>
      <c r="L22" s="542"/>
      <c r="M22" s="542" t="s">
        <v>515</v>
      </c>
      <c r="N22" s="542"/>
      <c r="O22" s="542"/>
      <c r="P22" s="542"/>
      <c r="Q22" s="542"/>
      <c r="R22" s="542"/>
      <c r="S22" s="542"/>
      <c r="T22" s="542"/>
      <c r="U22" s="542"/>
      <c r="V22" s="542"/>
      <c r="W22" s="542"/>
      <c r="X22" s="542"/>
      <c r="Y22" s="542"/>
      <c r="Z22" s="542"/>
      <c r="AA22" s="542"/>
      <c r="AB22" s="542"/>
      <c r="AC22" s="542"/>
    </row>
    <row r="23" spans="1:29" ht="13.5">
      <c r="A23" s="532"/>
      <c r="B23" s="532"/>
      <c r="C23" s="532"/>
      <c r="D23" s="532"/>
      <c r="E23" s="689"/>
      <c r="F23" s="689"/>
      <c r="G23" s="689"/>
      <c r="H23" s="689"/>
      <c r="I23" s="689"/>
      <c r="J23" s="689"/>
      <c r="L23" s="575" t="s">
        <v>513</v>
      </c>
      <c r="M23" s="576">
        <v>1500</v>
      </c>
      <c r="N23" s="576">
        <f>M23*N5</f>
        <v>15000</v>
      </c>
    </row>
    <row r="24" spans="1:29" ht="12.75" outlineLevel="1">
      <c r="A24" s="532"/>
      <c r="B24" s="532"/>
      <c r="C24" s="532"/>
      <c r="D24" s="540"/>
      <c r="E24" s="540" t="s">
        <v>22</v>
      </c>
      <c r="F24" s="540" t="s">
        <v>22</v>
      </c>
      <c r="G24" s="540" t="s">
        <v>22</v>
      </c>
      <c r="H24" s="540" t="s">
        <v>22</v>
      </c>
      <c r="I24" s="540" t="s">
        <v>22</v>
      </c>
      <c r="J24" s="540" t="s">
        <v>22</v>
      </c>
      <c r="M24" s="576"/>
      <c r="N24" s="576"/>
    </row>
    <row r="25" spans="1:29" ht="12.75" outlineLevel="1">
      <c r="A25" s="620" t="s">
        <v>23</v>
      </c>
      <c r="B25" s="620"/>
      <c r="C25" s="615"/>
      <c r="D25" s="545" t="s">
        <v>140</v>
      </c>
      <c r="E25" s="545" t="s">
        <v>141</v>
      </c>
      <c r="F25" s="545" t="s">
        <v>6</v>
      </c>
      <c r="G25" s="545" t="s">
        <v>7</v>
      </c>
      <c r="H25" s="545" t="s">
        <v>8</v>
      </c>
      <c r="I25" s="545" t="s">
        <v>9</v>
      </c>
      <c r="J25" s="545" t="s">
        <v>517</v>
      </c>
      <c r="K25" s="571"/>
      <c r="L25" s="542"/>
      <c r="M25" s="577"/>
      <c r="N25" s="577"/>
      <c r="O25" s="542"/>
      <c r="P25" s="542"/>
      <c r="Q25" s="542"/>
      <c r="R25" s="542"/>
      <c r="S25" s="542"/>
      <c r="T25" s="542"/>
      <c r="U25" s="542"/>
      <c r="V25" s="542"/>
      <c r="W25" s="542"/>
      <c r="X25" s="542"/>
      <c r="Y25" s="542"/>
      <c r="Z25" s="542"/>
      <c r="AA25" s="542"/>
      <c r="AB25" s="542"/>
      <c r="AC25" s="542"/>
    </row>
    <row r="26" spans="1:29" ht="12.75" outlineLevel="1">
      <c r="A26" s="621" t="s">
        <v>158</v>
      </c>
      <c r="B26" s="536">
        <f>_xlfn.XLOOKUP(C26,'메디컬 SKU'!C:C,'메디컬 SKU'!A:A)</f>
        <v>117547</v>
      </c>
      <c r="C26" s="547" t="s">
        <v>142</v>
      </c>
      <c r="D26" s="537"/>
      <c r="E26" s="537">
        <v>187</v>
      </c>
      <c r="F26" s="537">
        <v>187</v>
      </c>
      <c r="G26" s="537">
        <v>187</v>
      </c>
      <c r="H26" s="537">
        <v>187</v>
      </c>
      <c r="I26" s="537">
        <v>187</v>
      </c>
      <c r="J26" s="537">
        <v>187</v>
      </c>
      <c r="K26" s="571"/>
      <c r="L26" s="544"/>
      <c r="M26" s="577"/>
      <c r="N26" s="577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  <c r="AC26" s="544"/>
    </row>
    <row r="27" spans="1:29" ht="12.75" outlineLevel="1">
      <c r="A27" s="615"/>
      <c r="B27" s="536">
        <f>_xlfn.XLOOKUP(C27,'메디컬 SKU'!C:C,'메디컬 SKU'!A:A)</f>
        <v>552897</v>
      </c>
      <c r="C27" s="547" t="s">
        <v>143</v>
      </c>
      <c r="D27" s="537"/>
      <c r="E27" s="537">
        <v>1453</v>
      </c>
      <c r="F27" s="537">
        <v>593</v>
      </c>
      <c r="G27" s="537">
        <v>593</v>
      </c>
      <c r="H27" s="537">
        <v>1453</v>
      </c>
      <c r="I27" s="537">
        <v>593</v>
      </c>
      <c r="J27" s="537">
        <v>593</v>
      </c>
      <c r="K27" s="571"/>
      <c r="L27" s="544"/>
      <c r="M27" s="577"/>
      <c r="N27" s="577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4"/>
      <c r="AC27" s="544"/>
    </row>
    <row r="28" spans="1:29" ht="12.75" outlineLevel="1">
      <c r="A28" s="615"/>
      <c r="B28" s="536">
        <f>_xlfn.XLOOKUP(C28,'메디컬 SKU'!C:C,'메디컬 SKU'!A:A)</f>
        <v>117771</v>
      </c>
      <c r="C28" s="547" t="s">
        <v>144</v>
      </c>
      <c r="D28" s="537"/>
      <c r="E28" s="537">
        <v>121</v>
      </c>
      <c r="F28" s="537">
        <v>56</v>
      </c>
      <c r="G28" s="537">
        <v>56</v>
      </c>
      <c r="H28" s="537">
        <v>121</v>
      </c>
      <c r="I28" s="537">
        <v>56</v>
      </c>
      <c r="J28" s="537">
        <v>56</v>
      </c>
      <c r="K28" s="571"/>
      <c r="L28" s="544"/>
      <c r="M28" s="577"/>
      <c r="N28" s="577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  <c r="AC28" s="544"/>
    </row>
    <row r="29" spans="1:29" ht="12.75" outlineLevel="1">
      <c r="A29" s="615"/>
      <c r="B29" s="536">
        <f>_xlfn.XLOOKUP(C29,'메디컬 SKU'!C:C,'메디컬 SKU'!A:A)</f>
        <v>646546</v>
      </c>
      <c r="C29" s="547" t="s">
        <v>145</v>
      </c>
      <c r="D29" s="537"/>
      <c r="E29" s="537">
        <v>35</v>
      </c>
      <c r="F29" s="537">
        <v>35</v>
      </c>
      <c r="G29" s="537">
        <v>35</v>
      </c>
      <c r="H29" s="537">
        <v>35</v>
      </c>
      <c r="I29" s="537">
        <v>35</v>
      </c>
      <c r="J29" s="537">
        <v>35</v>
      </c>
      <c r="K29" s="571"/>
      <c r="L29" s="544"/>
      <c r="M29" s="577"/>
      <c r="N29" s="577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  <c r="AA29" s="544"/>
      <c r="AB29" s="544"/>
      <c r="AC29" s="544"/>
    </row>
    <row r="30" spans="1:29" ht="12.75" outlineLevel="1">
      <c r="A30" s="615"/>
      <c r="B30" s="536">
        <f>_xlfn.XLOOKUP(C30,'메디컬 SKU'!C:C,'메디컬 SKU'!A:A)</f>
        <v>646567</v>
      </c>
      <c r="C30" s="547" t="s">
        <v>146</v>
      </c>
      <c r="D30" s="537"/>
      <c r="E30" s="537">
        <v>55</v>
      </c>
      <c r="F30" s="537">
        <v>22</v>
      </c>
      <c r="G30" s="537">
        <v>22</v>
      </c>
      <c r="H30" s="537">
        <v>55</v>
      </c>
      <c r="I30" s="537">
        <v>22</v>
      </c>
      <c r="J30" s="537">
        <v>22</v>
      </c>
      <c r="K30" s="571"/>
      <c r="L30" s="544"/>
      <c r="M30" s="577"/>
      <c r="N30" s="577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  <c r="AC30" s="544"/>
    </row>
    <row r="31" spans="1:29" ht="12.75" outlineLevel="1">
      <c r="A31" s="615"/>
      <c r="B31" s="536">
        <f>_xlfn.XLOOKUP(C31,'메디컬 SKU'!C:C,'메디컬 SKU'!A:A)</f>
        <v>691217</v>
      </c>
      <c r="C31" s="547" t="s">
        <v>147</v>
      </c>
      <c r="D31" s="537"/>
      <c r="E31" s="537">
        <v>31</v>
      </c>
      <c r="F31" s="537">
        <v>31</v>
      </c>
      <c r="G31" s="537">
        <v>31</v>
      </c>
      <c r="H31" s="537">
        <v>31</v>
      </c>
      <c r="I31" s="537">
        <v>31</v>
      </c>
      <c r="J31" s="537">
        <v>31</v>
      </c>
      <c r="K31" s="571"/>
      <c r="L31" s="544"/>
      <c r="M31" s="577"/>
      <c r="N31" s="577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  <c r="AC31" s="544"/>
    </row>
    <row r="32" spans="1:29" ht="12.75" outlineLevel="1">
      <c r="A32" s="615"/>
      <c r="B32" s="536">
        <f>_xlfn.XLOOKUP(C32,'메디컬 SKU'!C:C,'메디컬 SKU'!A:A)</f>
        <v>611174</v>
      </c>
      <c r="C32" s="547" t="s">
        <v>148</v>
      </c>
      <c r="D32" s="537"/>
      <c r="E32" s="537">
        <v>2951</v>
      </c>
      <c r="F32" s="537">
        <v>3000</v>
      </c>
      <c r="G32" s="537">
        <v>3000</v>
      </c>
      <c r="H32" s="537">
        <v>2951</v>
      </c>
      <c r="I32" s="537">
        <v>3000</v>
      </c>
      <c r="J32" s="537">
        <v>3000</v>
      </c>
      <c r="K32" s="571"/>
      <c r="L32" s="544"/>
      <c r="M32" s="577"/>
      <c r="N32" s="577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  <c r="AC32" s="544"/>
    </row>
    <row r="33" spans="1:29" ht="12.75" outlineLevel="1">
      <c r="A33" s="615"/>
      <c r="B33" s="536">
        <f>_xlfn.XLOOKUP(C33,'메디컬 SKU'!C:C,'메디컬 SKU'!A:A)</f>
        <v>701775</v>
      </c>
      <c r="C33" s="547" t="s">
        <v>149</v>
      </c>
      <c r="D33" s="537"/>
      <c r="E33" s="537">
        <v>2237</v>
      </c>
      <c r="F33" s="537">
        <v>1763</v>
      </c>
      <c r="G33" s="537">
        <v>1763</v>
      </c>
      <c r="H33" s="537">
        <v>2237</v>
      </c>
      <c r="I33" s="537">
        <v>1763</v>
      </c>
      <c r="J33" s="537">
        <v>1763</v>
      </c>
      <c r="K33" s="571"/>
      <c r="L33" s="544"/>
      <c r="M33" s="577"/>
      <c r="N33" s="577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44"/>
      <c r="AB33" s="544"/>
      <c r="AC33" s="544"/>
    </row>
    <row r="34" spans="1:29" ht="12.75" outlineLevel="1">
      <c r="A34" s="615"/>
      <c r="B34" s="536">
        <f>_xlfn.XLOOKUP(C34,'메디컬 SKU'!C:C,'메디컬 SKU'!A:A)</f>
        <v>646548</v>
      </c>
      <c r="C34" s="547" t="s">
        <v>150</v>
      </c>
      <c r="D34" s="537"/>
      <c r="E34" s="537">
        <v>70</v>
      </c>
      <c r="F34" s="537">
        <v>38</v>
      </c>
      <c r="G34" s="537">
        <v>38</v>
      </c>
      <c r="H34" s="537">
        <v>70</v>
      </c>
      <c r="I34" s="537">
        <v>38</v>
      </c>
      <c r="J34" s="537">
        <v>38</v>
      </c>
      <c r="K34" s="571"/>
      <c r="L34" s="544"/>
      <c r="M34" s="577"/>
      <c r="N34" s="577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  <c r="AA34" s="544"/>
      <c r="AB34" s="544"/>
      <c r="AC34" s="544"/>
    </row>
    <row r="35" spans="1:29" ht="12.75" outlineLevel="1">
      <c r="A35" s="615"/>
      <c r="B35" s="536">
        <f>_xlfn.XLOOKUP(C35,'메디컬 SKU'!C:C,'메디컬 SKU'!A:A)</f>
        <v>589462</v>
      </c>
      <c r="C35" s="547" t="s">
        <v>151</v>
      </c>
      <c r="D35" s="537"/>
      <c r="E35" s="537">
        <v>102</v>
      </c>
      <c r="F35" s="537">
        <v>30</v>
      </c>
      <c r="G35" s="537">
        <v>30</v>
      </c>
      <c r="H35" s="537">
        <v>102</v>
      </c>
      <c r="I35" s="537">
        <v>30</v>
      </c>
      <c r="J35" s="537">
        <v>30</v>
      </c>
      <c r="K35" s="571"/>
      <c r="L35" s="544"/>
      <c r="M35" s="577"/>
      <c r="N35" s="577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  <c r="AA35" s="544"/>
      <c r="AB35" s="544"/>
      <c r="AC35" s="544"/>
    </row>
    <row r="36" spans="1:29" ht="12.75" outlineLevel="1">
      <c r="A36" s="615"/>
      <c r="B36" s="536">
        <f>_xlfn.XLOOKUP(C36,'메디컬 SKU'!C:C,'메디컬 SKU'!A:A)</f>
        <v>589466</v>
      </c>
      <c r="C36" s="547" t="s">
        <v>152</v>
      </c>
      <c r="D36" s="537"/>
      <c r="E36" s="537">
        <v>136</v>
      </c>
      <c r="F36" s="537">
        <v>72</v>
      </c>
      <c r="G36" s="537">
        <v>72</v>
      </c>
      <c r="H36" s="537">
        <v>136</v>
      </c>
      <c r="I36" s="537">
        <v>72</v>
      </c>
      <c r="J36" s="537">
        <v>72</v>
      </c>
      <c r="K36" s="571"/>
      <c r="L36" s="544"/>
      <c r="M36" s="577"/>
      <c r="N36" s="577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  <c r="AA36" s="544"/>
      <c r="AB36" s="544"/>
      <c r="AC36" s="544"/>
    </row>
    <row r="37" spans="1:29" ht="12.75" outlineLevel="1">
      <c r="A37" s="615"/>
      <c r="B37" s="536">
        <f>_xlfn.XLOOKUP(C37,'메디컬 SKU'!C:C,'메디컬 SKU'!A:A)</f>
        <v>116180</v>
      </c>
      <c r="C37" s="547" t="s">
        <v>153</v>
      </c>
      <c r="D37" s="537"/>
      <c r="E37" s="537">
        <v>357</v>
      </c>
      <c r="F37" s="537">
        <v>30</v>
      </c>
      <c r="G37" s="537">
        <v>30</v>
      </c>
      <c r="H37" s="537">
        <v>357</v>
      </c>
      <c r="I37" s="537">
        <v>30</v>
      </c>
      <c r="J37" s="537">
        <v>30</v>
      </c>
      <c r="K37" s="571"/>
      <c r="L37" s="544"/>
      <c r="M37" s="577"/>
      <c r="N37" s="577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  <c r="AC37" s="544"/>
    </row>
    <row r="38" spans="1:29" ht="12.75" outlineLevel="1">
      <c r="A38" s="615"/>
      <c r="B38" s="536">
        <f>_xlfn.XLOOKUP(C38,'메디컬 SKU'!C:C,'메디컬 SKU'!A:A)</f>
        <v>695413</v>
      </c>
      <c r="C38" s="547" t="s">
        <v>154</v>
      </c>
      <c r="D38" s="537"/>
      <c r="E38" s="537">
        <v>79</v>
      </c>
      <c r="F38" s="537">
        <v>49</v>
      </c>
      <c r="G38" s="537">
        <v>49</v>
      </c>
      <c r="H38" s="537">
        <v>79</v>
      </c>
      <c r="I38" s="537">
        <v>49</v>
      </c>
      <c r="J38" s="537">
        <v>49</v>
      </c>
      <c r="K38" s="571"/>
      <c r="L38" s="544"/>
      <c r="M38" s="577"/>
      <c r="N38" s="577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44"/>
      <c r="AB38" s="544"/>
      <c r="AC38" s="544"/>
    </row>
    <row r="39" spans="1:29" ht="12.75" outlineLevel="1">
      <c r="A39" s="615"/>
      <c r="B39" s="536">
        <f>_xlfn.XLOOKUP(C39,'메디컬 SKU'!C:C,'메디컬 SKU'!A:A)</f>
        <v>699883</v>
      </c>
      <c r="C39" s="547" t="s">
        <v>155</v>
      </c>
      <c r="D39" s="537"/>
      <c r="E39" s="537">
        <v>78</v>
      </c>
      <c r="F39" s="537">
        <v>26</v>
      </c>
      <c r="G39" s="537">
        <v>26</v>
      </c>
      <c r="H39" s="537">
        <v>78</v>
      </c>
      <c r="I39" s="537">
        <v>26</v>
      </c>
      <c r="J39" s="537">
        <v>26</v>
      </c>
      <c r="K39" s="571"/>
      <c r="L39" s="544"/>
      <c r="M39" s="577"/>
      <c r="N39" s="577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44"/>
      <c r="AB39" s="544"/>
      <c r="AC39" s="544"/>
    </row>
    <row r="40" spans="1:29" ht="12.75" outlineLevel="1">
      <c r="A40" s="615"/>
      <c r="B40" s="536">
        <f>_xlfn.XLOOKUP(C40,'메디컬 SKU'!C:C,'메디컬 SKU'!A:A)</f>
        <v>645380</v>
      </c>
      <c r="C40" s="547" t="s">
        <v>156</v>
      </c>
      <c r="D40" s="537"/>
      <c r="E40" s="537">
        <v>917</v>
      </c>
      <c r="F40" s="537">
        <v>917</v>
      </c>
      <c r="G40" s="537">
        <v>917</v>
      </c>
      <c r="H40" s="537">
        <v>917</v>
      </c>
      <c r="I40" s="537">
        <v>917</v>
      </c>
      <c r="J40" s="537">
        <v>917</v>
      </c>
      <c r="K40" s="571"/>
      <c r="L40" s="544"/>
      <c r="M40" s="577"/>
      <c r="N40" s="577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  <c r="AC40" s="544"/>
    </row>
    <row r="41" spans="1:29" ht="12.75" outlineLevel="1">
      <c r="A41" s="615"/>
      <c r="B41" s="536">
        <f>_xlfn.XLOOKUP(C41,'메디컬 SKU'!C:C,'메디컬 SKU'!A:A)</f>
        <v>578785</v>
      </c>
      <c r="C41" s="547" t="s">
        <v>157</v>
      </c>
      <c r="D41" s="537"/>
      <c r="E41" s="537">
        <v>345</v>
      </c>
      <c r="F41" s="537">
        <v>185</v>
      </c>
      <c r="G41" s="537">
        <v>185</v>
      </c>
      <c r="H41" s="537">
        <v>345</v>
      </c>
      <c r="I41" s="537">
        <v>185</v>
      </c>
      <c r="J41" s="537">
        <v>185</v>
      </c>
      <c r="K41" s="571"/>
      <c r="L41" s="544"/>
      <c r="M41" s="577"/>
      <c r="N41" s="577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  <c r="AA41" s="544"/>
      <c r="AB41" s="544"/>
      <c r="AC41" s="544"/>
    </row>
    <row r="42" spans="1:29" ht="12.75" outlineLevel="1">
      <c r="A42" s="615"/>
      <c r="B42" s="623" t="s">
        <v>18</v>
      </c>
      <c r="C42" s="623"/>
      <c r="D42" s="548">
        <f t="shared" ref="D42:H42" si="5">SUM(D26:D41)</f>
        <v>0</v>
      </c>
      <c r="E42" s="548">
        <f t="shared" si="5"/>
        <v>9154</v>
      </c>
      <c r="F42" s="548">
        <f t="shared" si="5"/>
        <v>7034</v>
      </c>
      <c r="G42" s="548">
        <f t="shared" si="5"/>
        <v>7034</v>
      </c>
      <c r="H42" s="548">
        <f t="shared" si="5"/>
        <v>9154</v>
      </c>
      <c r="I42" s="548">
        <f t="shared" ref="I42:J42" si="6">SUM(I26:I41)</f>
        <v>7034</v>
      </c>
      <c r="J42" s="548">
        <f t="shared" si="6"/>
        <v>7034</v>
      </c>
      <c r="K42" s="571"/>
      <c r="L42" s="542"/>
      <c r="M42" s="577"/>
      <c r="N42" s="577"/>
      <c r="O42" s="542"/>
      <c r="P42" s="542"/>
      <c r="Q42" s="542"/>
      <c r="R42" s="542"/>
      <c r="S42" s="542"/>
      <c r="T42" s="542"/>
      <c r="U42" s="542"/>
      <c r="V42" s="542"/>
      <c r="W42" s="542"/>
      <c r="X42" s="542"/>
      <c r="Y42" s="542"/>
      <c r="Z42" s="542"/>
      <c r="AA42" s="542"/>
      <c r="AB42" s="542"/>
      <c r="AC42" s="542"/>
    </row>
    <row r="43" spans="1:29" ht="13.5">
      <c r="A43" s="532"/>
      <c r="B43" s="532"/>
      <c r="C43" s="532"/>
      <c r="D43" s="532"/>
      <c r="E43" s="532"/>
      <c r="F43" s="532"/>
      <c r="G43" s="532"/>
      <c r="H43" s="532"/>
      <c r="I43" s="532"/>
      <c r="L43" s="575" t="s">
        <v>514</v>
      </c>
      <c r="M43" s="576">
        <v>1008</v>
      </c>
      <c r="N43" s="576">
        <f>M43*N10</f>
        <v>12096</v>
      </c>
    </row>
    <row r="44" spans="1:29" ht="12.75" outlineLevel="1">
      <c r="A44" s="532"/>
      <c r="B44" s="532"/>
      <c r="C44" s="532"/>
      <c r="D44" s="541" t="s">
        <v>496</v>
      </c>
      <c r="E44" s="532"/>
      <c r="F44" s="532"/>
      <c r="G44" s="532"/>
      <c r="H44" s="532"/>
      <c r="I44" s="532"/>
      <c r="M44" s="576"/>
      <c r="N44" s="576"/>
    </row>
    <row r="45" spans="1:29" ht="12.75" outlineLevel="1">
      <c r="A45" s="616" t="s">
        <v>159</v>
      </c>
      <c r="B45" s="616"/>
      <c r="C45" s="615"/>
      <c r="D45" s="549" t="s">
        <v>4</v>
      </c>
      <c r="E45" s="549" t="s">
        <v>141</v>
      </c>
      <c r="F45" s="549" t="s">
        <v>6</v>
      </c>
      <c r="G45" s="549" t="s">
        <v>7</v>
      </c>
      <c r="H45" s="549" t="s">
        <v>8</v>
      </c>
      <c r="I45" s="549" t="s">
        <v>9</v>
      </c>
      <c r="J45" s="549" t="s">
        <v>517</v>
      </c>
      <c r="K45" s="571"/>
      <c r="L45" s="542"/>
      <c r="M45" s="577"/>
      <c r="N45" s="577"/>
      <c r="O45" s="542"/>
      <c r="P45" s="542"/>
      <c r="Q45" s="542"/>
      <c r="R45" s="542"/>
      <c r="S45" s="542"/>
      <c r="T45" s="542"/>
      <c r="U45" s="542"/>
      <c r="V45" s="542"/>
      <c r="W45" s="542"/>
      <c r="X45" s="542"/>
      <c r="Y45" s="542"/>
      <c r="Z45" s="542"/>
      <c r="AA45" s="542"/>
      <c r="AB45" s="542"/>
      <c r="AC45" s="542"/>
    </row>
    <row r="46" spans="1:29" ht="12.75" outlineLevel="1">
      <c r="A46" s="614" t="s">
        <v>27</v>
      </c>
      <c r="B46" s="536">
        <f>_xlfn.XLOOKUP(C46,'메디컬 SKU'!C:C,'메디컬 SKU'!A:A)</f>
        <v>117547</v>
      </c>
      <c r="C46" s="547" t="s">
        <v>142</v>
      </c>
      <c r="D46" s="690">
        <f>D4</f>
        <v>0</v>
      </c>
      <c r="E46" s="691">
        <f t="shared" ref="E46:J61" si="7">D46+E4-E26</f>
        <v>-91</v>
      </c>
      <c r="F46" s="690">
        <f t="shared" si="7"/>
        <v>370</v>
      </c>
      <c r="G46" s="690">
        <f t="shared" si="7"/>
        <v>183</v>
      </c>
      <c r="H46" s="690">
        <f t="shared" si="7"/>
        <v>356</v>
      </c>
      <c r="I46" s="690">
        <f t="shared" si="7"/>
        <v>409</v>
      </c>
      <c r="J46" s="690">
        <f t="shared" si="7"/>
        <v>222</v>
      </c>
      <c r="K46" s="571"/>
      <c r="L46" s="544"/>
      <c r="M46" s="577"/>
      <c r="N46" s="577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  <c r="AC46" s="544"/>
    </row>
    <row r="47" spans="1:29" ht="12.75" outlineLevel="1">
      <c r="A47" s="615"/>
      <c r="B47" s="536">
        <f>_xlfn.XLOOKUP(C47,'메디컬 SKU'!C:C,'메디컬 SKU'!A:A)</f>
        <v>552897</v>
      </c>
      <c r="C47" s="547" t="s">
        <v>143</v>
      </c>
      <c r="D47" s="690">
        <f t="shared" ref="D47:D61" si="8">D5</f>
        <v>0</v>
      </c>
      <c r="E47" s="690">
        <f t="shared" si="7"/>
        <v>-1453</v>
      </c>
      <c r="F47" s="690">
        <f t="shared" si="7"/>
        <v>-2046</v>
      </c>
      <c r="G47" s="690">
        <f t="shared" si="7"/>
        <v>-2639</v>
      </c>
      <c r="H47" s="690">
        <f t="shared" si="7"/>
        <v>-4092</v>
      </c>
      <c r="I47" s="690">
        <f t="shared" si="7"/>
        <v>-4685</v>
      </c>
      <c r="J47" s="690">
        <f t="shared" si="7"/>
        <v>-5278</v>
      </c>
      <c r="K47" s="571"/>
      <c r="L47" s="544"/>
      <c r="M47" s="577"/>
      <c r="N47" s="577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  <c r="AA47" s="544"/>
      <c r="AB47" s="544"/>
      <c r="AC47" s="544"/>
    </row>
    <row r="48" spans="1:29" ht="12.75" outlineLevel="1">
      <c r="A48" s="615"/>
      <c r="B48" s="536">
        <f>_xlfn.XLOOKUP(C48,'메디컬 SKU'!C:C,'메디컬 SKU'!A:A)</f>
        <v>117771</v>
      </c>
      <c r="C48" s="547" t="s">
        <v>144</v>
      </c>
      <c r="D48" s="690">
        <f t="shared" si="8"/>
        <v>0</v>
      </c>
      <c r="E48" s="690">
        <f t="shared" si="7"/>
        <v>-121</v>
      </c>
      <c r="F48" s="690">
        <f t="shared" si="7"/>
        <v>-57</v>
      </c>
      <c r="G48" s="690">
        <f t="shared" si="7"/>
        <v>-113</v>
      </c>
      <c r="H48" s="690">
        <f t="shared" si="7"/>
        <v>-114</v>
      </c>
      <c r="I48" s="690">
        <f t="shared" si="7"/>
        <v>34</v>
      </c>
      <c r="J48" s="690">
        <f t="shared" si="7"/>
        <v>-22</v>
      </c>
      <c r="K48" s="571"/>
      <c r="L48" s="544"/>
      <c r="M48" s="577"/>
      <c r="N48" s="577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  <c r="AA48" s="544"/>
      <c r="AB48" s="544"/>
      <c r="AC48" s="544"/>
    </row>
    <row r="49" spans="1:29" ht="12.75" outlineLevel="1">
      <c r="A49" s="615"/>
      <c r="B49" s="536">
        <f>_xlfn.XLOOKUP(C49,'메디컬 SKU'!C:C,'메디컬 SKU'!A:A)</f>
        <v>646546</v>
      </c>
      <c r="C49" s="547" t="s">
        <v>145</v>
      </c>
      <c r="D49" s="690">
        <f t="shared" si="8"/>
        <v>0</v>
      </c>
      <c r="E49" s="691">
        <f t="shared" si="7"/>
        <v>-35</v>
      </c>
      <c r="F49" s="690">
        <f t="shared" si="7"/>
        <v>-1</v>
      </c>
      <c r="G49" s="691">
        <f t="shared" si="7"/>
        <v>-36</v>
      </c>
      <c r="H49" s="691">
        <f t="shared" si="7"/>
        <v>64</v>
      </c>
      <c r="I49" s="691">
        <f t="shared" si="7"/>
        <v>194</v>
      </c>
      <c r="J49" s="691">
        <f t="shared" si="7"/>
        <v>159</v>
      </c>
      <c r="K49" s="571"/>
      <c r="L49" s="544"/>
      <c r="M49" s="577"/>
      <c r="N49" s="577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  <c r="AC49" s="544"/>
    </row>
    <row r="50" spans="1:29" ht="12.75" outlineLevel="1">
      <c r="A50" s="615"/>
      <c r="B50" s="536">
        <f>_xlfn.XLOOKUP(C50,'메디컬 SKU'!C:C,'메디컬 SKU'!A:A)</f>
        <v>646567</v>
      </c>
      <c r="C50" s="547" t="s">
        <v>146</v>
      </c>
      <c r="D50" s="690">
        <f t="shared" si="8"/>
        <v>0</v>
      </c>
      <c r="E50" s="537">
        <f t="shared" si="7"/>
        <v>14</v>
      </c>
      <c r="F50" s="537">
        <f t="shared" si="7"/>
        <v>-8</v>
      </c>
      <c r="G50" s="537">
        <f t="shared" si="7"/>
        <v>-30</v>
      </c>
      <c r="H50" s="537">
        <f t="shared" si="7"/>
        <v>-16</v>
      </c>
      <c r="I50" s="537">
        <f t="shared" si="7"/>
        <v>121</v>
      </c>
      <c r="J50" s="537">
        <f t="shared" si="7"/>
        <v>99</v>
      </c>
      <c r="K50" s="571"/>
      <c r="L50" s="544"/>
      <c r="M50" s="577"/>
      <c r="N50" s="577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  <c r="AC50" s="544"/>
    </row>
    <row r="51" spans="1:29" ht="12.75" outlineLevel="1">
      <c r="A51" s="615"/>
      <c r="B51" s="536">
        <f>_xlfn.XLOOKUP(C51,'메디컬 SKU'!C:C,'메디컬 SKU'!A:A)</f>
        <v>691217</v>
      </c>
      <c r="C51" s="547" t="s">
        <v>147</v>
      </c>
      <c r="D51" s="690">
        <f t="shared" si="8"/>
        <v>0</v>
      </c>
      <c r="E51" s="537">
        <f t="shared" si="7"/>
        <v>-31</v>
      </c>
      <c r="F51" s="537">
        <f t="shared" si="7"/>
        <v>-62</v>
      </c>
      <c r="G51" s="537">
        <f t="shared" si="7"/>
        <v>-45</v>
      </c>
      <c r="H51" s="537">
        <f t="shared" si="7"/>
        <v>56</v>
      </c>
      <c r="I51" s="537">
        <f t="shared" si="7"/>
        <v>109</v>
      </c>
      <c r="J51" s="537">
        <f t="shared" si="7"/>
        <v>78</v>
      </c>
      <c r="K51" s="571"/>
      <c r="L51" s="544"/>
      <c r="M51" s="577"/>
      <c r="N51" s="577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  <c r="AA51" s="544"/>
      <c r="AB51" s="544"/>
      <c r="AC51" s="544"/>
    </row>
    <row r="52" spans="1:29" ht="12.75" outlineLevel="1">
      <c r="A52" s="615"/>
      <c r="B52" s="536">
        <f>_xlfn.XLOOKUP(C52,'메디컬 SKU'!C:C,'메디컬 SKU'!A:A)</f>
        <v>611174</v>
      </c>
      <c r="C52" s="547" t="s">
        <v>148</v>
      </c>
      <c r="D52" s="690">
        <f t="shared" si="8"/>
        <v>0</v>
      </c>
      <c r="E52" s="537">
        <f t="shared" si="7"/>
        <v>-2951</v>
      </c>
      <c r="F52" s="537">
        <f t="shared" si="7"/>
        <v>-5951</v>
      </c>
      <c r="G52" s="537">
        <f t="shared" si="7"/>
        <v>-8951</v>
      </c>
      <c r="H52" s="537">
        <f t="shared" si="7"/>
        <v>-11902</v>
      </c>
      <c r="I52" s="537">
        <f t="shared" si="7"/>
        <v>-14902</v>
      </c>
      <c r="J52" s="537">
        <f t="shared" si="7"/>
        <v>-17902</v>
      </c>
      <c r="K52" s="571"/>
      <c r="L52" s="544"/>
      <c r="M52" s="577"/>
      <c r="N52" s="577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  <c r="AC52" s="544"/>
    </row>
    <row r="53" spans="1:29" ht="12.75" outlineLevel="1">
      <c r="A53" s="615"/>
      <c r="B53" s="536">
        <f>_xlfn.XLOOKUP(C53,'메디컬 SKU'!C:C,'메디컬 SKU'!A:A)</f>
        <v>701775</v>
      </c>
      <c r="C53" s="547" t="s">
        <v>149</v>
      </c>
      <c r="D53" s="690">
        <f t="shared" si="8"/>
        <v>0</v>
      </c>
      <c r="E53" s="537">
        <f t="shared" si="7"/>
        <v>-2237</v>
      </c>
      <c r="F53" s="537">
        <f t="shared" si="7"/>
        <v>536</v>
      </c>
      <c r="G53" s="537">
        <f t="shared" si="7"/>
        <v>1365</v>
      </c>
      <c r="H53" s="537">
        <f t="shared" si="7"/>
        <v>1720</v>
      </c>
      <c r="I53" s="537">
        <f t="shared" si="7"/>
        <v>1901</v>
      </c>
      <c r="J53" s="537">
        <f t="shared" si="7"/>
        <v>138</v>
      </c>
      <c r="K53" s="571"/>
      <c r="L53" s="544"/>
      <c r="M53" s="577"/>
      <c r="N53" s="577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  <c r="AC53" s="544"/>
    </row>
    <row r="54" spans="1:29" ht="12.75" outlineLevel="1">
      <c r="A54" s="615"/>
      <c r="B54" s="536">
        <f>_xlfn.XLOOKUP(C54,'메디컬 SKU'!C:C,'메디컬 SKU'!A:A)</f>
        <v>646548</v>
      </c>
      <c r="C54" s="547" t="s">
        <v>150</v>
      </c>
      <c r="D54" s="690">
        <f t="shared" si="8"/>
        <v>0</v>
      </c>
      <c r="E54" s="537">
        <f t="shared" si="7"/>
        <v>98</v>
      </c>
      <c r="F54" s="537">
        <f t="shared" si="7"/>
        <v>60</v>
      </c>
      <c r="G54" s="537">
        <f t="shared" si="7"/>
        <v>22</v>
      </c>
      <c r="H54" s="537">
        <f t="shared" si="7"/>
        <v>12</v>
      </c>
      <c r="I54" s="537">
        <f t="shared" si="7"/>
        <v>112</v>
      </c>
      <c r="J54" s="537">
        <f t="shared" si="7"/>
        <v>74</v>
      </c>
      <c r="K54" s="571"/>
      <c r="L54" s="544"/>
      <c r="M54" s="577"/>
      <c r="N54" s="577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  <c r="AC54" s="544"/>
    </row>
    <row r="55" spans="1:29" ht="12.75" outlineLevel="1">
      <c r="A55" s="615"/>
      <c r="B55" s="536">
        <f>_xlfn.XLOOKUP(C55,'메디컬 SKU'!C:C,'메디컬 SKU'!A:A)</f>
        <v>589462</v>
      </c>
      <c r="C55" s="547" t="s">
        <v>151</v>
      </c>
      <c r="D55" s="690">
        <f t="shared" si="8"/>
        <v>0</v>
      </c>
      <c r="E55" s="537">
        <f t="shared" si="7"/>
        <v>-6</v>
      </c>
      <c r="F55" s="537">
        <f t="shared" si="7"/>
        <v>30</v>
      </c>
      <c r="G55" s="537">
        <f t="shared" si="7"/>
        <v>0</v>
      </c>
      <c r="H55" s="537">
        <f t="shared" si="7"/>
        <v>-42</v>
      </c>
      <c r="I55" s="537">
        <f t="shared" si="7"/>
        <v>60</v>
      </c>
      <c r="J55" s="537">
        <f t="shared" si="7"/>
        <v>30</v>
      </c>
      <c r="K55" s="571"/>
      <c r="L55" s="544"/>
      <c r="M55" s="577"/>
      <c r="N55" s="577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  <c r="AC55" s="544"/>
    </row>
    <row r="56" spans="1:29" ht="12.75" outlineLevel="1">
      <c r="A56" s="615"/>
      <c r="B56" s="536">
        <f>_xlfn.XLOOKUP(C56,'메디컬 SKU'!C:C,'메디컬 SKU'!A:A)</f>
        <v>589466</v>
      </c>
      <c r="C56" s="547" t="s">
        <v>152</v>
      </c>
      <c r="D56" s="690">
        <f t="shared" si="8"/>
        <v>0</v>
      </c>
      <c r="E56" s="537">
        <f t="shared" si="7"/>
        <v>122</v>
      </c>
      <c r="F56" s="537">
        <f t="shared" si="7"/>
        <v>50</v>
      </c>
      <c r="G56" s="537">
        <f t="shared" si="7"/>
        <v>-22</v>
      </c>
      <c r="H56" s="537">
        <f t="shared" si="7"/>
        <v>22</v>
      </c>
      <c r="I56" s="537">
        <f t="shared" si="7"/>
        <v>280</v>
      </c>
      <c r="J56" s="537">
        <f t="shared" si="7"/>
        <v>208</v>
      </c>
      <c r="K56" s="571"/>
      <c r="L56" s="544"/>
      <c r="M56" s="577"/>
      <c r="N56" s="577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  <c r="AA56" s="544"/>
      <c r="AB56" s="544"/>
      <c r="AC56" s="544"/>
    </row>
    <row r="57" spans="1:29" ht="12.75" outlineLevel="1">
      <c r="A57" s="615"/>
      <c r="B57" s="536">
        <f>_xlfn.XLOOKUP(C57,'메디컬 SKU'!C:C,'메디컬 SKU'!A:A)</f>
        <v>116180</v>
      </c>
      <c r="C57" s="547" t="s">
        <v>153</v>
      </c>
      <c r="D57" s="690">
        <f t="shared" si="8"/>
        <v>0</v>
      </c>
      <c r="E57" s="537">
        <f t="shared" si="7"/>
        <v>-225</v>
      </c>
      <c r="F57" s="537">
        <f t="shared" si="7"/>
        <v>153</v>
      </c>
      <c r="G57" s="537">
        <f t="shared" si="7"/>
        <v>123</v>
      </c>
      <c r="H57" s="537">
        <f t="shared" si="7"/>
        <v>-144</v>
      </c>
      <c r="I57" s="537">
        <f t="shared" si="7"/>
        <v>561</v>
      </c>
      <c r="J57" s="537">
        <f t="shared" si="7"/>
        <v>531</v>
      </c>
      <c r="K57" s="571"/>
      <c r="L57" s="544"/>
      <c r="M57" s="577"/>
      <c r="N57" s="577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  <c r="AA57" s="544"/>
      <c r="AB57" s="544"/>
      <c r="AC57" s="544"/>
    </row>
    <row r="58" spans="1:29" ht="12.75" outlineLevel="1">
      <c r="A58" s="615"/>
      <c r="B58" s="536">
        <f>_xlfn.XLOOKUP(C58,'메디컬 SKU'!C:C,'메디컬 SKU'!A:A)</f>
        <v>695413</v>
      </c>
      <c r="C58" s="547" t="s">
        <v>154</v>
      </c>
      <c r="D58" s="690">
        <f t="shared" si="8"/>
        <v>0</v>
      </c>
      <c r="E58" s="537">
        <f t="shared" si="7"/>
        <v>161</v>
      </c>
      <c r="F58" s="537">
        <f t="shared" si="7"/>
        <v>112</v>
      </c>
      <c r="G58" s="537">
        <f t="shared" si="7"/>
        <v>63</v>
      </c>
      <c r="H58" s="537">
        <f t="shared" si="7"/>
        <v>104</v>
      </c>
      <c r="I58" s="537">
        <f t="shared" si="7"/>
        <v>151</v>
      </c>
      <c r="J58" s="537">
        <f t="shared" si="7"/>
        <v>102</v>
      </c>
      <c r="K58" s="571"/>
      <c r="L58" s="544"/>
      <c r="M58" s="577"/>
      <c r="N58" s="577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544"/>
      <c r="AC58" s="544"/>
    </row>
    <row r="59" spans="1:29" ht="12.75" outlineLevel="1">
      <c r="A59" s="615"/>
      <c r="B59" s="536">
        <f>_xlfn.XLOOKUP(C59,'메디컬 SKU'!C:C,'메디컬 SKU'!A:A)</f>
        <v>699883</v>
      </c>
      <c r="C59" s="547" t="s">
        <v>155</v>
      </c>
      <c r="D59" s="690">
        <f t="shared" si="8"/>
        <v>0</v>
      </c>
      <c r="E59" s="537">
        <f t="shared" si="7"/>
        <v>54</v>
      </c>
      <c r="F59" s="537">
        <f t="shared" si="7"/>
        <v>28</v>
      </c>
      <c r="G59" s="537">
        <f t="shared" si="7"/>
        <v>2</v>
      </c>
      <c r="H59" s="537">
        <f t="shared" si="7"/>
        <v>14</v>
      </c>
      <c r="I59" s="537">
        <f t="shared" si="7"/>
        <v>132</v>
      </c>
      <c r="J59" s="537">
        <f t="shared" si="7"/>
        <v>106</v>
      </c>
      <c r="K59" s="571"/>
      <c r="L59" s="544"/>
      <c r="M59" s="577"/>
      <c r="N59" s="577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  <c r="AC59" s="544"/>
    </row>
    <row r="60" spans="1:29" ht="12.75" outlineLevel="1">
      <c r="A60" s="615"/>
      <c r="B60" s="536">
        <f>_xlfn.XLOOKUP(C60,'메디컬 SKU'!C:C,'메디컬 SKU'!A:A)</f>
        <v>645380</v>
      </c>
      <c r="C60" s="547" t="s">
        <v>156</v>
      </c>
      <c r="D60" s="690">
        <f t="shared" si="8"/>
        <v>0</v>
      </c>
      <c r="E60" s="537">
        <f t="shared" si="7"/>
        <v>2539</v>
      </c>
      <c r="F60" s="537">
        <f t="shared" si="7"/>
        <v>2486</v>
      </c>
      <c r="G60" s="537">
        <f t="shared" si="7"/>
        <v>1569</v>
      </c>
      <c r="H60" s="537">
        <f t="shared" si="7"/>
        <v>2380</v>
      </c>
      <c r="I60" s="537">
        <f t="shared" si="7"/>
        <v>3863</v>
      </c>
      <c r="J60" s="537">
        <f t="shared" si="7"/>
        <v>2946</v>
      </c>
      <c r="K60" s="571"/>
      <c r="L60" s="544"/>
      <c r="M60" s="577"/>
      <c r="N60" s="577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4"/>
      <c r="AB60" s="544"/>
      <c r="AC60" s="544"/>
    </row>
    <row r="61" spans="1:29" ht="12.75" outlineLevel="1">
      <c r="A61" s="615"/>
      <c r="B61" s="536">
        <f>_xlfn.XLOOKUP(C61,'메디컬 SKU'!C:C,'메디컬 SKU'!A:A)</f>
        <v>578785</v>
      </c>
      <c r="C61" s="547" t="s">
        <v>157</v>
      </c>
      <c r="D61" s="690">
        <f t="shared" si="8"/>
        <v>0</v>
      </c>
      <c r="E61" s="537">
        <f t="shared" si="7"/>
        <v>316</v>
      </c>
      <c r="F61" s="537">
        <f t="shared" si="7"/>
        <v>205</v>
      </c>
      <c r="G61" s="537">
        <f t="shared" si="7"/>
        <v>20</v>
      </c>
      <c r="H61" s="537">
        <f t="shared" si="7"/>
        <v>-325</v>
      </c>
      <c r="I61" s="537">
        <f t="shared" si="7"/>
        <v>-179</v>
      </c>
      <c r="J61" s="537">
        <f t="shared" si="7"/>
        <v>-364</v>
      </c>
      <c r="K61" s="571"/>
      <c r="L61" s="544"/>
      <c r="M61" s="577"/>
      <c r="N61" s="577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4"/>
      <c r="AB61" s="544"/>
      <c r="AC61" s="544"/>
    </row>
    <row r="62" spans="1:29" ht="12.75" outlineLevel="1">
      <c r="A62" s="615"/>
      <c r="B62" s="624" t="s">
        <v>18</v>
      </c>
      <c r="C62" s="624"/>
      <c r="D62" s="553">
        <f t="shared" ref="D62:J62" si="9">SUM(D46:D61)</f>
        <v>0</v>
      </c>
      <c r="E62" s="553">
        <f t="shared" si="9"/>
        <v>-3846</v>
      </c>
      <c r="F62" s="553">
        <f t="shared" si="9"/>
        <v>-4095</v>
      </c>
      <c r="G62" s="553">
        <f t="shared" si="9"/>
        <v>-8489</v>
      </c>
      <c r="H62" s="553">
        <f t="shared" si="9"/>
        <v>-11907</v>
      </c>
      <c r="I62" s="553">
        <v>19798</v>
      </c>
      <c r="J62" s="553">
        <f t="shared" si="9"/>
        <v>-18873</v>
      </c>
      <c r="K62" s="571"/>
      <c r="L62" s="544"/>
      <c r="M62" s="577"/>
      <c r="N62" s="577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  <c r="AA62" s="544"/>
      <c r="AB62" s="544"/>
      <c r="AC62" s="544"/>
    </row>
    <row r="63" spans="1:29" ht="13.5">
      <c r="A63" s="532"/>
      <c r="B63" s="532"/>
      <c r="C63" s="532"/>
      <c r="D63" s="532"/>
      <c r="E63" s="532"/>
      <c r="F63" s="532"/>
      <c r="G63" s="532"/>
      <c r="H63" s="532"/>
      <c r="I63" s="532"/>
      <c r="L63" s="575" t="s">
        <v>516</v>
      </c>
      <c r="M63" s="576">
        <v>331</v>
      </c>
      <c r="N63" s="576">
        <f>M63*N19</f>
        <v>3310</v>
      </c>
    </row>
    <row r="64" spans="1:29" ht="12.75">
      <c r="A64" s="532"/>
      <c r="B64" s="532"/>
      <c r="C64" s="532"/>
      <c r="D64" s="532"/>
      <c r="E64" s="532"/>
      <c r="F64" s="532"/>
      <c r="G64" s="532"/>
      <c r="H64" s="532"/>
      <c r="I64" s="532"/>
    </row>
    <row r="65" spans="1:29" ht="12.75">
      <c r="A65" s="616" t="s">
        <v>160</v>
      </c>
      <c r="B65" s="616"/>
      <c r="C65" s="615"/>
      <c r="D65" s="549" t="s">
        <v>497</v>
      </c>
      <c r="E65" s="549" t="s">
        <v>141</v>
      </c>
      <c r="F65" s="549" t="s">
        <v>6</v>
      </c>
      <c r="G65" s="549" t="s">
        <v>7</v>
      </c>
      <c r="H65" s="549" t="s">
        <v>8</v>
      </c>
      <c r="I65" s="549" t="s">
        <v>9</v>
      </c>
      <c r="J65" s="549" t="s">
        <v>517</v>
      </c>
      <c r="K65" s="571"/>
      <c r="L65" s="542"/>
      <c r="M65" s="542"/>
      <c r="N65" s="542"/>
      <c r="O65" s="542"/>
      <c r="P65" s="542"/>
      <c r="Q65" s="542"/>
      <c r="R65" s="542"/>
      <c r="S65" s="542"/>
      <c r="T65" s="542"/>
      <c r="U65" s="542"/>
      <c r="V65" s="542"/>
      <c r="W65" s="542"/>
      <c r="X65" s="542"/>
      <c r="Y65" s="542"/>
      <c r="Z65" s="542"/>
      <c r="AA65" s="542"/>
      <c r="AB65" s="542"/>
      <c r="AC65" s="542"/>
    </row>
    <row r="66" spans="1:29" ht="12.75">
      <c r="A66" s="617" t="s">
        <v>161</v>
      </c>
      <c r="B66" s="536">
        <f>_xlfn.XLOOKUP(C66,'메디컬 SKU'!C:C,'메디컬 SKU'!A:A)</f>
        <v>117547</v>
      </c>
      <c r="C66" s="536" t="s">
        <v>142</v>
      </c>
      <c r="D66" s="554"/>
      <c r="E66" s="554">
        <f t="shared" ref="E66:J81" si="10">E46/E26</f>
        <v>-0.48663101604278075</v>
      </c>
      <c r="F66" s="554">
        <f t="shared" si="10"/>
        <v>1.9786096256684491</v>
      </c>
      <c r="G66" s="554">
        <f t="shared" si="10"/>
        <v>0.97860962566844922</v>
      </c>
      <c r="H66" s="554">
        <f t="shared" si="10"/>
        <v>1.9037433155080214</v>
      </c>
      <c r="I66" s="554">
        <f t="shared" ref="I66" si="11">I46/I26</f>
        <v>2.1871657754010694</v>
      </c>
      <c r="J66" s="554">
        <f t="shared" si="10"/>
        <v>1.1871657754010696</v>
      </c>
      <c r="K66" s="571"/>
      <c r="L66" s="542"/>
      <c r="M66" s="542"/>
      <c r="N66" s="542"/>
      <c r="O66" s="542"/>
      <c r="P66" s="542"/>
      <c r="Q66" s="542"/>
      <c r="R66" s="542"/>
      <c r="S66" s="542"/>
      <c r="T66" s="542"/>
      <c r="U66" s="542"/>
      <c r="V66" s="542"/>
      <c r="W66" s="542"/>
      <c r="X66" s="542"/>
      <c r="Y66" s="542"/>
      <c r="Z66" s="542"/>
      <c r="AA66" s="542"/>
      <c r="AB66" s="542"/>
      <c r="AC66" s="542"/>
    </row>
    <row r="67" spans="1:29" ht="12.75">
      <c r="A67" s="615"/>
      <c r="B67" s="536">
        <f>_xlfn.XLOOKUP(C67,'메디컬 SKU'!C:C,'메디컬 SKU'!A:A)</f>
        <v>552897</v>
      </c>
      <c r="C67" s="536" t="s">
        <v>143</v>
      </c>
      <c r="D67" s="555"/>
      <c r="E67" s="555">
        <f t="shared" si="10"/>
        <v>-1</v>
      </c>
      <c r="F67" s="555">
        <f t="shared" si="10"/>
        <v>-3.4502529510961213</v>
      </c>
      <c r="G67" s="555">
        <f t="shared" si="10"/>
        <v>-4.4502529510961217</v>
      </c>
      <c r="H67" s="555">
        <f t="shared" si="10"/>
        <v>-2.816242257398486</v>
      </c>
      <c r="I67" s="555">
        <f t="shared" ref="I67" si="12">I47/I27</f>
        <v>-7.9005059021922426</v>
      </c>
      <c r="J67" s="555">
        <f t="shared" si="10"/>
        <v>-8.9005059021922435</v>
      </c>
      <c r="K67" s="571"/>
      <c r="L67" s="542"/>
      <c r="M67" s="542"/>
      <c r="N67" s="542"/>
      <c r="O67" s="542"/>
      <c r="P67" s="542"/>
      <c r="Q67" s="542"/>
      <c r="R67" s="542"/>
      <c r="S67" s="542"/>
      <c r="T67" s="542"/>
      <c r="U67" s="542"/>
      <c r="V67" s="542"/>
      <c r="W67" s="542"/>
      <c r="X67" s="542"/>
      <c r="Y67" s="542"/>
      <c r="Z67" s="542"/>
      <c r="AA67" s="542"/>
      <c r="AB67" s="542"/>
      <c r="AC67" s="542"/>
    </row>
    <row r="68" spans="1:29" ht="12.75">
      <c r="A68" s="615"/>
      <c r="B68" s="536">
        <f>_xlfn.XLOOKUP(C68,'메디컬 SKU'!C:C,'메디컬 SKU'!A:A)</f>
        <v>117771</v>
      </c>
      <c r="C68" s="536" t="s">
        <v>144</v>
      </c>
      <c r="D68" s="555"/>
      <c r="E68" s="555">
        <f t="shared" si="10"/>
        <v>-1</v>
      </c>
      <c r="F68" s="555">
        <f t="shared" si="10"/>
        <v>-1.0178571428571428</v>
      </c>
      <c r="G68" s="555">
        <f t="shared" si="10"/>
        <v>-2.0178571428571428</v>
      </c>
      <c r="H68" s="555">
        <f t="shared" si="10"/>
        <v>-0.94214876033057848</v>
      </c>
      <c r="I68" s="555">
        <f t="shared" ref="I68" si="13">I48/I28</f>
        <v>0.6071428571428571</v>
      </c>
      <c r="J68" s="555">
        <f t="shared" si="10"/>
        <v>-0.39285714285714285</v>
      </c>
      <c r="K68" s="571"/>
      <c r="L68" s="542"/>
      <c r="M68" s="542"/>
      <c r="N68" s="542"/>
      <c r="O68" s="542"/>
      <c r="P68" s="542"/>
      <c r="Q68" s="542"/>
      <c r="R68" s="542"/>
      <c r="S68" s="542"/>
      <c r="T68" s="542"/>
      <c r="U68" s="542"/>
      <c r="V68" s="542"/>
      <c r="W68" s="542"/>
      <c r="X68" s="542"/>
      <c r="Y68" s="542"/>
      <c r="Z68" s="542"/>
      <c r="AA68" s="542"/>
      <c r="AB68" s="542"/>
      <c r="AC68" s="542"/>
    </row>
    <row r="69" spans="1:29" ht="12.75">
      <c r="A69" s="615"/>
      <c r="B69" s="536">
        <f>_xlfn.XLOOKUP(C69,'메디컬 SKU'!C:C,'메디컬 SKU'!A:A)</f>
        <v>646546</v>
      </c>
      <c r="C69" s="536" t="s">
        <v>145</v>
      </c>
      <c r="D69" s="554"/>
      <c r="E69" s="554">
        <f t="shared" si="10"/>
        <v>-1</v>
      </c>
      <c r="F69" s="554">
        <f t="shared" si="10"/>
        <v>-2.8571428571428571E-2</v>
      </c>
      <c r="G69" s="554">
        <f t="shared" si="10"/>
        <v>-1.0285714285714285</v>
      </c>
      <c r="H69" s="554">
        <f t="shared" si="10"/>
        <v>1.8285714285714285</v>
      </c>
      <c r="I69" s="554">
        <f t="shared" ref="I69" si="14">I49/I29</f>
        <v>5.5428571428571427</v>
      </c>
      <c r="J69" s="554">
        <f t="shared" si="10"/>
        <v>4.5428571428571427</v>
      </c>
      <c r="K69" s="571"/>
      <c r="L69" s="542"/>
      <c r="M69" s="542"/>
      <c r="N69" s="542"/>
      <c r="O69" s="542"/>
      <c r="P69" s="542"/>
      <c r="Q69" s="542"/>
      <c r="R69" s="542"/>
      <c r="S69" s="542"/>
      <c r="T69" s="542"/>
      <c r="U69" s="542"/>
      <c r="V69" s="542"/>
      <c r="W69" s="542"/>
      <c r="X69" s="542"/>
      <c r="Y69" s="542"/>
      <c r="Z69" s="542"/>
      <c r="AA69" s="542"/>
      <c r="AB69" s="542"/>
      <c r="AC69" s="542"/>
    </row>
    <row r="70" spans="1:29" ht="12.75">
      <c r="A70" s="615"/>
      <c r="B70" s="536">
        <f>_xlfn.XLOOKUP(C70,'메디컬 SKU'!C:C,'메디컬 SKU'!A:A)</f>
        <v>646567</v>
      </c>
      <c r="C70" s="536" t="s">
        <v>146</v>
      </c>
      <c r="D70" s="556"/>
      <c r="E70" s="556">
        <f t="shared" si="10"/>
        <v>0.25454545454545452</v>
      </c>
      <c r="F70" s="556">
        <f t="shared" si="10"/>
        <v>-0.36363636363636365</v>
      </c>
      <c r="G70" s="556">
        <f t="shared" si="10"/>
        <v>-1.3636363636363635</v>
      </c>
      <c r="H70" s="556">
        <f t="shared" si="10"/>
        <v>-0.29090909090909089</v>
      </c>
      <c r="I70" s="556">
        <f t="shared" ref="I70" si="15">I50/I30</f>
        <v>5.5</v>
      </c>
      <c r="J70" s="556">
        <f t="shared" si="10"/>
        <v>4.5</v>
      </c>
      <c r="K70" s="571"/>
      <c r="L70" s="542"/>
      <c r="M70" s="542"/>
      <c r="N70" s="542"/>
      <c r="O70" s="542"/>
      <c r="P70" s="542"/>
      <c r="Q70" s="542"/>
      <c r="R70" s="542"/>
      <c r="S70" s="542"/>
      <c r="T70" s="542"/>
      <c r="U70" s="542"/>
      <c r="V70" s="542"/>
      <c r="W70" s="542"/>
      <c r="X70" s="542"/>
      <c r="Y70" s="542"/>
      <c r="Z70" s="542"/>
      <c r="AA70" s="542"/>
      <c r="AB70" s="542"/>
      <c r="AC70" s="542"/>
    </row>
    <row r="71" spans="1:29" ht="12.75">
      <c r="A71" s="615"/>
      <c r="B71" s="536">
        <f>_xlfn.XLOOKUP(C71,'메디컬 SKU'!C:C,'메디컬 SKU'!A:A)</f>
        <v>691217</v>
      </c>
      <c r="C71" s="536" t="s">
        <v>147</v>
      </c>
      <c r="D71" s="556"/>
      <c r="E71" s="556">
        <f t="shared" si="10"/>
        <v>-1</v>
      </c>
      <c r="F71" s="556">
        <f t="shared" si="10"/>
        <v>-2</v>
      </c>
      <c r="G71" s="556">
        <f t="shared" si="10"/>
        <v>-1.4516129032258065</v>
      </c>
      <c r="H71" s="556">
        <f t="shared" si="10"/>
        <v>1.8064516129032258</v>
      </c>
      <c r="I71" s="556">
        <f t="shared" ref="I71" si="16">I51/I31</f>
        <v>3.5161290322580645</v>
      </c>
      <c r="J71" s="556">
        <f t="shared" si="10"/>
        <v>2.5161290322580645</v>
      </c>
      <c r="K71" s="571"/>
      <c r="L71" s="542"/>
      <c r="M71" s="542"/>
      <c r="N71" s="542"/>
      <c r="O71" s="542"/>
      <c r="P71" s="542"/>
      <c r="Q71" s="542"/>
      <c r="R71" s="542"/>
      <c r="S71" s="542"/>
      <c r="T71" s="542"/>
      <c r="U71" s="542"/>
      <c r="V71" s="542"/>
      <c r="W71" s="542"/>
      <c r="X71" s="542"/>
      <c r="Y71" s="542"/>
      <c r="Z71" s="542"/>
      <c r="AA71" s="542"/>
      <c r="AB71" s="542"/>
      <c r="AC71" s="542"/>
    </row>
    <row r="72" spans="1:29" ht="12.75">
      <c r="A72" s="615"/>
      <c r="B72" s="536">
        <f>_xlfn.XLOOKUP(C72,'메디컬 SKU'!C:C,'메디컬 SKU'!A:A)</f>
        <v>611174</v>
      </c>
      <c r="C72" s="536" t="s">
        <v>148</v>
      </c>
      <c r="D72" s="556"/>
      <c r="E72" s="556">
        <f t="shared" si="10"/>
        <v>-1</v>
      </c>
      <c r="F72" s="556">
        <f t="shared" si="10"/>
        <v>-1.9836666666666667</v>
      </c>
      <c r="G72" s="556">
        <f t="shared" si="10"/>
        <v>-2.9836666666666667</v>
      </c>
      <c r="H72" s="556">
        <f t="shared" si="10"/>
        <v>-4.0332090816672315</v>
      </c>
      <c r="I72" s="556">
        <f t="shared" ref="I72" si="17">I52/I32</f>
        <v>-4.9673333333333334</v>
      </c>
      <c r="J72" s="556">
        <f t="shared" si="10"/>
        <v>-5.9673333333333334</v>
      </c>
      <c r="K72" s="571"/>
      <c r="L72" s="542"/>
      <c r="M72" s="542"/>
      <c r="N72" s="542"/>
      <c r="O72" s="542"/>
      <c r="P72" s="542"/>
      <c r="Q72" s="542"/>
      <c r="R72" s="542"/>
      <c r="S72" s="542"/>
      <c r="T72" s="542"/>
      <c r="U72" s="542"/>
      <c r="V72" s="542"/>
      <c r="W72" s="542"/>
      <c r="X72" s="542"/>
      <c r="Y72" s="542"/>
      <c r="Z72" s="542"/>
      <c r="AA72" s="542"/>
      <c r="AB72" s="542"/>
      <c r="AC72" s="542"/>
    </row>
    <row r="73" spans="1:29" ht="12.75">
      <c r="A73" s="615"/>
      <c r="B73" s="536">
        <f>_xlfn.XLOOKUP(C73,'메디컬 SKU'!C:C,'메디컬 SKU'!A:A)</f>
        <v>701775</v>
      </c>
      <c r="C73" s="536" t="s">
        <v>149</v>
      </c>
      <c r="D73" s="556"/>
      <c r="E73" s="556">
        <f t="shared" si="10"/>
        <v>-1</v>
      </c>
      <c r="F73" s="556">
        <f t="shared" si="10"/>
        <v>0.30402722631877482</v>
      </c>
      <c r="G73" s="556">
        <f t="shared" si="10"/>
        <v>0.77424844015882022</v>
      </c>
      <c r="H73" s="556">
        <f t="shared" si="10"/>
        <v>0.76888690210102817</v>
      </c>
      <c r="I73" s="556">
        <f t="shared" ref="I73" si="18">I53/I33</f>
        <v>1.078275666477595</v>
      </c>
      <c r="J73" s="556">
        <f t="shared" si="10"/>
        <v>7.8275666477595013E-2</v>
      </c>
      <c r="K73" s="571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  <c r="AA73" s="542"/>
      <c r="AB73" s="542"/>
      <c r="AC73" s="542"/>
    </row>
    <row r="74" spans="1:29" ht="12.75">
      <c r="A74" s="615"/>
      <c r="B74" s="536">
        <f>_xlfn.XLOOKUP(C74,'메디컬 SKU'!C:C,'메디컬 SKU'!A:A)</f>
        <v>646548</v>
      </c>
      <c r="C74" s="536" t="s">
        <v>150</v>
      </c>
      <c r="D74" s="556"/>
      <c r="E74" s="556">
        <f t="shared" si="10"/>
        <v>1.4</v>
      </c>
      <c r="F74" s="556">
        <f t="shared" si="10"/>
        <v>1.5789473684210527</v>
      </c>
      <c r="G74" s="556">
        <f t="shared" si="10"/>
        <v>0.57894736842105265</v>
      </c>
      <c r="H74" s="556">
        <f t="shared" si="10"/>
        <v>0.17142857142857143</v>
      </c>
      <c r="I74" s="556">
        <f t="shared" ref="I74" si="19">I54/I34</f>
        <v>2.9473684210526314</v>
      </c>
      <c r="J74" s="556">
        <f t="shared" si="10"/>
        <v>1.9473684210526316</v>
      </c>
      <c r="K74" s="571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  <c r="Y74" s="542"/>
      <c r="Z74" s="542"/>
      <c r="AA74" s="542"/>
      <c r="AB74" s="542"/>
      <c r="AC74" s="542"/>
    </row>
    <row r="75" spans="1:29" ht="12.75">
      <c r="A75" s="615"/>
      <c r="B75" s="536">
        <f>_xlfn.XLOOKUP(C75,'메디컬 SKU'!C:C,'메디컬 SKU'!A:A)</f>
        <v>589462</v>
      </c>
      <c r="C75" s="536" t="s">
        <v>151</v>
      </c>
      <c r="D75" s="556"/>
      <c r="E75" s="556">
        <f t="shared" si="10"/>
        <v>-5.8823529411764705E-2</v>
      </c>
      <c r="F75" s="556">
        <f t="shared" si="10"/>
        <v>1</v>
      </c>
      <c r="G75" s="556">
        <f t="shared" si="10"/>
        <v>0</v>
      </c>
      <c r="H75" s="556">
        <f t="shared" si="10"/>
        <v>-0.41176470588235292</v>
      </c>
      <c r="I75" s="556">
        <f t="shared" ref="I75" si="20">I55/I35</f>
        <v>2</v>
      </c>
      <c r="J75" s="556">
        <f t="shared" si="10"/>
        <v>1</v>
      </c>
      <c r="K75" s="571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  <c r="Y75" s="542"/>
      <c r="Z75" s="542"/>
      <c r="AA75" s="542"/>
      <c r="AB75" s="542"/>
      <c r="AC75" s="542"/>
    </row>
    <row r="76" spans="1:29" ht="12.75">
      <c r="A76" s="615"/>
      <c r="B76" s="536">
        <f>_xlfn.XLOOKUP(C76,'메디컬 SKU'!C:C,'메디컬 SKU'!A:A)</f>
        <v>589466</v>
      </c>
      <c r="C76" s="536" t="s">
        <v>152</v>
      </c>
      <c r="D76" s="556"/>
      <c r="E76" s="556">
        <f t="shared" si="10"/>
        <v>0.8970588235294118</v>
      </c>
      <c r="F76" s="556">
        <f t="shared" si="10"/>
        <v>0.69444444444444442</v>
      </c>
      <c r="G76" s="556">
        <f t="shared" si="10"/>
        <v>-0.30555555555555558</v>
      </c>
      <c r="H76" s="556">
        <f t="shared" si="10"/>
        <v>0.16176470588235295</v>
      </c>
      <c r="I76" s="556">
        <f t="shared" ref="I76" si="21">I56/I36</f>
        <v>3.8888888888888888</v>
      </c>
      <c r="J76" s="556">
        <f t="shared" si="10"/>
        <v>2.8888888888888888</v>
      </c>
      <c r="K76" s="571"/>
      <c r="L76" s="542"/>
      <c r="M76" s="542"/>
      <c r="N76" s="542"/>
      <c r="O76" s="542"/>
      <c r="P76" s="542"/>
      <c r="Q76" s="542"/>
      <c r="R76" s="542"/>
      <c r="S76" s="542"/>
      <c r="T76" s="542"/>
      <c r="U76" s="542"/>
      <c r="V76" s="542"/>
      <c r="W76" s="542"/>
      <c r="X76" s="542"/>
      <c r="Y76" s="542"/>
      <c r="Z76" s="542"/>
      <c r="AA76" s="542"/>
      <c r="AB76" s="542"/>
      <c r="AC76" s="542"/>
    </row>
    <row r="77" spans="1:29" ht="12.75">
      <c r="A77" s="615"/>
      <c r="B77" s="536">
        <f>_xlfn.XLOOKUP(C77,'메디컬 SKU'!C:C,'메디컬 SKU'!A:A)</f>
        <v>116180</v>
      </c>
      <c r="C77" s="536" t="s">
        <v>153</v>
      </c>
      <c r="D77" s="556"/>
      <c r="E77" s="556">
        <f t="shared" si="10"/>
        <v>-0.63025210084033612</v>
      </c>
      <c r="F77" s="556">
        <f t="shared" si="10"/>
        <v>5.0999999999999996</v>
      </c>
      <c r="G77" s="556">
        <f t="shared" si="10"/>
        <v>4.0999999999999996</v>
      </c>
      <c r="H77" s="556">
        <f t="shared" si="10"/>
        <v>-0.40336134453781514</v>
      </c>
      <c r="I77" s="556">
        <f t="shared" ref="I77" si="22">I57/I37</f>
        <v>18.7</v>
      </c>
      <c r="J77" s="556">
        <f t="shared" si="10"/>
        <v>17.7</v>
      </c>
      <c r="K77" s="571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  <c r="Y77" s="542"/>
      <c r="Z77" s="542"/>
      <c r="AA77" s="542"/>
      <c r="AB77" s="542"/>
      <c r="AC77" s="542"/>
    </row>
    <row r="78" spans="1:29" ht="12.75">
      <c r="A78" s="615"/>
      <c r="B78" s="536">
        <f>_xlfn.XLOOKUP(C78,'메디컬 SKU'!C:C,'메디컬 SKU'!A:A)</f>
        <v>695413</v>
      </c>
      <c r="C78" s="536" t="s">
        <v>154</v>
      </c>
      <c r="D78" s="556"/>
      <c r="E78" s="556">
        <f t="shared" si="10"/>
        <v>2.037974683544304</v>
      </c>
      <c r="F78" s="556">
        <f t="shared" si="10"/>
        <v>2.2857142857142856</v>
      </c>
      <c r="G78" s="556">
        <f t="shared" si="10"/>
        <v>1.2857142857142858</v>
      </c>
      <c r="H78" s="556">
        <f t="shared" si="10"/>
        <v>1.3164556962025316</v>
      </c>
      <c r="I78" s="556">
        <f t="shared" ref="I78" si="23">I58/I38</f>
        <v>3.0816326530612246</v>
      </c>
      <c r="J78" s="556">
        <f t="shared" si="10"/>
        <v>2.0816326530612246</v>
      </c>
      <c r="K78" s="571"/>
      <c r="L78" s="542"/>
      <c r="M78" s="542"/>
      <c r="N78" s="542"/>
      <c r="O78" s="542"/>
      <c r="P78" s="542"/>
      <c r="Q78" s="542"/>
      <c r="R78" s="542"/>
      <c r="S78" s="542"/>
      <c r="T78" s="542"/>
      <c r="U78" s="542"/>
      <c r="V78" s="542"/>
      <c r="W78" s="542"/>
      <c r="X78" s="542"/>
      <c r="Y78" s="542"/>
      <c r="Z78" s="542"/>
      <c r="AA78" s="542"/>
      <c r="AB78" s="542"/>
      <c r="AC78" s="542"/>
    </row>
    <row r="79" spans="1:29" ht="12.75">
      <c r="A79" s="615"/>
      <c r="B79" s="536">
        <f>_xlfn.XLOOKUP(C79,'메디컬 SKU'!C:C,'메디컬 SKU'!A:A)</f>
        <v>699883</v>
      </c>
      <c r="C79" s="536" t="s">
        <v>155</v>
      </c>
      <c r="D79" s="556"/>
      <c r="E79" s="556">
        <f t="shared" si="10"/>
        <v>0.69230769230769229</v>
      </c>
      <c r="F79" s="556">
        <f t="shared" si="10"/>
        <v>1.0769230769230769</v>
      </c>
      <c r="G79" s="556">
        <f t="shared" si="10"/>
        <v>7.6923076923076927E-2</v>
      </c>
      <c r="H79" s="556">
        <f t="shared" si="10"/>
        <v>0.17948717948717949</v>
      </c>
      <c r="I79" s="556">
        <f t="shared" ref="I79" si="24">I59/I39</f>
        <v>5.0769230769230766</v>
      </c>
      <c r="J79" s="556">
        <f t="shared" si="10"/>
        <v>4.0769230769230766</v>
      </c>
      <c r="K79" s="571"/>
      <c r="L79" s="542"/>
      <c r="M79" s="542"/>
      <c r="N79" s="542"/>
      <c r="O79" s="542"/>
      <c r="P79" s="542"/>
      <c r="Q79" s="542"/>
      <c r="R79" s="542"/>
      <c r="S79" s="542"/>
      <c r="T79" s="542"/>
      <c r="U79" s="542"/>
      <c r="V79" s="542"/>
      <c r="W79" s="542"/>
      <c r="X79" s="542"/>
      <c r="Y79" s="542"/>
      <c r="Z79" s="542"/>
      <c r="AA79" s="542"/>
      <c r="AB79" s="542"/>
      <c r="AC79" s="542"/>
    </row>
    <row r="80" spans="1:29" ht="12.75">
      <c r="A80" s="615"/>
      <c r="B80" s="536">
        <f>_xlfn.XLOOKUP(C80,'메디컬 SKU'!C:C,'메디컬 SKU'!A:A)</f>
        <v>645380</v>
      </c>
      <c r="C80" s="536" t="s">
        <v>156</v>
      </c>
      <c r="D80" s="556"/>
      <c r="E80" s="556">
        <f t="shared" si="10"/>
        <v>2.7688113413304252</v>
      </c>
      <c r="F80" s="556">
        <f t="shared" si="10"/>
        <v>2.7110141766630318</v>
      </c>
      <c r="G80" s="556">
        <f t="shared" si="10"/>
        <v>1.7110141766630316</v>
      </c>
      <c r="H80" s="556">
        <f t="shared" si="10"/>
        <v>2.5954198473282442</v>
      </c>
      <c r="I80" s="556">
        <f t="shared" ref="I80" si="25">I60/I40</f>
        <v>4.2126499454743733</v>
      </c>
      <c r="J80" s="556">
        <f t="shared" si="10"/>
        <v>3.2126499454743729</v>
      </c>
      <c r="K80" s="571"/>
      <c r="L80" s="542"/>
      <c r="M80" s="542"/>
      <c r="N80" s="542"/>
      <c r="O80" s="542"/>
      <c r="P80" s="542"/>
      <c r="Q80" s="542"/>
      <c r="R80" s="542"/>
      <c r="S80" s="542"/>
      <c r="T80" s="542"/>
      <c r="U80" s="542"/>
      <c r="V80" s="542"/>
      <c r="W80" s="542"/>
      <c r="X80" s="542"/>
      <c r="Y80" s="542"/>
      <c r="Z80" s="542"/>
      <c r="AA80" s="542"/>
      <c r="AB80" s="542"/>
      <c r="AC80" s="542"/>
    </row>
    <row r="81" spans="1:29" ht="12.75">
      <c r="A81" s="615"/>
      <c r="B81" s="536">
        <f>_xlfn.XLOOKUP(C81,'메디컬 SKU'!C:C,'메디컬 SKU'!A:A)</f>
        <v>578785</v>
      </c>
      <c r="C81" s="536" t="s">
        <v>157</v>
      </c>
      <c r="D81" s="556"/>
      <c r="E81" s="556">
        <f t="shared" si="10"/>
        <v>0.91594202898550725</v>
      </c>
      <c r="F81" s="556">
        <f t="shared" si="10"/>
        <v>1.1081081081081081</v>
      </c>
      <c r="G81" s="556">
        <f t="shared" si="10"/>
        <v>0.10810810810810811</v>
      </c>
      <c r="H81" s="556">
        <f t="shared" si="10"/>
        <v>-0.94202898550724634</v>
      </c>
      <c r="I81" s="556">
        <f t="shared" ref="I81" si="26">I61/I41</f>
        <v>-0.96756756756756757</v>
      </c>
      <c r="J81" s="556">
        <f t="shared" si="10"/>
        <v>-1.9675675675675677</v>
      </c>
      <c r="K81" s="571"/>
      <c r="L81" s="542"/>
      <c r="M81" s="542"/>
      <c r="N81" s="542"/>
      <c r="O81" s="542"/>
      <c r="P81" s="542"/>
      <c r="Q81" s="542"/>
      <c r="R81" s="542"/>
      <c r="S81" s="542"/>
      <c r="T81" s="542"/>
      <c r="U81" s="542"/>
      <c r="V81" s="542"/>
      <c r="W81" s="542"/>
      <c r="X81" s="542"/>
      <c r="Y81" s="542"/>
      <c r="Z81" s="542"/>
      <c r="AA81" s="542"/>
      <c r="AB81" s="542"/>
      <c r="AC81" s="542"/>
    </row>
    <row r="82" spans="1:29" ht="12.75">
      <c r="A82" s="615"/>
      <c r="B82" s="625" t="s">
        <v>18</v>
      </c>
      <c r="C82" s="625"/>
      <c r="D82" s="557" t="e">
        <f t="shared" ref="D82:J82" si="27">AVERAGE(D66:D81)</f>
        <v>#DIV/0!</v>
      </c>
      <c r="E82" s="557">
        <f t="shared" si="27"/>
        <v>0.11193333612174461</v>
      </c>
      <c r="F82" s="557">
        <f t="shared" si="27"/>
        <v>0.56211273496459391</v>
      </c>
      <c r="G82" s="557">
        <f t="shared" si="27"/>
        <v>-0.24922424562201628</v>
      </c>
      <c r="H82" s="557">
        <f t="shared" si="27"/>
        <v>5.5784064573736386E-2</v>
      </c>
      <c r="I82" s="557">
        <v>2.9120046509105442</v>
      </c>
      <c r="J82" s="557">
        <f t="shared" si="27"/>
        <v>1.7814766660277361</v>
      </c>
      <c r="K82" s="571"/>
      <c r="L82" s="542"/>
      <c r="M82" s="542"/>
      <c r="N82" s="542"/>
      <c r="O82" s="542"/>
      <c r="P82" s="542"/>
      <c r="Q82" s="542"/>
      <c r="R82" s="542"/>
      <c r="S82" s="542"/>
      <c r="T82" s="542"/>
      <c r="U82" s="542"/>
      <c r="V82" s="542"/>
      <c r="W82" s="542"/>
      <c r="X82" s="542"/>
      <c r="Y82" s="542"/>
      <c r="Z82" s="542"/>
      <c r="AA82" s="542"/>
      <c r="AB82" s="542"/>
      <c r="AC82" s="542"/>
    </row>
    <row r="83" spans="1:29" ht="12.75">
      <c r="A83" s="532"/>
      <c r="B83" s="532"/>
      <c r="C83" s="532"/>
      <c r="D83" s="532"/>
      <c r="E83" s="532"/>
      <c r="F83" s="532"/>
      <c r="G83" s="532"/>
      <c r="H83" s="532"/>
      <c r="I83" s="532"/>
    </row>
    <row r="84" spans="1:29" ht="12.75">
      <c r="A84" s="532"/>
      <c r="B84" s="532"/>
      <c r="C84" s="532"/>
      <c r="D84" s="532"/>
      <c r="E84" s="532"/>
      <c r="F84" s="532"/>
      <c r="G84" s="532"/>
      <c r="H84" s="532"/>
      <c r="I84" s="532"/>
    </row>
    <row r="85" spans="1:29" ht="12.75">
      <c r="A85" s="532"/>
      <c r="B85" s="532"/>
      <c r="C85" s="532"/>
      <c r="D85" s="532"/>
      <c r="E85" s="532"/>
      <c r="F85" s="532"/>
      <c r="G85" s="532"/>
      <c r="H85" s="532"/>
      <c r="I85" s="532"/>
    </row>
    <row r="86" spans="1:29" ht="12.75">
      <c r="A86" s="532"/>
      <c r="B86" s="532"/>
      <c r="C86" s="532"/>
      <c r="D86" s="532"/>
      <c r="E86" s="532"/>
      <c r="F86" s="532"/>
      <c r="G86" s="532"/>
      <c r="H86" s="532"/>
      <c r="I86" s="532"/>
    </row>
    <row r="87" spans="1:29" ht="12.75">
      <c r="A87" s="532"/>
      <c r="B87" s="532"/>
      <c r="C87" s="532"/>
      <c r="D87" s="532"/>
      <c r="E87" s="532"/>
      <c r="F87" s="532"/>
      <c r="G87" s="532"/>
      <c r="H87" s="532"/>
      <c r="I87" s="532"/>
    </row>
    <row r="88" spans="1:29" ht="12.75">
      <c r="A88" s="532"/>
      <c r="B88" s="532"/>
      <c r="C88" s="532"/>
      <c r="D88" s="532"/>
      <c r="E88" s="532"/>
      <c r="F88" s="532"/>
      <c r="G88" s="532"/>
      <c r="H88" s="532"/>
      <c r="I88" s="532"/>
    </row>
    <row r="89" spans="1:29" ht="12.75">
      <c r="A89" s="532"/>
      <c r="B89" s="532"/>
      <c r="C89" s="532"/>
      <c r="D89" s="532"/>
      <c r="E89" s="532"/>
      <c r="F89" s="532"/>
      <c r="G89" s="532"/>
      <c r="H89" s="532"/>
      <c r="I89" s="532"/>
    </row>
    <row r="90" spans="1:29" ht="12.75">
      <c r="A90" s="532"/>
      <c r="B90" s="532"/>
      <c r="C90" s="532"/>
      <c r="D90" s="532"/>
      <c r="E90" s="532"/>
      <c r="F90" s="532"/>
      <c r="G90" s="532"/>
      <c r="H90" s="532"/>
      <c r="I90" s="532"/>
    </row>
    <row r="91" spans="1:29" ht="12.75">
      <c r="A91" s="532"/>
      <c r="B91" s="532"/>
      <c r="C91" s="532"/>
      <c r="D91" s="532"/>
      <c r="E91" s="532"/>
      <c r="F91" s="532"/>
      <c r="G91" s="532"/>
      <c r="H91" s="532"/>
      <c r="I91" s="532"/>
    </row>
    <row r="92" spans="1:29" ht="12.75">
      <c r="A92" s="532"/>
      <c r="B92" s="532"/>
      <c r="C92" s="532"/>
      <c r="D92" s="532"/>
      <c r="E92" s="532"/>
      <c r="F92" s="532"/>
      <c r="G92" s="532"/>
      <c r="H92" s="532"/>
      <c r="I92" s="532"/>
    </row>
    <row r="93" spans="1:29" ht="12.75">
      <c r="A93" s="532"/>
      <c r="B93" s="532"/>
      <c r="C93" s="532"/>
      <c r="D93" s="532"/>
      <c r="E93" s="532"/>
      <c r="F93" s="532"/>
      <c r="G93" s="532"/>
      <c r="H93" s="532"/>
      <c r="I93" s="532"/>
    </row>
    <row r="94" spans="1:29" ht="12.75">
      <c r="A94" s="532"/>
      <c r="B94" s="532"/>
      <c r="C94" s="532"/>
      <c r="D94" s="532"/>
      <c r="E94" s="532"/>
      <c r="F94" s="532"/>
      <c r="G94" s="532"/>
      <c r="H94" s="532"/>
      <c r="I94" s="532"/>
    </row>
    <row r="95" spans="1:29" ht="12.75">
      <c r="A95" s="532"/>
      <c r="B95" s="532"/>
      <c r="C95" s="532"/>
      <c r="D95" s="532"/>
      <c r="E95" s="532"/>
      <c r="F95" s="532"/>
      <c r="G95" s="532"/>
      <c r="H95" s="532"/>
      <c r="I95" s="532"/>
    </row>
    <row r="96" spans="1:29" ht="12.75">
      <c r="A96" s="532"/>
      <c r="B96" s="532"/>
      <c r="C96" s="532"/>
      <c r="D96" s="532"/>
      <c r="E96" s="532"/>
      <c r="F96" s="532"/>
      <c r="G96" s="532"/>
      <c r="H96" s="532"/>
      <c r="I96" s="532"/>
    </row>
    <row r="97" spans="1:9" ht="12.75">
      <c r="A97" s="532"/>
      <c r="B97" s="532"/>
      <c r="C97" s="532"/>
      <c r="D97" s="532"/>
      <c r="E97" s="532"/>
      <c r="F97" s="532"/>
      <c r="G97" s="532"/>
      <c r="H97" s="532"/>
      <c r="I97" s="532"/>
    </row>
    <row r="98" spans="1:9" ht="12.75">
      <c r="A98" s="532"/>
      <c r="B98" s="532"/>
      <c r="C98" s="532"/>
      <c r="D98" s="532"/>
      <c r="E98" s="532"/>
      <c r="F98" s="532"/>
      <c r="G98" s="532"/>
      <c r="H98" s="532"/>
      <c r="I98" s="532"/>
    </row>
    <row r="99" spans="1:9" ht="12.75">
      <c r="A99" s="532"/>
      <c r="B99" s="532"/>
      <c r="C99" s="532"/>
      <c r="D99" s="532"/>
      <c r="E99" s="532"/>
      <c r="F99" s="532"/>
      <c r="G99" s="532"/>
      <c r="H99" s="532"/>
      <c r="I99" s="532"/>
    </row>
    <row r="100" spans="1:9" ht="12.75">
      <c r="A100" s="532"/>
      <c r="B100" s="532"/>
      <c r="C100" s="532"/>
      <c r="D100" s="532"/>
      <c r="E100" s="532"/>
      <c r="F100" s="532"/>
      <c r="G100" s="532"/>
      <c r="H100" s="532"/>
      <c r="I100" s="532"/>
    </row>
    <row r="101" spans="1:9" ht="12.75">
      <c r="A101" s="532"/>
      <c r="B101" s="532"/>
      <c r="C101" s="532"/>
      <c r="D101" s="532"/>
      <c r="E101" s="532"/>
      <c r="F101" s="532"/>
      <c r="G101" s="532"/>
      <c r="H101" s="532"/>
      <c r="I101" s="532"/>
    </row>
    <row r="102" spans="1:9" ht="12.75">
      <c r="A102" s="532"/>
      <c r="B102" s="532"/>
      <c r="C102" s="532"/>
      <c r="D102" s="532"/>
      <c r="E102" s="532"/>
      <c r="F102" s="532"/>
      <c r="G102" s="532"/>
      <c r="H102" s="532"/>
      <c r="I102" s="532"/>
    </row>
    <row r="103" spans="1:9" ht="12.75">
      <c r="A103" s="532"/>
      <c r="B103" s="532"/>
      <c r="C103" s="532"/>
      <c r="D103" s="532"/>
      <c r="E103" s="532"/>
      <c r="F103" s="532"/>
      <c r="G103" s="532"/>
      <c r="H103" s="532"/>
      <c r="I103" s="532"/>
    </row>
    <row r="104" spans="1:9" ht="12.75">
      <c r="A104" s="532"/>
      <c r="B104" s="532"/>
      <c r="C104" s="532"/>
      <c r="D104" s="532"/>
      <c r="E104" s="532"/>
      <c r="F104" s="532"/>
      <c r="G104" s="532"/>
      <c r="H104" s="532"/>
      <c r="I104" s="532"/>
    </row>
    <row r="105" spans="1:9" ht="12.75">
      <c r="A105" s="532"/>
      <c r="B105" s="532"/>
      <c r="C105" s="532"/>
      <c r="D105" s="532"/>
      <c r="E105" s="532"/>
      <c r="F105" s="532"/>
      <c r="G105" s="532"/>
      <c r="H105" s="532"/>
      <c r="I105" s="532"/>
    </row>
    <row r="106" spans="1:9" ht="12.75">
      <c r="A106" s="532"/>
      <c r="B106" s="532"/>
      <c r="C106" s="532"/>
      <c r="D106" s="532"/>
      <c r="E106" s="532"/>
      <c r="F106" s="532"/>
      <c r="G106" s="532"/>
      <c r="H106" s="532"/>
      <c r="I106" s="532"/>
    </row>
    <row r="107" spans="1:9" ht="12.75">
      <c r="A107" s="532"/>
      <c r="B107" s="532"/>
      <c r="C107" s="532"/>
      <c r="D107" s="532"/>
      <c r="E107" s="532"/>
      <c r="F107" s="532"/>
      <c r="G107" s="532"/>
      <c r="H107" s="532"/>
      <c r="I107" s="532"/>
    </row>
    <row r="108" spans="1:9" ht="12.75">
      <c r="A108" s="532"/>
      <c r="B108" s="532"/>
      <c r="C108" s="532"/>
      <c r="D108" s="532"/>
      <c r="E108" s="532"/>
      <c r="F108" s="532"/>
      <c r="G108" s="532"/>
      <c r="H108" s="532"/>
      <c r="I108" s="532"/>
    </row>
    <row r="109" spans="1:9" ht="12.75">
      <c r="A109" s="532"/>
      <c r="B109" s="532"/>
      <c r="C109" s="532"/>
      <c r="D109" s="532"/>
      <c r="E109" s="532"/>
      <c r="F109" s="532"/>
      <c r="G109" s="532"/>
      <c r="H109" s="532"/>
      <c r="I109" s="532"/>
    </row>
    <row r="110" spans="1:9" ht="12.75">
      <c r="A110" s="532"/>
      <c r="B110" s="532"/>
      <c r="C110" s="532"/>
      <c r="D110" s="532"/>
      <c r="E110" s="532"/>
      <c r="F110" s="532"/>
      <c r="G110" s="532"/>
      <c r="H110" s="532"/>
      <c r="I110" s="532"/>
    </row>
    <row r="111" spans="1:9" ht="12.75">
      <c r="A111" s="532"/>
      <c r="B111" s="532"/>
      <c r="C111" s="532"/>
      <c r="D111" s="532"/>
      <c r="E111" s="532"/>
      <c r="F111" s="532"/>
      <c r="G111" s="532"/>
      <c r="H111" s="532"/>
      <c r="I111" s="532"/>
    </row>
    <row r="112" spans="1:9" ht="12.75">
      <c r="A112" s="532"/>
      <c r="B112" s="532"/>
      <c r="C112" s="532"/>
      <c r="D112" s="532"/>
      <c r="E112" s="532"/>
      <c r="F112" s="532"/>
      <c r="G112" s="532"/>
      <c r="H112" s="532"/>
      <c r="I112" s="532"/>
    </row>
    <row r="113" spans="1:9" ht="12.75">
      <c r="A113" s="532"/>
      <c r="B113" s="532"/>
      <c r="C113" s="532"/>
      <c r="D113" s="532"/>
      <c r="E113" s="532"/>
      <c r="F113" s="532"/>
      <c r="G113" s="532"/>
      <c r="H113" s="532"/>
      <c r="I113" s="532"/>
    </row>
    <row r="114" spans="1:9" ht="12.75">
      <c r="A114" s="532"/>
      <c r="B114" s="532"/>
      <c r="C114" s="532"/>
      <c r="D114" s="532"/>
      <c r="E114" s="532"/>
      <c r="F114" s="532"/>
      <c r="G114" s="532"/>
      <c r="H114" s="532"/>
      <c r="I114" s="532"/>
    </row>
    <row r="115" spans="1:9" ht="12.75">
      <c r="A115" s="532"/>
      <c r="B115" s="532"/>
      <c r="C115" s="532"/>
      <c r="D115" s="532"/>
      <c r="E115" s="532"/>
      <c r="F115" s="532"/>
      <c r="G115" s="532"/>
      <c r="H115" s="532"/>
      <c r="I115" s="532"/>
    </row>
    <row r="116" spans="1:9" ht="12.75">
      <c r="A116" s="532"/>
      <c r="B116" s="532"/>
      <c r="C116" s="532"/>
      <c r="D116" s="532"/>
      <c r="E116" s="532"/>
      <c r="F116" s="532"/>
      <c r="G116" s="532"/>
      <c r="H116" s="532"/>
      <c r="I116" s="532"/>
    </row>
    <row r="117" spans="1:9" ht="12.75">
      <c r="A117" s="532"/>
      <c r="B117" s="532"/>
      <c r="C117" s="532"/>
      <c r="D117" s="532"/>
      <c r="E117" s="532"/>
      <c r="F117" s="532"/>
      <c r="G117" s="532"/>
      <c r="H117" s="532"/>
      <c r="I117" s="532"/>
    </row>
    <row r="118" spans="1:9" ht="12.75">
      <c r="A118" s="532"/>
      <c r="B118" s="532"/>
      <c r="C118" s="532"/>
      <c r="D118" s="532"/>
      <c r="E118" s="532"/>
      <c r="F118" s="532"/>
      <c r="G118" s="532"/>
      <c r="H118" s="532"/>
      <c r="I118" s="532"/>
    </row>
    <row r="119" spans="1:9" ht="12.75">
      <c r="A119" s="532"/>
      <c r="B119" s="532"/>
      <c r="C119" s="532"/>
      <c r="D119" s="532"/>
      <c r="E119" s="532"/>
      <c r="F119" s="532"/>
      <c r="G119" s="532"/>
      <c r="H119" s="532"/>
      <c r="I119" s="532"/>
    </row>
    <row r="120" spans="1:9" ht="12.75">
      <c r="A120" s="532"/>
      <c r="B120" s="532"/>
      <c r="C120" s="532"/>
      <c r="D120" s="532"/>
      <c r="E120" s="532"/>
      <c r="F120" s="532"/>
      <c r="G120" s="532"/>
      <c r="H120" s="532"/>
      <c r="I120" s="532"/>
    </row>
    <row r="121" spans="1:9" ht="12.75">
      <c r="A121" s="532"/>
      <c r="B121" s="532"/>
      <c r="C121" s="532"/>
      <c r="D121" s="532"/>
      <c r="E121" s="532"/>
      <c r="F121" s="532"/>
      <c r="G121" s="532"/>
      <c r="H121" s="532"/>
      <c r="I121" s="532"/>
    </row>
    <row r="122" spans="1:9" ht="12.75">
      <c r="A122" s="532"/>
      <c r="B122" s="532"/>
      <c r="C122" s="532"/>
      <c r="D122" s="532"/>
      <c r="E122" s="532"/>
      <c r="F122" s="532"/>
      <c r="G122" s="532"/>
      <c r="H122" s="532"/>
      <c r="I122" s="532"/>
    </row>
    <row r="123" spans="1:9" ht="12.75">
      <c r="A123" s="532"/>
      <c r="B123" s="532"/>
      <c r="C123" s="532"/>
      <c r="D123" s="532"/>
      <c r="E123" s="532"/>
      <c r="F123" s="532"/>
      <c r="G123" s="532"/>
      <c r="H123" s="532"/>
      <c r="I123" s="532"/>
    </row>
    <row r="124" spans="1:9" ht="12.75">
      <c r="A124" s="532"/>
      <c r="B124" s="532"/>
      <c r="C124" s="532"/>
      <c r="D124" s="532"/>
      <c r="E124" s="532"/>
      <c r="F124" s="532"/>
      <c r="G124" s="532"/>
      <c r="H124" s="532"/>
      <c r="I124" s="532"/>
    </row>
    <row r="125" spans="1:9" ht="12.75">
      <c r="A125" s="532"/>
      <c r="B125" s="532"/>
      <c r="C125" s="532"/>
      <c r="D125" s="532"/>
      <c r="E125" s="532"/>
      <c r="F125" s="532"/>
      <c r="G125" s="532"/>
      <c r="H125" s="532"/>
      <c r="I125" s="532"/>
    </row>
    <row r="126" spans="1:9" ht="12.75">
      <c r="A126" s="532"/>
      <c r="B126" s="532"/>
      <c r="C126" s="532"/>
      <c r="D126" s="532"/>
      <c r="E126" s="532"/>
      <c r="F126" s="532"/>
      <c r="G126" s="532"/>
      <c r="H126" s="532"/>
      <c r="I126" s="532"/>
    </row>
    <row r="127" spans="1:9" ht="12.75">
      <c r="A127" s="532"/>
      <c r="B127" s="532"/>
      <c r="C127" s="532"/>
      <c r="D127" s="532"/>
      <c r="E127" s="532"/>
      <c r="F127" s="532"/>
      <c r="G127" s="532"/>
      <c r="H127" s="532"/>
      <c r="I127" s="532"/>
    </row>
    <row r="128" spans="1:9" ht="12.75">
      <c r="A128" s="532"/>
      <c r="B128" s="532"/>
      <c r="C128" s="532"/>
      <c r="D128" s="532"/>
      <c r="E128" s="532"/>
      <c r="F128" s="532"/>
      <c r="G128" s="532"/>
      <c r="H128" s="532"/>
      <c r="I128" s="532"/>
    </row>
    <row r="129" spans="1:9" ht="12.75">
      <c r="A129" s="532"/>
      <c r="B129" s="532"/>
      <c r="C129" s="532"/>
      <c r="D129" s="532"/>
      <c r="E129" s="532"/>
      <c r="F129" s="532"/>
      <c r="G129" s="532"/>
      <c r="H129" s="532"/>
      <c r="I129" s="532"/>
    </row>
    <row r="130" spans="1:9" ht="12.75">
      <c r="A130" s="532"/>
      <c r="B130" s="532"/>
      <c r="C130" s="532"/>
      <c r="D130" s="532"/>
      <c r="E130" s="532"/>
      <c r="F130" s="532"/>
      <c r="G130" s="532"/>
      <c r="H130" s="532"/>
      <c r="I130" s="532"/>
    </row>
    <row r="131" spans="1:9" ht="12.75">
      <c r="A131" s="532"/>
      <c r="B131" s="532"/>
      <c r="C131" s="532"/>
      <c r="D131" s="532"/>
      <c r="E131" s="532"/>
      <c r="F131" s="532"/>
      <c r="G131" s="532"/>
      <c r="H131" s="532"/>
      <c r="I131" s="532"/>
    </row>
    <row r="132" spans="1:9" ht="12.75">
      <c r="A132" s="532"/>
      <c r="B132" s="532"/>
      <c r="C132" s="532"/>
      <c r="D132" s="532"/>
      <c r="E132" s="532"/>
      <c r="F132" s="532"/>
      <c r="G132" s="532"/>
      <c r="H132" s="532"/>
      <c r="I132" s="532"/>
    </row>
    <row r="133" spans="1:9" ht="12.75">
      <c r="A133" s="532"/>
      <c r="B133" s="532"/>
      <c r="C133" s="532"/>
      <c r="D133" s="532"/>
      <c r="E133" s="532"/>
      <c r="F133" s="532"/>
      <c r="G133" s="532"/>
      <c r="H133" s="532"/>
      <c r="I133" s="532"/>
    </row>
    <row r="134" spans="1:9" ht="12.75">
      <c r="A134" s="532"/>
      <c r="B134" s="532"/>
      <c r="C134" s="532"/>
      <c r="D134" s="532"/>
      <c r="E134" s="532"/>
      <c r="F134" s="532"/>
      <c r="G134" s="532"/>
      <c r="H134" s="532"/>
      <c r="I134" s="532"/>
    </row>
    <row r="135" spans="1:9" ht="12.75">
      <c r="A135" s="532"/>
      <c r="B135" s="532"/>
      <c r="C135" s="532"/>
      <c r="D135" s="532"/>
      <c r="E135" s="532"/>
      <c r="F135" s="532"/>
      <c r="G135" s="532"/>
      <c r="H135" s="532"/>
      <c r="I135" s="532"/>
    </row>
    <row r="136" spans="1:9" ht="12.75">
      <c r="A136" s="532"/>
      <c r="B136" s="532"/>
      <c r="C136" s="532"/>
      <c r="D136" s="532"/>
      <c r="E136" s="532"/>
      <c r="F136" s="532"/>
      <c r="G136" s="532"/>
      <c r="H136" s="532"/>
      <c r="I136" s="532"/>
    </row>
    <row r="137" spans="1:9" ht="12.75">
      <c r="A137" s="532"/>
      <c r="B137" s="532"/>
      <c r="C137" s="532"/>
      <c r="D137" s="532"/>
      <c r="E137" s="532"/>
      <c r="F137" s="532"/>
      <c r="G137" s="532"/>
      <c r="H137" s="532"/>
      <c r="I137" s="532"/>
    </row>
    <row r="138" spans="1:9" ht="12.75">
      <c r="A138" s="532"/>
      <c r="B138" s="532"/>
      <c r="C138" s="532"/>
      <c r="D138" s="532"/>
      <c r="E138" s="532"/>
      <c r="F138" s="532"/>
      <c r="G138" s="532"/>
      <c r="H138" s="532"/>
      <c r="I138" s="532"/>
    </row>
    <row r="139" spans="1:9" ht="12.75">
      <c r="A139" s="532"/>
      <c r="B139" s="532"/>
      <c r="C139" s="532"/>
      <c r="D139" s="532"/>
      <c r="E139" s="532"/>
      <c r="F139" s="532"/>
      <c r="G139" s="532"/>
      <c r="H139" s="532"/>
      <c r="I139" s="532"/>
    </row>
    <row r="140" spans="1:9" ht="12.75">
      <c r="A140" s="532"/>
      <c r="B140" s="532"/>
      <c r="C140" s="532"/>
      <c r="D140" s="532"/>
      <c r="E140" s="532"/>
      <c r="F140" s="532"/>
      <c r="G140" s="532"/>
      <c r="H140" s="532"/>
      <c r="I140" s="532"/>
    </row>
    <row r="141" spans="1:9" ht="12.75">
      <c r="A141" s="532"/>
      <c r="B141" s="532"/>
      <c r="C141" s="532"/>
      <c r="D141" s="532"/>
      <c r="E141" s="532"/>
      <c r="F141" s="532"/>
      <c r="G141" s="532"/>
      <c r="H141" s="532"/>
      <c r="I141" s="532"/>
    </row>
    <row r="142" spans="1:9" ht="12.75">
      <c r="A142" s="532"/>
      <c r="B142" s="532"/>
      <c r="C142" s="532"/>
      <c r="D142" s="532"/>
      <c r="E142" s="532"/>
      <c r="F142" s="532"/>
      <c r="G142" s="532"/>
      <c r="H142" s="532"/>
      <c r="I142" s="532"/>
    </row>
    <row r="143" spans="1:9" ht="12.75">
      <c r="A143" s="532"/>
      <c r="B143" s="532"/>
      <c r="C143" s="532"/>
      <c r="D143" s="532"/>
      <c r="E143" s="532"/>
      <c r="F143" s="532"/>
      <c r="G143" s="532"/>
      <c r="H143" s="532"/>
      <c r="I143" s="532"/>
    </row>
    <row r="144" spans="1:9" ht="12.75">
      <c r="A144" s="532"/>
      <c r="B144" s="532"/>
      <c r="C144" s="532"/>
      <c r="D144" s="532"/>
      <c r="E144" s="532"/>
      <c r="F144" s="532"/>
      <c r="G144" s="532"/>
      <c r="H144" s="532"/>
      <c r="I144" s="532"/>
    </row>
    <row r="145" spans="1:9" ht="12.75">
      <c r="A145" s="532"/>
      <c r="B145" s="532"/>
      <c r="C145" s="532"/>
      <c r="D145" s="532"/>
      <c r="E145" s="532"/>
      <c r="F145" s="532"/>
      <c r="G145" s="532"/>
      <c r="H145" s="532"/>
      <c r="I145" s="532"/>
    </row>
    <row r="146" spans="1:9" ht="12.75">
      <c r="A146" s="532"/>
      <c r="B146" s="532"/>
      <c r="C146" s="532"/>
      <c r="D146" s="532"/>
      <c r="E146" s="532"/>
      <c r="F146" s="532"/>
      <c r="G146" s="532"/>
      <c r="H146" s="532"/>
      <c r="I146" s="532"/>
    </row>
    <row r="147" spans="1:9" ht="12.75">
      <c r="A147" s="532"/>
      <c r="B147" s="532"/>
      <c r="C147" s="532"/>
      <c r="D147" s="532"/>
      <c r="E147" s="532"/>
      <c r="F147" s="532"/>
      <c r="G147" s="532"/>
      <c r="H147" s="532"/>
      <c r="I147" s="532"/>
    </row>
    <row r="148" spans="1:9" ht="12.75">
      <c r="A148" s="532"/>
      <c r="B148" s="532"/>
      <c r="C148" s="532"/>
      <c r="D148" s="532"/>
      <c r="E148" s="532"/>
      <c r="F148" s="532"/>
      <c r="G148" s="532"/>
      <c r="H148" s="532"/>
      <c r="I148" s="532"/>
    </row>
    <row r="149" spans="1:9" ht="12.75">
      <c r="A149" s="532"/>
      <c r="B149" s="532"/>
      <c r="C149" s="532"/>
      <c r="D149" s="532"/>
      <c r="E149" s="532"/>
      <c r="F149" s="532"/>
      <c r="G149" s="532"/>
      <c r="H149" s="532"/>
      <c r="I149" s="532"/>
    </row>
    <row r="150" spans="1:9" ht="12.75">
      <c r="A150" s="532"/>
      <c r="B150" s="532"/>
      <c r="C150" s="532"/>
      <c r="D150" s="532"/>
      <c r="E150" s="532"/>
      <c r="F150" s="532"/>
      <c r="G150" s="532"/>
      <c r="H150" s="532"/>
      <c r="I150" s="532"/>
    </row>
    <row r="151" spans="1:9" ht="12.75">
      <c r="A151" s="532"/>
      <c r="B151" s="532"/>
      <c r="C151" s="532"/>
      <c r="D151" s="532"/>
      <c r="E151" s="532"/>
      <c r="F151" s="532"/>
      <c r="G151" s="532"/>
      <c r="H151" s="532"/>
      <c r="I151" s="532"/>
    </row>
    <row r="152" spans="1:9" ht="12.75">
      <c r="A152" s="532"/>
      <c r="B152" s="532"/>
      <c r="C152" s="532"/>
      <c r="D152" s="532"/>
      <c r="E152" s="532"/>
      <c r="F152" s="532"/>
      <c r="G152" s="532"/>
      <c r="H152" s="532"/>
      <c r="I152" s="532"/>
    </row>
    <row r="153" spans="1:9" ht="12.75">
      <c r="A153" s="532"/>
      <c r="B153" s="532"/>
      <c r="C153" s="532"/>
      <c r="D153" s="532"/>
      <c r="E153" s="532"/>
      <c r="F153" s="532"/>
      <c r="G153" s="532"/>
      <c r="H153" s="532"/>
      <c r="I153" s="532"/>
    </row>
    <row r="154" spans="1:9" ht="12.75">
      <c r="A154" s="532"/>
      <c r="B154" s="532"/>
      <c r="C154" s="532"/>
      <c r="D154" s="532"/>
      <c r="E154" s="532"/>
      <c r="F154" s="532"/>
      <c r="G154" s="532"/>
      <c r="H154" s="532"/>
      <c r="I154" s="532"/>
    </row>
    <row r="155" spans="1:9" ht="12.75">
      <c r="A155" s="532"/>
      <c r="B155" s="532"/>
      <c r="C155" s="532"/>
      <c r="D155" s="532"/>
      <c r="E155" s="532"/>
      <c r="F155" s="532"/>
      <c r="G155" s="532"/>
      <c r="H155" s="532"/>
      <c r="I155" s="532"/>
    </row>
    <row r="156" spans="1:9" ht="12.75">
      <c r="A156" s="532"/>
      <c r="B156" s="532"/>
      <c r="C156" s="532"/>
      <c r="D156" s="532"/>
      <c r="E156" s="532"/>
      <c r="F156" s="532"/>
      <c r="G156" s="532"/>
      <c r="H156" s="532"/>
      <c r="I156" s="532"/>
    </row>
    <row r="157" spans="1:9" ht="12.75">
      <c r="A157" s="532"/>
      <c r="B157" s="532"/>
      <c r="C157" s="532"/>
      <c r="D157" s="532"/>
      <c r="E157" s="532"/>
      <c r="F157" s="532"/>
      <c r="G157" s="532"/>
      <c r="H157" s="532"/>
      <c r="I157" s="532"/>
    </row>
    <row r="158" spans="1:9" ht="12.75">
      <c r="A158" s="532"/>
      <c r="B158" s="532"/>
      <c r="C158" s="532"/>
      <c r="D158" s="532"/>
      <c r="E158" s="532"/>
      <c r="F158" s="532"/>
      <c r="G158" s="532"/>
      <c r="H158" s="532"/>
      <c r="I158" s="532"/>
    </row>
    <row r="159" spans="1:9" ht="12.75">
      <c r="A159" s="532"/>
      <c r="B159" s="532"/>
      <c r="C159" s="532"/>
      <c r="D159" s="532"/>
      <c r="E159" s="532"/>
      <c r="F159" s="532"/>
      <c r="G159" s="532"/>
      <c r="H159" s="532"/>
      <c r="I159" s="532"/>
    </row>
    <row r="160" spans="1:9" ht="12.75">
      <c r="A160" s="532"/>
      <c r="B160" s="532"/>
      <c r="C160" s="532"/>
      <c r="D160" s="532"/>
      <c r="E160" s="532"/>
      <c r="F160" s="532"/>
      <c r="G160" s="532"/>
      <c r="H160" s="532"/>
      <c r="I160" s="532"/>
    </row>
    <row r="161" spans="1:9" ht="12.75">
      <c r="A161" s="532"/>
      <c r="B161" s="532"/>
      <c r="C161" s="532"/>
      <c r="D161" s="532"/>
      <c r="E161" s="532"/>
      <c r="F161" s="532"/>
      <c r="G161" s="532"/>
      <c r="H161" s="532"/>
      <c r="I161" s="532"/>
    </row>
    <row r="162" spans="1:9" ht="12.75">
      <c r="A162" s="532"/>
      <c r="B162" s="532"/>
      <c r="C162" s="532"/>
      <c r="D162" s="532"/>
      <c r="E162" s="532"/>
      <c r="F162" s="532"/>
      <c r="G162" s="532"/>
      <c r="H162" s="532"/>
      <c r="I162" s="532"/>
    </row>
    <row r="163" spans="1:9" ht="12.75">
      <c r="A163" s="532"/>
      <c r="B163" s="532"/>
      <c r="C163" s="532"/>
      <c r="D163" s="532"/>
      <c r="E163" s="532"/>
      <c r="F163" s="532"/>
      <c r="G163" s="532"/>
      <c r="H163" s="532"/>
      <c r="I163" s="532"/>
    </row>
    <row r="164" spans="1:9" ht="12.75">
      <c r="A164" s="532"/>
      <c r="B164" s="532"/>
      <c r="C164" s="532"/>
      <c r="D164" s="532"/>
      <c r="E164" s="532"/>
      <c r="F164" s="532"/>
      <c r="G164" s="532"/>
      <c r="H164" s="532"/>
      <c r="I164" s="532"/>
    </row>
    <row r="165" spans="1:9" ht="12.75">
      <c r="A165" s="532"/>
      <c r="B165" s="532"/>
      <c r="C165" s="532"/>
      <c r="D165" s="532"/>
      <c r="E165" s="532"/>
      <c r="F165" s="532"/>
      <c r="G165" s="532"/>
      <c r="H165" s="532"/>
      <c r="I165" s="532"/>
    </row>
    <row r="166" spans="1:9" ht="12.75">
      <c r="A166" s="532"/>
      <c r="B166" s="532"/>
      <c r="C166" s="532"/>
      <c r="D166" s="532"/>
      <c r="E166" s="532"/>
      <c r="F166" s="532"/>
      <c r="G166" s="532"/>
      <c r="H166" s="532"/>
      <c r="I166" s="532"/>
    </row>
    <row r="167" spans="1:9" ht="12.75">
      <c r="A167" s="532"/>
      <c r="B167" s="532"/>
      <c r="C167" s="532"/>
      <c r="D167" s="532"/>
      <c r="E167" s="532"/>
      <c r="F167" s="532"/>
      <c r="G167" s="532"/>
      <c r="H167" s="532"/>
      <c r="I167" s="532"/>
    </row>
    <row r="168" spans="1:9" ht="12.75">
      <c r="A168" s="532"/>
      <c r="B168" s="532"/>
      <c r="C168" s="532"/>
      <c r="D168" s="532"/>
      <c r="E168" s="532"/>
      <c r="F168" s="532"/>
      <c r="G168" s="532"/>
      <c r="H168" s="532"/>
      <c r="I168" s="532"/>
    </row>
    <row r="169" spans="1:9" ht="12.75">
      <c r="A169" s="532"/>
      <c r="B169" s="532"/>
      <c r="C169" s="532"/>
      <c r="D169" s="532"/>
      <c r="E169" s="532"/>
      <c r="F169" s="532"/>
      <c r="G169" s="532"/>
      <c r="H169" s="532"/>
      <c r="I169" s="532"/>
    </row>
    <row r="170" spans="1:9" ht="12.75">
      <c r="A170" s="532"/>
      <c r="B170" s="532"/>
      <c r="C170" s="532"/>
      <c r="D170" s="532"/>
      <c r="E170" s="532"/>
      <c r="F170" s="532"/>
      <c r="G170" s="532"/>
      <c r="H170" s="532"/>
      <c r="I170" s="532"/>
    </row>
    <row r="171" spans="1:9" ht="12.75">
      <c r="A171" s="532"/>
      <c r="B171" s="532"/>
      <c r="C171" s="532"/>
      <c r="D171" s="532"/>
      <c r="E171" s="532"/>
      <c r="F171" s="532"/>
      <c r="G171" s="532"/>
      <c r="H171" s="532"/>
      <c r="I171" s="532"/>
    </row>
    <row r="172" spans="1:9" ht="12.75">
      <c r="A172" s="532"/>
      <c r="B172" s="532"/>
      <c r="C172" s="532"/>
      <c r="D172" s="532"/>
      <c r="E172" s="532"/>
      <c r="F172" s="532"/>
      <c r="G172" s="532"/>
      <c r="H172" s="532"/>
      <c r="I172" s="532"/>
    </row>
    <row r="173" spans="1:9" ht="12.75">
      <c r="A173" s="532"/>
      <c r="B173" s="532"/>
      <c r="C173" s="532"/>
      <c r="D173" s="532"/>
      <c r="E173" s="532"/>
      <c r="F173" s="532"/>
      <c r="G173" s="532"/>
      <c r="H173" s="532"/>
      <c r="I173" s="532"/>
    </row>
    <row r="174" spans="1:9" ht="12.75">
      <c r="A174" s="532"/>
      <c r="B174" s="532"/>
      <c r="C174" s="532"/>
      <c r="D174" s="532"/>
      <c r="E174" s="532"/>
      <c r="F174" s="532"/>
      <c r="G174" s="532"/>
      <c r="H174" s="532"/>
      <c r="I174" s="532"/>
    </row>
    <row r="175" spans="1:9" ht="12.75">
      <c r="A175" s="532"/>
      <c r="B175" s="532"/>
      <c r="C175" s="532"/>
      <c r="D175" s="532"/>
      <c r="E175" s="532"/>
      <c r="F175" s="532"/>
      <c r="G175" s="532"/>
      <c r="H175" s="532"/>
      <c r="I175" s="532"/>
    </row>
    <row r="176" spans="1:9" ht="12.75">
      <c r="A176" s="532"/>
      <c r="B176" s="532"/>
      <c r="C176" s="532"/>
      <c r="D176" s="532"/>
      <c r="E176" s="532"/>
      <c r="F176" s="532"/>
      <c r="G176" s="532"/>
      <c r="H176" s="532"/>
      <c r="I176" s="532"/>
    </row>
    <row r="177" spans="1:9" ht="12.75">
      <c r="A177" s="532"/>
      <c r="B177" s="532"/>
      <c r="C177" s="532"/>
      <c r="D177" s="532"/>
      <c r="E177" s="532"/>
      <c r="F177" s="532"/>
      <c r="G177" s="532"/>
      <c r="H177" s="532"/>
      <c r="I177" s="532"/>
    </row>
    <row r="178" spans="1:9" ht="12.75">
      <c r="A178" s="532"/>
      <c r="B178" s="532"/>
      <c r="C178" s="532"/>
      <c r="D178" s="532"/>
      <c r="E178" s="532"/>
      <c r="F178" s="532"/>
      <c r="G178" s="532"/>
      <c r="H178" s="532"/>
      <c r="I178" s="532"/>
    </row>
    <row r="179" spans="1:9" ht="12.75">
      <c r="A179" s="532"/>
      <c r="B179" s="532"/>
      <c r="C179" s="532"/>
      <c r="D179" s="532"/>
      <c r="E179" s="532"/>
      <c r="F179" s="532"/>
      <c r="G179" s="532"/>
      <c r="H179" s="532"/>
      <c r="I179" s="532"/>
    </row>
    <row r="180" spans="1:9" ht="12.75">
      <c r="A180" s="532"/>
      <c r="B180" s="532"/>
      <c r="C180" s="532"/>
      <c r="D180" s="532"/>
      <c r="E180" s="532"/>
      <c r="F180" s="532"/>
      <c r="G180" s="532"/>
      <c r="H180" s="532"/>
      <c r="I180" s="532"/>
    </row>
    <row r="181" spans="1:9" ht="12.75">
      <c r="A181" s="532"/>
      <c r="B181" s="532"/>
      <c r="C181" s="532"/>
      <c r="D181" s="532"/>
      <c r="E181" s="532"/>
      <c r="F181" s="532"/>
      <c r="G181" s="532"/>
      <c r="H181" s="532"/>
      <c r="I181" s="532"/>
    </row>
    <row r="182" spans="1:9" ht="12.75">
      <c r="A182" s="532"/>
      <c r="B182" s="532"/>
      <c r="C182" s="532"/>
      <c r="D182" s="532"/>
      <c r="E182" s="532"/>
      <c r="F182" s="532"/>
      <c r="G182" s="532"/>
      <c r="H182" s="532"/>
      <c r="I182" s="532"/>
    </row>
    <row r="183" spans="1:9" ht="12.75">
      <c r="A183" s="532"/>
      <c r="B183" s="532"/>
      <c r="C183" s="532"/>
      <c r="D183" s="532"/>
      <c r="E183" s="532"/>
      <c r="F183" s="532"/>
      <c r="G183" s="532"/>
      <c r="H183" s="532"/>
      <c r="I183" s="532"/>
    </row>
    <row r="184" spans="1:9" ht="12.75">
      <c r="A184" s="532"/>
      <c r="B184" s="532"/>
      <c r="C184" s="532"/>
      <c r="D184" s="532"/>
      <c r="E184" s="532"/>
      <c r="F184" s="532"/>
      <c r="G184" s="532"/>
      <c r="H184" s="532"/>
      <c r="I184" s="532"/>
    </row>
    <row r="185" spans="1:9" ht="12.75">
      <c r="A185" s="532"/>
      <c r="B185" s="532"/>
      <c r="C185" s="532"/>
      <c r="D185" s="532"/>
      <c r="E185" s="532"/>
      <c r="F185" s="532"/>
      <c r="G185" s="532"/>
      <c r="H185" s="532"/>
      <c r="I185" s="532"/>
    </row>
    <row r="186" spans="1:9" ht="12.75">
      <c r="A186" s="532"/>
      <c r="B186" s="532"/>
      <c r="C186" s="532"/>
      <c r="D186" s="532"/>
      <c r="E186" s="532"/>
      <c r="F186" s="532"/>
      <c r="G186" s="532"/>
      <c r="H186" s="532"/>
      <c r="I186" s="532"/>
    </row>
    <row r="187" spans="1:9" ht="12.75">
      <c r="A187" s="532"/>
      <c r="B187" s="532"/>
      <c r="C187" s="532"/>
      <c r="D187" s="532"/>
      <c r="E187" s="532"/>
      <c r="F187" s="532"/>
      <c r="G187" s="532"/>
      <c r="H187" s="532"/>
      <c r="I187" s="532"/>
    </row>
    <row r="188" spans="1:9" ht="12.75">
      <c r="A188" s="532"/>
      <c r="B188" s="532"/>
      <c r="C188" s="532"/>
      <c r="D188" s="532"/>
      <c r="E188" s="532"/>
      <c r="F188" s="532"/>
      <c r="G188" s="532"/>
      <c r="H188" s="532"/>
      <c r="I188" s="532"/>
    </row>
    <row r="189" spans="1:9" ht="12.75">
      <c r="A189" s="532"/>
      <c r="B189" s="532"/>
      <c r="C189" s="532"/>
      <c r="D189" s="532"/>
      <c r="E189" s="532"/>
      <c r="F189" s="532"/>
      <c r="G189" s="532"/>
      <c r="H189" s="532"/>
      <c r="I189" s="532"/>
    </row>
    <row r="190" spans="1:9" ht="12.75">
      <c r="A190" s="532"/>
      <c r="B190" s="532"/>
      <c r="C190" s="532"/>
      <c r="D190" s="532"/>
      <c r="E190" s="532"/>
      <c r="F190" s="532"/>
      <c r="G190" s="532"/>
      <c r="H190" s="532"/>
      <c r="I190" s="532"/>
    </row>
    <row r="191" spans="1:9" ht="12.75">
      <c r="A191" s="532"/>
      <c r="B191" s="532"/>
      <c r="C191" s="532"/>
      <c r="D191" s="532"/>
      <c r="E191" s="532"/>
      <c r="F191" s="532"/>
      <c r="G191" s="532"/>
      <c r="H191" s="532"/>
      <c r="I191" s="532"/>
    </row>
    <row r="192" spans="1:9" ht="12.75">
      <c r="A192" s="532"/>
      <c r="B192" s="532"/>
      <c r="C192" s="532"/>
      <c r="D192" s="532"/>
      <c r="E192" s="532"/>
      <c r="F192" s="532"/>
      <c r="G192" s="532"/>
      <c r="H192" s="532"/>
      <c r="I192" s="532"/>
    </row>
    <row r="193" spans="1:9" ht="12.75">
      <c r="A193" s="532"/>
      <c r="B193" s="532"/>
      <c r="C193" s="532"/>
      <c r="D193" s="532"/>
      <c r="E193" s="532"/>
      <c r="F193" s="532"/>
      <c r="G193" s="532"/>
      <c r="H193" s="532"/>
      <c r="I193" s="532"/>
    </row>
    <row r="194" spans="1:9" ht="12.75">
      <c r="A194" s="532"/>
      <c r="B194" s="532"/>
      <c r="C194" s="532"/>
      <c r="D194" s="532"/>
      <c r="E194" s="532"/>
      <c r="F194" s="532"/>
      <c r="G194" s="532"/>
      <c r="H194" s="532"/>
      <c r="I194" s="532"/>
    </row>
    <row r="195" spans="1:9" ht="12.75">
      <c r="A195" s="532"/>
      <c r="B195" s="532"/>
      <c r="C195" s="532"/>
      <c r="D195" s="532"/>
      <c r="E195" s="532"/>
      <c r="F195" s="532"/>
      <c r="G195" s="532"/>
      <c r="H195" s="532"/>
      <c r="I195" s="532"/>
    </row>
    <row r="196" spans="1:9" ht="12.75">
      <c r="A196" s="532"/>
      <c r="B196" s="532"/>
      <c r="C196" s="532"/>
      <c r="D196" s="532"/>
      <c r="E196" s="532"/>
      <c r="F196" s="532"/>
      <c r="G196" s="532"/>
      <c r="H196" s="532"/>
      <c r="I196" s="532"/>
    </row>
    <row r="197" spans="1:9" ht="12.75">
      <c r="A197" s="532"/>
      <c r="B197" s="532"/>
      <c r="C197" s="532"/>
      <c r="D197" s="532"/>
      <c r="E197" s="532"/>
      <c r="F197" s="532"/>
      <c r="G197" s="532"/>
      <c r="H197" s="532"/>
      <c r="I197" s="532"/>
    </row>
    <row r="198" spans="1:9" ht="12.75">
      <c r="A198" s="532"/>
      <c r="B198" s="532"/>
      <c r="C198" s="532"/>
      <c r="D198" s="532"/>
      <c r="E198" s="532"/>
      <c r="F198" s="532"/>
      <c r="G198" s="532"/>
      <c r="H198" s="532"/>
      <c r="I198" s="532"/>
    </row>
    <row r="199" spans="1:9" ht="12.75">
      <c r="A199" s="532"/>
      <c r="B199" s="532"/>
      <c r="C199" s="532"/>
      <c r="D199" s="532"/>
      <c r="E199" s="532"/>
      <c r="F199" s="532"/>
      <c r="G199" s="532"/>
      <c r="H199" s="532"/>
      <c r="I199" s="532"/>
    </row>
    <row r="200" spans="1:9" ht="12.75">
      <c r="A200" s="532"/>
      <c r="B200" s="532"/>
      <c r="C200" s="532"/>
      <c r="D200" s="532"/>
      <c r="E200" s="532"/>
      <c r="F200" s="532"/>
      <c r="G200" s="532"/>
      <c r="H200" s="532"/>
      <c r="I200" s="532"/>
    </row>
    <row r="201" spans="1:9" ht="12.75">
      <c r="A201" s="532"/>
      <c r="B201" s="532"/>
      <c r="C201" s="532"/>
      <c r="D201" s="532"/>
      <c r="E201" s="532"/>
      <c r="F201" s="532"/>
      <c r="G201" s="532"/>
      <c r="H201" s="532"/>
      <c r="I201" s="532"/>
    </row>
    <row r="202" spans="1:9" ht="12.75">
      <c r="A202" s="532"/>
      <c r="B202" s="532"/>
      <c r="C202" s="532"/>
      <c r="D202" s="532"/>
      <c r="E202" s="532"/>
      <c r="F202" s="532"/>
      <c r="G202" s="532"/>
      <c r="H202" s="532"/>
      <c r="I202" s="532"/>
    </row>
    <row r="203" spans="1:9" ht="12.75">
      <c r="A203" s="532"/>
      <c r="B203" s="532"/>
      <c r="C203" s="532"/>
      <c r="D203" s="532"/>
      <c r="E203" s="532"/>
      <c r="F203" s="532"/>
      <c r="G203" s="532"/>
      <c r="H203" s="532"/>
      <c r="I203" s="532"/>
    </row>
    <row r="204" spans="1:9" ht="12.75">
      <c r="A204" s="532"/>
      <c r="B204" s="532"/>
      <c r="C204" s="532"/>
      <c r="D204" s="532"/>
      <c r="E204" s="532"/>
      <c r="F204" s="532"/>
      <c r="G204" s="532"/>
      <c r="H204" s="532"/>
      <c r="I204" s="532"/>
    </row>
    <row r="205" spans="1:9" ht="12.75">
      <c r="A205" s="532"/>
      <c r="B205" s="532"/>
      <c r="C205" s="532"/>
      <c r="D205" s="532"/>
      <c r="E205" s="532"/>
      <c r="F205" s="532"/>
      <c r="G205" s="532"/>
      <c r="H205" s="532"/>
      <c r="I205" s="532"/>
    </row>
    <row r="206" spans="1:9" ht="12.75">
      <c r="A206" s="532"/>
      <c r="B206" s="532"/>
      <c r="C206" s="532"/>
      <c r="D206" s="532"/>
      <c r="E206" s="532"/>
      <c r="F206" s="532"/>
      <c r="G206" s="532"/>
      <c r="H206" s="532"/>
      <c r="I206" s="532"/>
    </row>
    <row r="207" spans="1:9" ht="12.75">
      <c r="A207" s="532"/>
      <c r="B207" s="532"/>
      <c r="C207" s="532"/>
      <c r="D207" s="532"/>
      <c r="E207" s="532"/>
      <c r="F207" s="532"/>
      <c r="G207" s="532"/>
      <c r="H207" s="532"/>
      <c r="I207" s="532"/>
    </row>
    <row r="208" spans="1:9" ht="12.75">
      <c r="A208" s="532"/>
      <c r="B208" s="532"/>
      <c r="C208" s="532"/>
      <c r="D208" s="532"/>
      <c r="E208" s="532"/>
      <c r="F208" s="532"/>
      <c r="G208" s="532"/>
      <c r="H208" s="532"/>
      <c r="I208" s="532"/>
    </row>
    <row r="209" spans="1:9" ht="12.75">
      <c r="A209" s="532"/>
      <c r="B209" s="532"/>
      <c r="C209" s="532"/>
      <c r="D209" s="532"/>
      <c r="E209" s="532"/>
      <c r="F209" s="532"/>
      <c r="G209" s="532"/>
      <c r="H209" s="532"/>
      <c r="I209" s="532"/>
    </row>
    <row r="210" spans="1:9" ht="12.75">
      <c r="A210" s="532"/>
      <c r="B210" s="532"/>
      <c r="C210" s="532"/>
      <c r="D210" s="532"/>
      <c r="E210" s="532"/>
      <c r="F210" s="532"/>
      <c r="G210" s="532"/>
      <c r="H210" s="532"/>
      <c r="I210" s="532"/>
    </row>
    <row r="211" spans="1:9" ht="12.75">
      <c r="A211" s="532"/>
      <c r="B211" s="532"/>
      <c r="C211" s="532"/>
      <c r="D211" s="532"/>
      <c r="E211" s="532"/>
      <c r="F211" s="532"/>
      <c r="G211" s="532"/>
      <c r="H211" s="532"/>
      <c r="I211" s="532"/>
    </row>
    <row r="212" spans="1:9" ht="12.75">
      <c r="A212" s="532"/>
      <c r="B212" s="532"/>
      <c r="C212" s="532"/>
      <c r="D212" s="532"/>
      <c r="E212" s="532"/>
      <c r="F212" s="532"/>
      <c r="G212" s="532"/>
      <c r="H212" s="532"/>
      <c r="I212" s="532"/>
    </row>
    <row r="213" spans="1:9" ht="12.75">
      <c r="A213" s="532"/>
      <c r="B213" s="532"/>
      <c r="C213" s="532"/>
      <c r="D213" s="532"/>
      <c r="E213" s="532"/>
      <c r="F213" s="532"/>
      <c r="G213" s="532"/>
      <c r="H213" s="532"/>
      <c r="I213" s="532"/>
    </row>
    <row r="214" spans="1:9" ht="12.75">
      <c r="A214" s="532"/>
      <c r="B214" s="532"/>
      <c r="C214" s="532"/>
      <c r="D214" s="532"/>
      <c r="E214" s="532"/>
      <c r="F214" s="532"/>
      <c r="G214" s="532"/>
      <c r="H214" s="532"/>
      <c r="I214" s="532"/>
    </row>
    <row r="215" spans="1:9" ht="12.75">
      <c r="A215" s="532"/>
      <c r="B215" s="532"/>
      <c r="C215" s="532"/>
      <c r="D215" s="532"/>
      <c r="E215" s="532"/>
      <c r="F215" s="532"/>
      <c r="G215" s="532"/>
      <c r="H215" s="532"/>
      <c r="I215" s="532"/>
    </row>
    <row r="216" spans="1:9" ht="12.75">
      <c r="A216" s="532"/>
      <c r="B216" s="532"/>
      <c r="C216" s="532"/>
      <c r="D216" s="532"/>
      <c r="E216" s="532"/>
      <c r="F216" s="532"/>
      <c r="G216" s="532"/>
      <c r="H216" s="532"/>
      <c r="I216" s="532"/>
    </row>
    <row r="217" spans="1:9" ht="12.75">
      <c r="A217" s="532"/>
      <c r="B217" s="532"/>
      <c r="C217" s="532"/>
      <c r="D217" s="532"/>
      <c r="E217" s="532"/>
      <c r="F217" s="532"/>
      <c r="G217" s="532"/>
      <c r="H217" s="532"/>
      <c r="I217" s="532"/>
    </row>
    <row r="218" spans="1:9" ht="12.75">
      <c r="A218" s="532"/>
      <c r="B218" s="532"/>
      <c r="C218" s="532"/>
      <c r="D218" s="532"/>
      <c r="E218" s="532"/>
      <c r="F218" s="532"/>
      <c r="G218" s="532"/>
      <c r="H218" s="532"/>
      <c r="I218" s="532"/>
    </row>
    <row r="219" spans="1:9" ht="12.75">
      <c r="A219" s="532"/>
      <c r="B219" s="532"/>
      <c r="C219" s="532"/>
      <c r="D219" s="532"/>
      <c r="E219" s="532"/>
      <c r="F219" s="532"/>
      <c r="G219" s="532"/>
      <c r="H219" s="532"/>
      <c r="I219" s="532"/>
    </row>
    <row r="220" spans="1:9" ht="12.75">
      <c r="A220" s="532"/>
      <c r="B220" s="532"/>
      <c r="C220" s="532"/>
      <c r="D220" s="532"/>
      <c r="E220" s="532"/>
      <c r="F220" s="532"/>
      <c r="G220" s="532"/>
      <c r="H220" s="532"/>
      <c r="I220" s="532"/>
    </row>
    <row r="221" spans="1:9" ht="12.75">
      <c r="A221" s="532"/>
      <c r="B221" s="532"/>
      <c r="C221" s="532"/>
      <c r="D221" s="532"/>
      <c r="E221" s="532"/>
      <c r="F221" s="532"/>
      <c r="G221" s="532"/>
      <c r="H221" s="532"/>
      <c r="I221" s="532"/>
    </row>
    <row r="222" spans="1:9" ht="12.75">
      <c r="A222" s="532"/>
      <c r="B222" s="532"/>
      <c r="C222" s="532"/>
      <c r="D222" s="532"/>
      <c r="E222" s="532"/>
      <c r="F222" s="532"/>
      <c r="G222" s="532"/>
      <c r="H222" s="532"/>
      <c r="I222" s="532"/>
    </row>
    <row r="223" spans="1:9" ht="12.75">
      <c r="A223" s="532"/>
      <c r="B223" s="532"/>
      <c r="C223" s="532"/>
      <c r="D223" s="532"/>
      <c r="E223" s="532"/>
      <c r="F223" s="532"/>
      <c r="G223" s="532"/>
      <c r="H223" s="532"/>
      <c r="I223" s="532"/>
    </row>
    <row r="224" spans="1:9" ht="12.75">
      <c r="A224" s="532"/>
      <c r="B224" s="532"/>
      <c r="C224" s="532"/>
      <c r="D224" s="532"/>
      <c r="E224" s="532"/>
      <c r="F224" s="532"/>
      <c r="G224" s="532"/>
      <c r="H224" s="532"/>
      <c r="I224" s="532"/>
    </row>
    <row r="225" spans="1:9" ht="12.75">
      <c r="A225" s="532"/>
      <c r="B225" s="532"/>
      <c r="C225" s="532"/>
      <c r="D225" s="532"/>
      <c r="E225" s="532"/>
      <c r="F225" s="532"/>
      <c r="G225" s="532"/>
      <c r="H225" s="532"/>
      <c r="I225" s="532"/>
    </row>
    <row r="226" spans="1:9" ht="12.75">
      <c r="A226" s="532"/>
      <c r="B226" s="532"/>
      <c r="C226" s="532"/>
      <c r="D226" s="532"/>
      <c r="E226" s="532"/>
      <c r="F226" s="532"/>
      <c r="G226" s="532"/>
      <c r="H226" s="532"/>
      <c r="I226" s="532"/>
    </row>
    <row r="227" spans="1:9" ht="12.75">
      <c r="A227" s="532"/>
      <c r="B227" s="532"/>
      <c r="C227" s="532"/>
      <c r="D227" s="532"/>
      <c r="E227" s="532"/>
      <c r="F227" s="532"/>
      <c r="G227" s="532"/>
      <c r="H227" s="532"/>
      <c r="I227" s="532"/>
    </row>
    <row r="228" spans="1:9" ht="12.75">
      <c r="A228" s="532"/>
      <c r="B228" s="532"/>
      <c r="C228" s="532"/>
      <c r="D228" s="532"/>
      <c r="E228" s="532"/>
      <c r="F228" s="532"/>
      <c r="G228" s="532"/>
      <c r="H228" s="532"/>
      <c r="I228" s="532"/>
    </row>
    <row r="229" spans="1:9" ht="12.75">
      <c r="A229" s="532"/>
      <c r="B229" s="532"/>
      <c r="C229" s="532"/>
      <c r="D229" s="532"/>
      <c r="E229" s="532"/>
      <c r="F229" s="532"/>
      <c r="G229" s="532"/>
      <c r="H229" s="532"/>
      <c r="I229" s="532"/>
    </row>
    <row r="230" spans="1:9" ht="12.75">
      <c r="A230" s="532"/>
      <c r="B230" s="532"/>
      <c r="C230" s="532"/>
      <c r="D230" s="532"/>
      <c r="E230" s="532"/>
      <c r="F230" s="532"/>
      <c r="G230" s="532"/>
      <c r="H230" s="532"/>
      <c r="I230" s="532"/>
    </row>
    <row r="231" spans="1:9" ht="12.75">
      <c r="A231" s="532"/>
      <c r="B231" s="532"/>
      <c r="C231" s="532"/>
      <c r="D231" s="532"/>
      <c r="E231" s="532"/>
      <c r="F231" s="532"/>
      <c r="G231" s="532"/>
      <c r="H231" s="532"/>
      <c r="I231" s="532"/>
    </row>
    <row r="232" spans="1:9" ht="12.75">
      <c r="A232" s="532"/>
      <c r="B232" s="532"/>
      <c r="C232" s="532"/>
      <c r="D232" s="532"/>
      <c r="E232" s="532"/>
      <c r="F232" s="532"/>
      <c r="G232" s="532"/>
      <c r="H232" s="532"/>
      <c r="I232" s="532"/>
    </row>
    <row r="233" spans="1:9" ht="12.75">
      <c r="A233" s="532"/>
      <c r="B233" s="532"/>
      <c r="C233" s="532"/>
      <c r="D233" s="532"/>
      <c r="E233" s="532"/>
      <c r="F233" s="532"/>
      <c r="G233" s="532"/>
      <c r="H233" s="532"/>
      <c r="I233" s="532"/>
    </row>
    <row r="234" spans="1:9" ht="12.75">
      <c r="A234" s="532"/>
      <c r="B234" s="532"/>
      <c r="C234" s="532"/>
      <c r="D234" s="532"/>
      <c r="E234" s="532"/>
      <c r="F234" s="532"/>
      <c r="G234" s="532"/>
      <c r="H234" s="532"/>
      <c r="I234" s="532"/>
    </row>
    <row r="235" spans="1:9" ht="12.75">
      <c r="A235" s="532"/>
      <c r="B235" s="532"/>
      <c r="C235" s="532"/>
      <c r="D235" s="532"/>
      <c r="E235" s="532"/>
      <c r="F235" s="532"/>
      <c r="G235" s="532"/>
      <c r="H235" s="532"/>
      <c r="I235" s="532"/>
    </row>
    <row r="236" spans="1:9" ht="12.75">
      <c r="A236" s="532"/>
      <c r="B236" s="532"/>
      <c r="C236" s="532"/>
      <c r="D236" s="532"/>
      <c r="E236" s="532"/>
      <c r="F236" s="532"/>
      <c r="G236" s="532"/>
      <c r="H236" s="532"/>
      <c r="I236" s="532"/>
    </row>
    <row r="237" spans="1:9" ht="12.75">
      <c r="A237" s="532"/>
      <c r="B237" s="532"/>
      <c r="C237" s="532"/>
      <c r="D237" s="532"/>
      <c r="E237" s="532"/>
      <c r="F237" s="532"/>
      <c r="G237" s="532"/>
      <c r="H237" s="532"/>
      <c r="I237" s="532"/>
    </row>
    <row r="238" spans="1:9" ht="12.75">
      <c r="A238" s="532"/>
      <c r="B238" s="532"/>
      <c r="C238" s="532"/>
      <c r="D238" s="532"/>
      <c r="E238" s="532"/>
      <c r="F238" s="532"/>
      <c r="G238" s="532"/>
      <c r="H238" s="532"/>
      <c r="I238" s="532"/>
    </row>
    <row r="239" spans="1:9" ht="12.75">
      <c r="A239" s="532"/>
      <c r="B239" s="532"/>
      <c r="C239" s="532"/>
      <c r="D239" s="532"/>
      <c r="E239" s="532"/>
      <c r="F239" s="532"/>
      <c r="G239" s="532"/>
      <c r="H239" s="532"/>
      <c r="I239" s="532"/>
    </row>
    <row r="240" spans="1:9" ht="12.75">
      <c r="A240" s="532"/>
      <c r="B240" s="532"/>
      <c r="C240" s="532"/>
      <c r="D240" s="532"/>
      <c r="E240" s="532"/>
      <c r="F240" s="532"/>
      <c r="G240" s="532"/>
      <c r="H240" s="532"/>
      <c r="I240" s="532"/>
    </row>
    <row r="241" spans="1:9" ht="12.75">
      <c r="A241" s="532"/>
      <c r="B241" s="532"/>
      <c r="C241" s="532"/>
      <c r="D241" s="532"/>
      <c r="E241" s="532"/>
      <c r="F241" s="532"/>
      <c r="G241" s="532"/>
      <c r="H241" s="532"/>
      <c r="I241" s="532"/>
    </row>
    <row r="242" spans="1:9" ht="12.75">
      <c r="A242" s="532"/>
      <c r="B242" s="532"/>
      <c r="C242" s="532"/>
      <c r="D242" s="532"/>
      <c r="E242" s="532"/>
      <c r="F242" s="532"/>
      <c r="G242" s="532"/>
      <c r="H242" s="532"/>
      <c r="I242" s="532"/>
    </row>
    <row r="243" spans="1:9" ht="12.75">
      <c r="A243" s="532"/>
      <c r="B243" s="532"/>
      <c r="C243" s="532"/>
      <c r="D243" s="532"/>
      <c r="E243" s="532"/>
      <c r="F243" s="532"/>
      <c r="G243" s="532"/>
      <c r="H243" s="532"/>
      <c r="I243" s="532"/>
    </row>
    <row r="244" spans="1:9" ht="12.75">
      <c r="A244" s="532"/>
      <c r="B244" s="532"/>
      <c r="C244" s="532"/>
      <c r="D244" s="532"/>
      <c r="E244" s="532"/>
      <c r="F244" s="532"/>
      <c r="G244" s="532"/>
      <c r="H244" s="532"/>
      <c r="I244" s="532"/>
    </row>
    <row r="245" spans="1:9" ht="12.75">
      <c r="A245" s="532"/>
      <c r="B245" s="532"/>
      <c r="C245" s="532"/>
      <c r="D245" s="532"/>
      <c r="E245" s="532"/>
      <c r="F245" s="532"/>
      <c r="G245" s="532"/>
      <c r="H245" s="532"/>
      <c r="I245" s="532"/>
    </row>
    <row r="246" spans="1:9" ht="12.75">
      <c r="A246" s="532"/>
      <c r="B246" s="532"/>
      <c r="C246" s="532"/>
      <c r="D246" s="532"/>
      <c r="E246" s="532"/>
      <c r="F246" s="532"/>
      <c r="G246" s="532"/>
      <c r="H246" s="532"/>
      <c r="I246" s="532"/>
    </row>
    <row r="247" spans="1:9" ht="12.75">
      <c r="A247" s="532"/>
      <c r="B247" s="532"/>
      <c r="C247" s="532"/>
      <c r="D247" s="532"/>
      <c r="E247" s="532"/>
      <c r="F247" s="532"/>
      <c r="G247" s="532"/>
      <c r="H247" s="532"/>
      <c r="I247" s="532"/>
    </row>
    <row r="248" spans="1:9" ht="12.75">
      <c r="A248" s="532"/>
      <c r="B248" s="532"/>
      <c r="C248" s="532"/>
      <c r="D248" s="532"/>
      <c r="E248" s="532"/>
      <c r="F248" s="532"/>
      <c r="G248" s="532"/>
      <c r="H248" s="532"/>
      <c r="I248" s="532"/>
    </row>
    <row r="249" spans="1:9" ht="12.75">
      <c r="A249" s="532"/>
      <c r="B249" s="532"/>
      <c r="C249" s="532"/>
      <c r="D249" s="532"/>
      <c r="E249" s="532"/>
      <c r="F249" s="532"/>
      <c r="G249" s="532"/>
      <c r="H249" s="532"/>
      <c r="I249" s="532"/>
    </row>
    <row r="250" spans="1:9" ht="12.75">
      <c r="A250" s="532"/>
      <c r="B250" s="532"/>
      <c r="C250" s="532"/>
      <c r="D250" s="532"/>
      <c r="E250" s="532"/>
      <c r="F250" s="532"/>
      <c r="G250" s="532"/>
      <c r="H250" s="532"/>
      <c r="I250" s="532"/>
    </row>
    <row r="251" spans="1:9" ht="12.75">
      <c r="A251" s="532"/>
      <c r="B251" s="532"/>
      <c r="C251" s="532"/>
      <c r="D251" s="532"/>
      <c r="E251" s="532"/>
      <c r="F251" s="532"/>
      <c r="G251" s="532"/>
      <c r="H251" s="532"/>
      <c r="I251" s="532"/>
    </row>
    <row r="252" spans="1:9" ht="12.75">
      <c r="A252" s="532"/>
      <c r="B252" s="532"/>
      <c r="C252" s="532"/>
      <c r="D252" s="532"/>
      <c r="E252" s="532"/>
      <c r="F252" s="532"/>
      <c r="G252" s="532"/>
      <c r="H252" s="532"/>
      <c r="I252" s="532"/>
    </row>
    <row r="253" spans="1:9" ht="12.75">
      <c r="A253" s="532"/>
      <c r="B253" s="532"/>
      <c r="C253" s="532"/>
      <c r="D253" s="532"/>
      <c r="E253" s="532"/>
      <c r="F253" s="532"/>
      <c r="G253" s="532"/>
      <c r="H253" s="532"/>
      <c r="I253" s="532"/>
    </row>
    <row r="254" spans="1:9" ht="12.75">
      <c r="A254" s="532"/>
      <c r="B254" s="532"/>
      <c r="C254" s="532"/>
      <c r="D254" s="532"/>
      <c r="E254" s="532"/>
      <c r="F254" s="532"/>
      <c r="G254" s="532"/>
      <c r="H254" s="532"/>
      <c r="I254" s="532"/>
    </row>
    <row r="255" spans="1:9" ht="12.75">
      <c r="A255" s="532"/>
      <c r="B255" s="532"/>
      <c r="C255" s="532"/>
      <c r="D255" s="532"/>
      <c r="E255" s="532"/>
      <c r="F255" s="532"/>
      <c r="G255" s="532"/>
      <c r="H255" s="532"/>
      <c r="I255" s="532"/>
    </row>
    <row r="256" spans="1:9" ht="12.75">
      <c r="A256" s="532"/>
      <c r="B256" s="532"/>
      <c r="C256" s="532"/>
      <c r="D256" s="532"/>
      <c r="E256" s="532"/>
      <c r="F256" s="532"/>
      <c r="G256" s="532"/>
      <c r="H256" s="532"/>
      <c r="I256" s="532"/>
    </row>
    <row r="257" spans="1:9" ht="12.75">
      <c r="A257" s="532"/>
      <c r="B257" s="532"/>
      <c r="C257" s="532"/>
      <c r="D257" s="532"/>
      <c r="E257" s="532"/>
      <c r="F257" s="532"/>
      <c r="G257" s="532"/>
      <c r="H257" s="532"/>
      <c r="I257" s="532"/>
    </row>
    <row r="258" spans="1:9" ht="12.75">
      <c r="A258" s="532"/>
      <c r="B258" s="532"/>
      <c r="C258" s="532"/>
      <c r="D258" s="532"/>
      <c r="E258" s="532"/>
      <c r="F258" s="532"/>
      <c r="G258" s="532"/>
      <c r="H258" s="532"/>
      <c r="I258" s="532"/>
    </row>
    <row r="259" spans="1:9" ht="12.75">
      <c r="A259" s="532"/>
      <c r="B259" s="532"/>
      <c r="C259" s="532"/>
      <c r="D259" s="532"/>
      <c r="E259" s="532"/>
      <c r="F259" s="532"/>
      <c r="G259" s="532"/>
      <c r="H259" s="532"/>
      <c r="I259" s="532"/>
    </row>
    <row r="260" spans="1:9" ht="12.75">
      <c r="A260" s="532"/>
      <c r="B260" s="532"/>
      <c r="C260" s="532"/>
      <c r="D260" s="532"/>
      <c r="E260" s="532"/>
      <c r="F260" s="532"/>
      <c r="G260" s="532"/>
      <c r="H260" s="532"/>
      <c r="I260" s="532"/>
    </row>
    <row r="261" spans="1:9" ht="12.75">
      <c r="A261" s="532"/>
      <c r="B261" s="532"/>
      <c r="C261" s="532"/>
      <c r="D261" s="532"/>
      <c r="E261" s="532"/>
      <c r="F261" s="532"/>
      <c r="G261" s="532"/>
      <c r="H261" s="532"/>
      <c r="I261" s="532"/>
    </row>
    <row r="262" spans="1:9" ht="12.75">
      <c r="A262" s="532"/>
      <c r="B262" s="532"/>
      <c r="C262" s="532"/>
      <c r="D262" s="532"/>
      <c r="E262" s="532"/>
      <c r="F262" s="532"/>
      <c r="G262" s="532"/>
      <c r="H262" s="532"/>
      <c r="I262" s="532"/>
    </row>
    <row r="263" spans="1:9" ht="12.75">
      <c r="A263" s="532"/>
      <c r="B263" s="532"/>
      <c r="C263" s="532"/>
      <c r="D263" s="532"/>
      <c r="E263" s="532"/>
      <c r="F263" s="532"/>
      <c r="G263" s="532"/>
      <c r="H263" s="532"/>
      <c r="I263" s="532"/>
    </row>
    <row r="264" spans="1:9" ht="12.75">
      <c r="A264" s="532"/>
      <c r="B264" s="532"/>
      <c r="C264" s="532"/>
      <c r="D264" s="532"/>
      <c r="E264" s="532"/>
      <c r="F264" s="532"/>
      <c r="G264" s="532"/>
      <c r="H264" s="532"/>
      <c r="I264" s="532"/>
    </row>
    <row r="265" spans="1:9" ht="12.75">
      <c r="A265" s="532"/>
      <c r="B265" s="532"/>
      <c r="C265" s="532"/>
      <c r="D265" s="532"/>
      <c r="E265" s="532"/>
      <c r="F265" s="532"/>
      <c r="G265" s="532"/>
      <c r="H265" s="532"/>
      <c r="I265" s="532"/>
    </row>
    <row r="266" spans="1:9" ht="12.75">
      <c r="A266" s="532"/>
      <c r="B266" s="532"/>
      <c r="C266" s="532"/>
      <c r="D266" s="532"/>
      <c r="E266" s="532"/>
      <c r="F266" s="532"/>
      <c r="G266" s="532"/>
      <c r="H266" s="532"/>
      <c r="I266" s="532"/>
    </row>
    <row r="267" spans="1:9" ht="12.75">
      <c r="A267" s="532"/>
      <c r="B267" s="532"/>
      <c r="C267" s="532"/>
      <c r="D267" s="532"/>
      <c r="E267" s="532"/>
      <c r="F267" s="532"/>
      <c r="G267" s="532"/>
      <c r="H267" s="532"/>
      <c r="I267" s="532"/>
    </row>
    <row r="268" spans="1:9" ht="12.75">
      <c r="A268" s="532"/>
      <c r="B268" s="532"/>
      <c r="C268" s="532"/>
      <c r="D268" s="532"/>
      <c r="E268" s="532"/>
      <c r="F268" s="532"/>
      <c r="G268" s="532"/>
      <c r="H268" s="532"/>
      <c r="I268" s="532"/>
    </row>
    <row r="269" spans="1:9" ht="12.75">
      <c r="A269" s="532"/>
      <c r="B269" s="532"/>
      <c r="C269" s="532"/>
      <c r="D269" s="532"/>
      <c r="E269" s="532"/>
      <c r="F269" s="532"/>
      <c r="G269" s="532"/>
      <c r="H269" s="532"/>
      <c r="I269" s="532"/>
    </row>
    <row r="270" spans="1:9" ht="12.75">
      <c r="A270" s="532"/>
      <c r="B270" s="532"/>
      <c r="C270" s="532"/>
      <c r="D270" s="532"/>
      <c r="E270" s="532"/>
      <c r="F270" s="532"/>
      <c r="G270" s="532"/>
      <c r="H270" s="532"/>
      <c r="I270" s="532"/>
    </row>
    <row r="271" spans="1:9" ht="12.75">
      <c r="A271" s="532"/>
      <c r="B271" s="532"/>
      <c r="C271" s="532"/>
      <c r="D271" s="532"/>
      <c r="E271" s="532"/>
      <c r="F271" s="532"/>
      <c r="G271" s="532"/>
      <c r="H271" s="532"/>
      <c r="I271" s="532"/>
    </row>
    <row r="272" spans="1:9" ht="12.75">
      <c r="A272" s="532"/>
      <c r="B272" s="532"/>
      <c r="C272" s="532"/>
      <c r="D272" s="532"/>
      <c r="E272" s="532"/>
      <c r="F272" s="532"/>
      <c r="G272" s="532"/>
      <c r="H272" s="532"/>
      <c r="I272" s="532"/>
    </row>
    <row r="273" spans="1:9" ht="12.75">
      <c r="A273" s="532"/>
      <c r="B273" s="532"/>
      <c r="C273" s="532"/>
      <c r="D273" s="532"/>
      <c r="E273" s="532"/>
      <c r="F273" s="532"/>
      <c r="G273" s="532"/>
      <c r="H273" s="532"/>
      <c r="I273" s="532"/>
    </row>
    <row r="274" spans="1:9" ht="12.75">
      <c r="A274" s="532"/>
      <c r="B274" s="532"/>
      <c r="C274" s="532"/>
      <c r="D274" s="532"/>
      <c r="E274" s="532"/>
      <c r="F274" s="532"/>
      <c r="G274" s="532"/>
      <c r="H274" s="532"/>
      <c r="I274" s="532"/>
    </row>
    <row r="275" spans="1:9" ht="12.75">
      <c r="A275" s="532"/>
      <c r="B275" s="532"/>
      <c r="C275" s="532"/>
      <c r="D275" s="532"/>
      <c r="E275" s="532"/>
      <c r="F275" s="532"/>
      <c r="G275" s="532"/>
      <c r="H275" s="532"/>
      <c r="I275" s="532"/>
    </row>
    <row r="276" spans="1:9" ht="12.75">
      <c r="A276" s="532"/>
      <c r="B276" s="532"/>
      <c r="C276" s="532"/>
      <c r="D276" s="532"/>
      <c r="E276" s="532"/>
      <c r="F276" s="532"/>
      <c r="G276" s="532"/>
      <c r="H276" s="532"/>
      <c r="I276" s="532"/>
    </row>
    <row r="277" spans="1:9" ht="12.75">
      <c r="A277" s="532"/>
      <c r="B277" s="532"/>
      <c r="C277" s="532"/>
      <c r="D277" s="532"/>
      <c r="E277" s="532"/>
      <c r="F277" s="532"/>
      <c r="G277" s="532"/>
      <c r="H277" s="532"/>
      <c r="I277" s="532"/>
    </row>
    <row r="278" spans="1:9" ht="12.75">
      <c r="A278" s="532"/>
      <c r="B278" s="532"/>
      <c r="C278" s="532"/>
      <c r="D278" s="532"/>
      <c r="E278" s="532"/>
      <c r="F278" s="532"/>
      <c r="G278" s="532"/>
      <c r="H278" s="532"/>
      <c r="I278" s="532"/>
    </row>
    <row r="279" spans="1:9" ht="12.75">
      <c r="A279" s="532"/>
      <c r="B279" s="532"/>
      <c r="C279" s="532"/>
      <c r="D279" s="532"/>
      <c r="E279" s="532"/>
      <c r="F279" s="532"/>
      <c r="G279" s="532"/>
      <c r="H279" s="532"/>
      <c r="I279" s="532"/>
    </row>
    <row r="280" spans="1:9" ht="12.75">
      <c r="A280" s="532"/>
      <c r="B280" s="532"/>
      <c r="C280" s="532"/>
      <c r="D280" s="532"/>
      <c r="E280" s="532"/>
      <c r="F280" s="532"/>
      <c r="G280" s="532"/>
      <c r="H280" s="532"/>
      <c r="I280" s="532"/>
    </row>
    <row r="281" spans="1:9" ht="12.75">
      <c r="A281" s="532"/>
      <c r="B281" s="532"/>
      <c r="C281" s="532"/>
      <c r="D281" s="532"/>
      <c r="E281" s="532"/>
      <c r="F281" s="532"/>
      <c r="G281" s="532"/>
      <c r="H281" s="532"/>
      <c r="I281" s="532"/>
    </row>
    <row r="282" spans="1:9" ht="12.75">
      <c r="A282" s="532"/>
      <c r="B282" s="532"/>
      <c r="C282" s="532"/>
      <c r="D282" s="532"/>
      <c r="E282" s="532"/>
      <c r="F282" s="532"/>
      <c r="G282" s="532"/>
      <c r="H282" s="532"/>
      <c r="I282" s="532"/>
    </row>
    <row r="283" spans="1:9" ht="12.75">
      <c r="A283" s="532"/>
      <c r="B283" s="532"/>
      <c r="C283" s="532"/>
      <c r="D283" s="532"/>
      <c r="E283" s="532"/>
      <c r="F283" s="532"/>
      <c r="G283" s="532"/>
      <c r="H283" s="532"/>
      <c r="I283" s="532"/>
    </row>
    <row r="284" spans="1:9" ht="12.75">
      <c r="A284" s="532"/>
      <c r="B284" s="532"/>
      <c r="C284" s="532"/>
      <c r="D284" s="532"/>
      <c r="E284" s="532"/>
      <c r="F284" s="532"/>
      <c r="G284" s="532"/>
      <c r="H284" s="532"/>
      <c r="I284" s="532"/>
    </row>
    <row r="285" spans="1:9" ht="12.75">
      <c r="A285" s="532"/>
      <c r="B285" s="532"/>
      <c r="C285" s="532"/>
      <c r="D285" s="532"/>
      <c r="E285" s="532"/>
      <c r="F285" s="532"/>
      <c r="G285" s="532"/>
      <c r="H285" s="532"/>
      <c r="I285" s="532"/>
    </row>
    <row r="286" spans="1:9" ht="12.75">
      <c r="A286" s="532"/>
      <c r="B286" s="532"/>
      <c r="C286" s="532"/>
      <c r="D286" s="532"/>
      <c r="E286" s="532"/>
      <c r="F286" s="532"/>
      <c r="G286" s="532"/>
      <c r="H286" s="532"/>
      <c r="I286" s="532"/>
    </row>
    <row r="287" spans="1:9" ht="12.75">
      <c r="A287" s="532"/>
      <c r="B287" s="532"/>
      <c r="C287" s="532"/>
      <c r="D287" s="532"/>
      <c r="E287" s="532"/>
      <c r="F287" s="532"/>
      <c r="G287" s="532"/>
      <c r="H287" s="532"/>
      <c r="I287" s="532"/>
    </row>
    <row r="288" spans="1:9" ht="12.75">
      <c r="A288" s="532"/>
      <c r="B288" s="532"/>
      <c r="C288" s="532"/>
      <c r="D288" s="532"/>
      <c r="E288" s="532"/>
      <c r="F288" s="532"/>
      <c r="G288" s="532"/>
      <c r="H288" s="532"/>
      <c r="I288" s="532"/>
    </row>
    <row r="289" spans="1:9" ht="12.75">
      <c r="A289" s="532"/>
      <c r="B289" s="532"/>
      <c r="C289" s="532"/>
      <c r="D289" s="532"/>
      <c r="E289" s="532"/>
      <c r="F289" s="532"/>
      <c r="G289" s="532"/>
      <c r="H289" s="532"/>
      <c r="I289" s="532"/>
    </row>
    <row r="290" spans="1:9" ht="12.75">
      <c r="A290" s="532"/>
      <c r="B290" s="532"/>
      <c r="C290" s="532"/>
      <c r="D290" s="532"/>
      <c r="E290" s="532"/>
      <c r="F290" s="532"/>
      <c r="G290" s="532"/>
      <c r="H290" s="532"/>
      <c r="I290" s="532"/>
    </row>
    <row r="291" spans="1:9" ht="12.75">
      <c r="A291" s="532"/>
      <c r="B291" s="532"/>
      <c r="C291" s="532"/>
      <c r="D291" s="532"/>
      <c r="E291" s="532"/>
      <c r="F291" s="532"/>
      <c r="G291" s="532"/>
      <c r="H291" s="532"/>
      <c r="I291" s="532"/>
    </row>
    <row r="292" spans="1:9" ht="12.75">
      <c r="A292" s="532"/>
      <c r="B292" s="532"/>
      <c r="C292" s="532"/>
      <c r="D292" s="532"/>
      <c r="E292" s="532"/>
      <c r="F292" s="532"/>
      <c r="G292" s="532"/>
      <c r="H292" s="532"/>
      <c r="I292" s="532"/>
    </row>
    <row r="293" spans="1:9" ht="12.75">
      <c r="A293" s="532"/>
      <c r="B293" s="532"/>
      <c r="C293" s="532"/>
      <c r="D293" s="532"/>
      <c r="E293" s="532"/>
      <c r="F293" s="532"/>
      <c r="G293" s="532"/>
      <c r="H293" s="532"/>
      <c r="I293" s="532"/>
    </row>
    <row r="294" spans="1:9" ht="12.75">
      <c r="A294" s="532"/>
      <c r="B294" s="532"/>
      <c r="C294" s="532"/>
      <c r="D294" s="532"/>
      <c r="E294" s="532"/>
      <c r="F294" s="532"/>
      <c r="G294" s="532"/>
      <c r="H294" s="532"/>
      <c r="I294" s="532"/>
    </row>
    <row r="295" spans="1:9" ht="12.75">
      <c r="A295" s="532"/>
      <c r="B295" s="532"/>
      <c r="C295" s="532"/>
      <c r="D295" s="532"/>
      <c r="E295" s="532"/>
      <c r="F295" s="532"/>
      <c r="G295" s="532"/>
      <c r="H295" s="532"/>
      <c r="I295" s="532"/>
    </row>
    <row r="296" spans="1:9" ht="12.75">
      <c r="A296" s="532"/>
      <c r="B296" s="532"/>
      <c r="C296" s="532"/>
      <c r="D296" s="532"/>
      <c r="E296" s="532"/>
      <c r="F296" s="532"/>
      <c r="G296" s="532"/>
      <c r="H296" s="532"/>
      <c r="I296" s="532"/>
    </row>
    <row r="297" spans="1:9" ht="12.75">
      <c r="A297" s="532"/>
      <c r="B297" s="532"/>
      <c r="C297" s="532"/>
      <c r="D297" s="532"/>
      <c r="E297" s="532"/>
      <c r="F297" s="532"/>
      <c r="G297" s="532"/>
      <c r="H297" s="532"/>
      <c r="I297" s="532"/>
    </row>
    <row r="298" spans="1:9" ht="12.75">
      <c r="A298" s="532"/>
      <c r="B298" s="532"/>
      <c r="C298" s="532"/>
      <c r="D298" s="532"/>
      <c r="E298" s="532"/>
      <c r="F298" s="532"/>
      <c r="G298" s="532"/>
      <c r="H298" s="532"/>
      <c r="I298" s="532"/>
    </row>
    <row r="299" spans="1:9" ht="12.75">
      <c r="A299" s="532"/>
      <c r="B299" s="532"/>
      <c r="C299" s="532"/>
      <c r="D299" s="532"/>
      <c r="E299" s="532"/>
      <c r="F299" s="532"/>
      <c r="G299" s="532"/>
      <c r="H299" s="532"/>
      <c r="I299" s="532"/>
    </row>
    <row r="300" spans="1:9" ht="12.75">
      <c r="A300" s="532"/>
      <c r="B300" s="532"/>
      <c r="C300" s="532"/>
      <c r="D300" s="532"/>
      <c r="E300" s="532"/>
      <c r="F300" s="532"/>
      <c r="G300" s="532"/>
      <c r="H300" s="532"/>
      <c r="I300" s="532"/>
    </row>
    <row r="301" spans="1:9" ht="12.75">
      <c r="A301" s="532"/>
      <c r="B301" s="532"/>
      <c r="C301" s="532"/>
      <c r="D301" s="532"/>
      <c r="E301" s="532"/>
      <c r="F301" s="532"/>
      <c r="G301" s="532"/>
      <c r="H301" s="532"/>
      <c r="I301" s="532"/>
    </row>
    <row r="302" spans="1:9" ht="12.75">
      <c r="A302" s="532"/>
      <c r="B302" s="532"/>
      <c r="C302" s="532"/>
      <c r="D302" s="532"/>
      <c r="E302" s="532"/>
      <c r="F302" s="532"/>
      <c r="G302" s="532"/>
      <c r="H302" s="532"/>
      <c r="I302" s="532"/>
    </row>
    <row r="303" spans="1:9" ht="12.75">
      <c r="A303" s="532"/>
      <c r="B303" s="532"/>
      <c r="C303" s="532"/>
      <c r="D303" s="532"/>
      <c r="E303" s="532"/>
      <c r="F303" s="532"/>
      <c r="G303" s="532"/>
      <c r="H303" s="532"/>
      <c r="I303" s="532"/>
    </row>
    <row r="304" spans="1:9" ht="12.75">
      <c r="A304" s="532"/>
      <c r="B304" s="532"/>
      <c r="C304" s="532"/>
      <c r="D304" s="532"/>
      <c r="E304" s="532"/>
      <c r="F304" s="532"/>
      <c r="G304" s="532"/>
      <c r="H304" s="532"/>
      <c r="I304" s="532"/>
    </row>
    <row r="305" spans="1:9" ht="12.75">
      <c r="A305" s="532"/>
      <c r="B305" s="532"/>
      <c r="C305" s="532"/>
      <c r="D305" s="532"/>
      <c r="E305" s="532"/>
      <c r="F305" s="532"/>
      <c r="G305" s="532"/>
      <c r="H305" s="532"/>
      <c r="I305" s="532"/>
    </row>
    <row r="306" spans="1:9" ht="12.75">
      <c r="A306" s="532"/>
      <c r="B306" s="532"/>
      <c r="C306" s="532"/>
      <c r="D306" s="532"/>
      <c r="E306" s="532"/>
      <c r="F306" s="532"/>
      <c r="G306" s="532"/>
      <c r="H306" s="532"/>
      <c r="I306" s="532"/>
    </row>
    <row r="307" spans="1:9" ht="12.75">
      <c r="A307" s="532"/>
      <c r="B307" s="532"/>
      <c r="C307" s="532"/>
      <c r="D307" s="532"/>
      <c r="E307" s="532"/>
      <c r="F307" s="532"/>
      <c r="G307" s="532"/>
      <c r="H307" s="532"/>
      <c r="I307" s="532"/>
    </row>
    <row r="308" spans="1:9" ht="12.75">
      <c r="A308" s="532"/>
      <c r="B308" s="532"/>
      <c r="C308" s="532"/>
      <c r="D308" s="532"/>
      <c r="E308" s="532"/>
      <c r="F308" s="532"/>
      <c r="G308" s="532"/>
      <c r="H308" s="532"/>
      <c r="I308" s="532"/>
    </row>
    <row r="309" spans="1:9" ht="12.75">
      <c r="A309" s="532"/>
      <c r="B309" s="532"/>
      <c r="C309" s="532"/>
      <c r="D309" s="532"/>
      <c r="E309" s="532"/>
      <c r="F309" s="532"/>
      <c r="G309" s="532"/>
      <c r="H309" s="532"/>
      <c r="I309" s="532"/>
    </row>
    <row r="310" spans="1:9" ht="12.75">
      <c r="A310" s="532"/>
      <c r="B310" s="532"/>
      <c r="C310" s="532"/>
      <c r="D310" s="532"/>
      <c r="E310" s="532"/>
      <c r="F310" s="532"/>
      <c r="G310" s="532"/>
      <c r="H310" s="532"/>
      <c r="I310" s="532"/>
    </row>
    <row r="311" spans="1:9" ht="12.75">
      <c r="A311" s="532"/>
      <c r="B311" s="532"/>
      <c r="C311" s="532"/>
      <c r="D311" s="532"/>
      <c r="E311" s="532"/>
      <c r="F311" s="532"/>
      <c r="G311" s="532"/>
      <c r="H311" s="532"/>
      <c r="I311" s="532"/>
    </row>
    <row r="312" spans="1:9" ht="12.75">
      <c r="A312" s="532"/>
      <c r="B312" s="532"/>
      <c r="C312" s="532"/>
      <c r="D312" s="532"/>
      <c r="E312" s="532"/>
      <c r="F312" s="532"/>
      <c r="G312" s="532"/>
      <c r="H312" s="532"/>
      <c r="I312" s="532"/>
    </row>
    <row r="313" spans="1:9" ht="12.75">
      <c r="A313" s="532"/>
      <c r="B313" s="532"/>
      <c r="C313" s="532"/>
      <c r="D313" s="532"/>
      <c r="E313" s="532"/>
      <c r="F313" s="532"/>
      <c r="G313" s="532"/>
      <c r="H313" s="532"/>
      <c r="I313" s="532"/>
    </row>
    <row r="314" spans="1:9" ht="12.75">
      <c r="A314" s="532"/>
      <c r="B314" s="532"/>
      <c r="C314" s="532"/>
      <c r="D314" s="532"/>
      <c r="E314" s="532"/>
      <c r="F314" s="532"/>
      <c r="G314" s="532"/>
      <c r="H314" s="532"/>
      <c r="I314" s="532"/>
    </row>
    <row r="315" spans="1:9" ht="12.75">
      <c r="A315" s="532"/>
      <c r="B315" s="532"/>
      <c r="C315" s="532"/>
      <c r="D315" s="532"/>
      <c r="E315" s="532"/>
      <c r="F315" s="532"/>
      <c r="G315" s="532"/>
      <c r="H315" s="532"/>
      <c r="I315" s="532"/>
    </row>
    <row r="316" spans="1:9" ht="12.75">
      <c r="A316" s="532"/>
      <c r="B316" s="532"/>
      <c r="C316" s="532"/>
      <c r="D316" s="532"/>
      <c r="E316" s="532"/>
      <c r="F316" s="532"/>
      <c r="G316" s="532"/>
      <c r="H316" s="532"/>
      <c r="I316" s="532"/>
    </row>
    <row r="317" spans="1:9" ht="12.75">
      <c r="A317" s="532"/>
      <c r="B317" s="532"/>
      <c r="C317" s="532"/>
      <c r="D317" s="532"/>
      <c r="E317" s="532"/>
      <c r="F317" s="532"/>
      <c r="G317" s="532"/>
      <c r="H317" s="532"/>
      <c r="I317" s="532"/>
    </row>
    <row r="318" spans="1:9" ht="12.75">
      <c r="A318" s="532"/>
      <c r="B318" s="532"/>
      <c r="C318" s="532"/>
      <c r="D318" s="532"/>
      <c r="E318" s="532"/>
      <c r="F318" s="532"/>
      <c r="G318" s="532"/>
      <c r="H318" s="532"/>
      <c r="I318" s="532"/>
    </row>
    <row r="319" spans="1:9" ht="12.75">
      <c r="A319" s="532"/>
      <c r="B319" s="532"/>
      <c r="C319" s="532"/>
      <c r="D319" s="532"/>
      <c r="E319" s="532"/>
      <c r="F319" s="532"/>
      <c r="G319" s="532"/>
      <c r="H319" s="532"/>
      <c r="I319" s="532"/>
    </row>
    <row r="320" spans="1:9" ht="12.75">
      <c r="A320" s="532"/>
      <c r="B320" s="532"/>
      <c r="C320" s="532"/>
      <c r="D320" s="532"/>
      <c r="E320" s="532"/>
      <c r="F320" s="532"/>
      <c r="G320" s="532"/>
      <c r="H320" s="532"/>
      <c r="I320" s="532"/>
    </row>
    <row r="321" spans="1:9" ht="12.75">
      <c r="A321" s="532"/>
      <c r="B321" s="532"/>
      <c r="C321" s="532"/>
      <c r="D321" s="532"/>
      <c r="E321" s="532"/>
      <c r="F321" s="532"/>
      <c r="G321" s="532"/>
      <c r="H321" s="532"/>
      <c r="I321" s="532"/>
    </row>
    <row r="322" spans="1:9" ht="12.75">
      <c r="A322" s="532"/>
      <c r="B322" s="532"/>
      <c r="C322" s="532"/>
      <c r="D322" s="532"/>
      <c r="E322" s="532"/>
      <c r="F322" s="532"/>
      <c r="G322" s="532"/>
      <c r="H322" s="532"/>
      <c r="I322" s="532"/>
    </row>
    <row r="323" spans="1:9" ht="12.75">
      <c r="A323" s="532"/>
      <c r="B323" s="532"/>
      <c r="C323" s="532"/>
      <c r="D323" s="532"/>
      <c r="E323" s="532"/>
      <c r="F323" s="532"/>
      <c r="G323" s="532"/>
      <c r="H323" s="532"/>
      <c r="I323" s="532"/>
    </row>
    <row r="324" spans="1:9" ht="12.75">
      <c r="A324" s="532"/>
      <c r="B324" s="532"/>
      <c r="C324" s="532"/>
      <c r="D324" s="532"/>
      <c r="E324" s="532"/>
      <c r="F324" s="532"/>
      <c r="G324" s="532"/>
      <c r="H324" s="532"/>
      <c r="I324" s="532"/>
    </row>
    <row r="325" spans="1:9" ht="12.75">
      <c r="A325" s="532"/>
      <c r="B325" s="532"/>
      <c r="C325" s="532"/>
      <c r="D325" s="532"/>
      <c r="E325" s="532"/>
      <c r="F325" s="532"/>
      <c r="G325" s="532"/>
      <c r="H325" s="532"/>
      <c r="I325" s="532"/>
    </row>
    <row r="326" spans="1:9" ht="12.75">
      <c r="A326" s="532"/>
      <c r="B326" s="532"/>
      <c r="C326" s="532"/>
      <c r="D326" s="532"/>
      <c r="E326" s="532"/>
      <c r="F326" s="532"/>
      <c r="G326" s="532"/>
      <c r="H326" s="532"/>
      <c r="I326" s="532"/>
    </row>
    <row r="327" spans="1:9" ht="12.75">
      <c r="A327" s="532"/>
      <c r="B327" s="532"/>
      <c r="C327" s="532"/>
      <c r="D327" s="532"/>
      <c r="E327" s="532"/>
      <c r="F327" s="532"/>
      <c r="G327" s="532"/>
      <c r="H327" s="532"/>
      <c r="I327" s="532"/>
    </row>
    <row r="328" spans="1:9" ht="12.75">
      <c r="A328" s="532"/>
      <c r="B328" s="532"/>
      <c r="C328" s="532"/>
      <c r="D328" s="532"/>
      <c r="E328" s="532"/>
      <c r="F328" s="532"/>
      <c r="G328" s="532"/>
      <c r="H328" s="532"/>
      <c r="I328" s="532"/>
    </row>
    <row r="329" spans="1:9" ht="12.75">
      <c r="A329" s="532"/>
      <c r="B329" s="532"/>
      <c r="C329" s="532"/>
      <c r="D329" s="532"/>
      <c r="E329" s="532"/>
      <c r="F329" s="532"/>
      <c r="G329" s="532"/>
      <c r="H329" s="532"/>
      <c r="I329" s="532"/>
    </row>
    <row r="330" spans="1:9" ht="12.75">
      <c r="A330" s="532"/>
      <c r="B330" s="532"/>
      <c r="C330" s="532"/>
      <c r="D330" s="532"/>
      <c r="E330" s="532"/>
      <c r="F330" s="532"/>
      <c r="G330" s="532"/>
      <c r="H330" s="532"/>
      <c r="I330" s="532"/>
    </row>
    <row r="331" spans="1:9" ht="12.75">
      <c r="A331" s="532"/>
      <c r="B331" s="532"/>
      <c r="C331" s="532"/>
      <c r="D331" s="532"/>
      <c r="E331" s="532"/>
      <c r="F331" s="532"/>
      <c r="G331" s="532"/>
      <c r="H331" s="532"/>
      <c r="I331" s="532"/>
    </row>
    <row r="332" spans="1:9" ht="12.75">
      <c r="A332" s="532"/>
      <c r="B332" s="532"/>
      <c r="C332" s="532"/>
      <c r="D332" s="532"/>
      <c r="E332" s="532"/>
      <c r="F332" s="532"/>
      <c r="G332" s="532"/>
      <c r="H332" s="532"/>
      <c r="I332" s="532"/>
    </row>
    <row r="333" spans="1:9" ht="12.75">
      <c r="A333" s="532"/>
      <c r="B333" s="532"/>
      <c r="C333" s="532"/>
      <c r="D333" s="532"/>
      <c r="E333" s="532"/>
      <c r="F333" s="532"/>
      <c r="G333" s="532"/>
      <c r="H333" s="532"/>
      <c r="I333" s="532"/>
    </row>
    <row r="334" spans="1:9" ht="12.75">
      <c r="A334" s="532"/>
      <c r="B334" s="532"/>
      <c r="C334" s="532"/>
      <c r="D334" s="532"/>
      <c r="E334" s="532"/>
      <c r="F334" s="532"/>
      <c r="G334" s="532"/>
      <c r="H334" s="532"/>
      <c r="I334" s="532"/>
    </row>
    <row r="335" spans="1:9" ht="12.75">
      <c r="A335" s="532"/>
      <c r="B335" s="532"/>
      <c r="C335" s="532"/>
      <c r="D335" s="532"/>
      <c r="E335" s="532"/>
      <c r="F335" s="532"/>
      <c r="G335" s="532"/>
      <c r="H335" s="532"/>
      <c r="I335" s="532"/>
    </row>
    <row r="336" spans="1:9" ht="12.75">
      <c r="A336" s="532"/>
      <c r="B336" s="532"/>
      <c r="C336" s="532"/>
      <c r="D336" s="532"/>
      <c r="E336" s="532"/>
      <c r="F336" s="532"/>
      <c r="G336" s="532"/>
      <c r="H336" s="532"/>
      <c r="I336" s="532"/>
    </row>
    <row r="337" spans="1:9" ht="12.75">
      <c r="A337" s="532"/>
      <c r="B337" s="532"/>
      <c r="C337" s="532"/>
      <c r="D337" s="532"/>
      <c r="E337" s="532"/>
      <c r="F337" s="532"/>
      <c r="G337" s="532"/>
      <c r="H337" s="532"/>
      <c r="I337" s="532"/>
    </row>
    <row r="338" spans="1:9" ht="12.75">
      <c r="A338" s="532"/>
      <c r="B338" s="532"/>
      <c r="C338" s="532"/>
      <c r="D338" s="532"/>
      <c r="E338" s="532"/>
      <c r="F338" s="532"/>
      <c r="G338" s="532"/>
      <c r="H338" s="532"/>
      <c r="I338" s="532"/>
    </row>
    <row r="339" spans="1:9" ht="12.75">
      <c r="A339" s="532"/>
      <c r="B339" s="532"/>
      <c r="C339" s="532"/>
      <c r="D339" s="532"/>
      <c r="E339" s="532"/>
      <c r="F339" s="532"/>
      <c r="G339" s="532"/>
      <c r="H339" s="532"/>
      <c r="I339" s="532"/>
    </row>
    <row r="340" spans="1:9" ht="12.75">
      <c r="A340" s="532"/>
      <c r="B340" s="532"/>
      <c r="C340" s="532"/>
      <c r="D340" s="532"/>
      <c r="E340" s="532"/>
      <c r="F340" s="532"/>
      <c r="G340" s="532"/>
      <c r="H340" s="532"/>
      <c r="I340" s="532"/>
    </row>
    <row r="341" spans="1:9" ht="12.75">
      <c r="A341" s="532"/>
      <c r="B341" s="532"/>
      <c r="C341" s="532"/>
      <c r="D341" s="532"/>
      <c r="E341" s="532"/>
      <c r="F341" s="532"/>
      <c r="G341" s="532"/>
      <c r="H341" s="532"/>
      <c r="I341" s="532"/>
    </row>
    <row r="342" spans="1:9" ht="12.75">
      <c r="A342" s="532"/>
      <c r="B342" s="532"/>
      <c r="C342" s="532"/>
      <c r="D342" s="532"/>
      <c r="E342" s="532"/>
      <c r="F342" s="532"/>
      <c r="G342" s="532"/>
      <c r="H342" s="532"/>
      <c r="I342" s="532"/>
    </row>
    <row r="343" spans="1:9" ht="12.75">
      <c r="A343" s="532"/>
      <c r="B343" s="532"/>
      <c r="C343" s="532"/>
      <c r="D343" s="532"/>
      <c r="E343" s="532"/>
      <c r="F343" s="532"/>
      <c r="G343" s="532"/>
      <c r="H343" s="532"/>
      <c r="I343" s="532"/>
    </row>
    <row r="344" spans="1:9" ht="12.75">
      <c r="A344" s="532"/>
      <c r="B344" s="532"/>
      <c r="C344" s="532"/>
      <c r="D344" s="532"/>
      <c r="E344" s="532"/>
      <c r="F344" s="532"/>
      <c r="G344" s="532"/>
      <c r="H344" s="532"/>
      <c r="I344" s="532"/>
    </row>
    <row r="345" spans="1:9" ht="12.75">
      <c r="A345" s="532"/>
      <c r="B345" s="532"/>
      <c r="C345" s="532"/>
      <c r="D345" s="532"/>
      <c r="E345" s="532"/>
      <c r="F345" s="532"/>
      <c r="G345" s="532"/>
      <c r="H345" s="532"/>
      <c r="I345" s="532"/>
    </row>
    <row r="346" spans="1:9" ht="12.75">
      <c r="A346" s="532"/>
      <c r="B346" s="532"/>
      <c r="C346" s="532"/>
      <c r="D346" s="532"/>
      <c r="E346" s="532"/>
      <c r="F346" s="532"/>
      <c r="G346" s="532"/>
      <c r="H346" s="532"/>
      <c r="I346" s="532"/>
    </row>
    <row r="347" spans="1:9" ht="12.75">
      <c r="A347" s="532"/>
      <c r="B347" s="532"/>
      <c r="C347" s="532"/>
      <c r="D347" s="532"/>
      <c r="E347" s="532"/>
      <c r="F347" s="532"/>
      <c r="G347" s="532"/>
      <c r="H347" s="532"/>
      <c r="I347" s="532"/>
    </row>
    <row r="348" spans="1:9" ht="12.75">
      <c r="A348" s="532"/>
      <c r="B348" s="532"/>
      <c r="C348" s="532"/>
      <c r="D348" s="532"/>
      <c r="E348" s="532"/>
      <c r="F348" s="532"/>
      <c r="G348" s="532"/>
      <c r="H348" s="532"/>
      <c r="I348" s="532"/>
    </row>
    <row r="349" spans="1:9" ht="12.75">
      <c r="A349" s="532"/>
      <c r="B349" s="532"/>
      <c r="C349" s="532"/>
      <c r="D349" s="532"/>
      <c r="E349" s="532"/>
      <c r="F349" s="532"/>
      <c r="G349" s="532"/>
      <c r="H349" s="532"/>
      <c r="I349" s="532"/>
    </row>
    <row r="350" spans="1:9" ht="12.75">
      <c r="A350" s="532"/>
      <c r="B350" s="532"/>
      <c r="C350" s="532"/>
      <c r="D350" s="532"/>
      <c r="E350" s="532"/>
      <c r="F350" s="532"/>
      <c r="G350" s="532"/>
      <c r="H350" s="532"/>
      <c r="I350" s="532"/>
    </row>
    <row r="351" spans="1:9" ht="12.75">
      <c r="A351" s="532"/>
      <c r="B351" s="532"/>
      <c r="C351" s="532"/>
      <c r="D351" s="532"/>
      <c r="E351" s="532"/>
      <c r="F351" s="532"/>
      <c r="G351" s="532"/>
      <c r="H351" s="532"/>
      <c r="I351" s="532"/>
    </row>
    <row r="352" spans="1:9" ht="12.75">
      <c r="A352" s="532"/>
      <c r="B352" s="532"/>
      <c r="C352" s="532"/>
      <c r="D352" s="532"/>
      <c r="E352" s="532"/>
      <c r="F352" s="532"/>
      <c r="G352" s="532"/>
      <c r="H352" s="532"/>
      <c r="I352" s="532"/>
    </row>
    <row r="353" spans="1:9" ht="12.75">
      <c r="A353" s="532"/>
      <c r="B353" s="532"/>
      <c r="C353" s="532"/>
      <c r="D353" s="532"/>
      <c r="E353" s="532"/>
      <c r="F353" s="532"/>
      <c r="G353" s="532"/>
      <c r="H353" s="532"/>
      <c r="I353" s="532"/>
    </row>
    <row r="354" spans="1:9" ht="12.75">
      <c r="A354" s="532"/>
      <c r="B354" s="532"/>
      <c r="C354" s="532"/>
      <c r="D354" s="532"/>
      <c r="E354" s="532"/>
      <c r="F354" s="532"/>
      <c r="G354" s="532"/>
      <c r="H354" s="532"/>
      <c r="I354" s="532"/>
    </row>
    <row r="355" spans="1:9" ht="12.75">
      <c r="A355" s="532"/>
      <c r="B355" s="532"/>
      <c r="C355" s="532"/>
      <c r="D355" s="532"/>
      <c r="E355" s="532"/>
      <c r="F355" s="532"/>
      <c r="G355" s="532"/>
      <c r="H355" s="532"/>
      <c r="I355" s="532"/>
    </row>
    <row r="356" spans="1:9" ht="12.75">
      <c r="A356" s="532"/>
      <c r="B356" s="532"/>
      <c r="C356" s="532"/>
      <c r="D356" s="532"/>
      <c r="E356" s="532"/>
      <c r="F356" s="532"/>
      <c r="G356" s="532"/>
      <c r="H356" s="532"/>
      <c r="I356" s="532"/>
    </row>
    <row r="357" spans="1:9" ht="12.75">
      <c r="A357" s="532"/>
      <c r="B357" s="532"/>
      <c r="C357" s="532"/>
      <c r="D357" s="532"/>
      <c r="E357" s="532"/>
      <c r="F357" s="532"/>
      <c r="G357" s="532"/>
      <c r="H357" s="532"/>
      <c r="I357" s="532"/>
    </row>
    <row r="358" spans="1:9" ht="12.75">
      <c r="A358" s="532"/>
      <c r="B358" s="532"/>
      <c r="C358" s="532"/>
      <c r="D358" s="532"/>
      <c r="E358" s="532"/>
      <c r="F358" s="532"/>
      <c r="G358" s="532"/>
      <c r="H358" s="532"/>
      <c r="I358" s="532"/>
    </row>
    <row r="359" spans="1:9" ht="12.75">
      <c r="A359" s="532"/>
      <c r="B359" s="532"/>
      <c r="C359" s="532"/>
      <c r="D359" s="532"/>
      <c r="E359" s="532"/>
      <c r="F359" s="532"/>
      <c r="G359" s="532"/>
      <c r="H359" s="532"/>
      <c r="I359" s="532"/>
    </row>
    <row r="360" spans="1:9" ht="12.75">
      <c r="A360" s="532"/>
      <c r="B360" s="532"/>
      <c r="C360" s="532"/>
      <c r="D360" s="532"/>
      <c r="E360" s="532"/>
      <c r="F360" s="532"/>
      <c r="G360" s="532"/>
      <c r="H360" s="532"/>
      <c r="I360" s="532"/>
    </row>
    <row r="361" spans="1:9" ht="12.75">
      <c r="A361" s="532"/>
      <c r="B361" s="532"/>
      <c r="C361" s="532"/>
      <c r="D361" s="532"/>
      <c r="E361" s="532"/>
      <c r="F361" s="532"/>
      <c r="G361" s="532"/>
      <c r="H361" s="532"/>
      <c r="I361" s="532"/>
    </row>
    <row r="362" spans="1:9" ht="12.75">
      <c r="A362" s="532"/>
      <c r="B362" s="532"/>
      <c r="C362" s="532"/>
      <c r="D362" s="532"/>
      <c r="E362" s="532"/>
      <c r="F362" s="532"/>
      <c r="G362" s="532"/>
      <c r="H362" s="532"/>
      <c r="I362" s="532"/>
    </row>
    <row r="363" spans="1:9" ht="12.75">
      <c r="A363" s="532"/>
      <c r="B363" s="532"/>
      <c r="C363" s="532"/>
      <c r="D363" s="532"/>
      <c r="E363" s="532"/>
      <c r="F363" s="532"/>
      <c r="G363" s="532"/>
      <c r="H363" s="532"/>
      <c r="I363" s="532"/>
    </row>
    <row r="364" spans="1:9" ht="12.75">
      <c r="A364" s="532"/>
      <c r="B364" s="532"/>
      <c r="C364" s="532"/>
      <c r="D364" s="532"/>
      <c r="E364" s="532"/>
      <c r="F364" s="532"/>
      <c r="G364" s="532"/>
      <c r="H364" s="532"/>
      <c r="I364" s="532"/>
    </row>
    <row r="365" spans="1:9" ht="12.75">
      <c r="A365" s="532"/>
      <c r="B365" s="532"/>
      <c r="C365" s="532"/>
      <c r="D365" s="532"/>
      <c r="E365" s="532"/>
      <c r="F365" s="532"/>
      <c r="G365" s="532"/>
      <c r="H365" s="532"/>
      <c r="I365" s="532"/>
    </row>
    <row r="366" spans="1:9" ht="12.75">
      <c r="A366" s="532"/>
      <c r="B366" s="532"/>
      <c r="C366" s="532"/>
      <c r="D366" s="532"/>
      <c r="E366" s="532"/>
      <c r="F366" s="532"/>
      <c r="G366" s="532"/>
      <c r="H366" s="532"/>
      <c r="I366" s="532"/>
    </row>
    <row r="367" spans="1:9" ht="12.75">
      <c r="A367" s="532"/>
      <c r="B367" s="532"/>
      <c r="C367" s="532"/>
      <c r="D367" s="532"/>
      <c r="E367" s="532"/>
      <c r="F367" s="532"/>
      <c r="G367" s="532"/>
      <c r="H367" s="532"/>
      <c r="I367" s="532"/>
    </row>
    <row r="368" spans="1:9" ht="12.75">
      <c r="A368" s="532"/>
      <c r="B368" s="532"/>
      <c r="C368" s="532"/>
      <c r="D368" s="532"/>
      <c r="E368" s="532"/>
      <c r="F368" s="532"/>
      <c r="G368" s="532"/>
      <c r="H368" s="532"/>
      <c r="I368" s="532"/>
    </row>
    <row r="369" spans="1:9" ht="12.75">
      <c r="A369" s="532"/>
      <c r="B369" s="532"/>
      <c r="C369" s="532"/>
      <c r="D369" s="532"/>
      <c r="E369" s="532"/>
      <c r="F369" s="532"/>
      <c r="G369" s="532"/>
      <c r="H369" s="532"/>
      <c r="I369" s="532"/>
    </row>
    <row r="370" spans="1:9" ht="12.75">
      <c r="A370" s="532"/>
      <c r="B370" s="532"/>
      <c r="C370" s="532"/>
      <c r="D370" s="532"/>
      <c r="E370" s="532"/>
      <c r="F370" s="532"/>
      <c r="G370" s="532"/>
      <c r="H370" s="532"/>
      <c r="I370" s="532"/>
    </row>
    <row r="371" spans="1:9" ht="12.75">
      <c r="A371" s="532"/>
      <c r="B371" s="532"/>
      <c r="C371" s="532"/>
      <c r="D371" s="532"/>
      <c r="E371" s="532"/>
      <c r="F371" s="532"/>
      <c r="G371" s="532"/>
      <c r="H371" s="532"/>
      <c r="I371" s="532"/>
    </row>
    <row r="372" spans="1:9" ht="12.75">
      <c r="A372" s="532"/>
      <c r="B372" s="532"/>
      <c r="C372" s="532"/>
      <c r="D372" s="532"/>
      <c r="E372" s="532"/>
      <c r="F372" s="532"/>
      <c r="G372" s="532"/>
      <c r="H372" s="532"/>
      <c r="I372" s="532"/>
    </row>
    <row r="373" spans="1:9" ht="12.75">
      <c r="A373" s="532"/>
      <c r="B373" s="532"/>
      <c r="C373" s="532"/>
      <c r="D373" s="532"/>
      <c r="E373" s="532"/>
      <c r="F373" s="532"/>
      <c r="G373" s="532"/>
      <c r="H373" s="532"/>
      <c r="I373" s="532"/>
    </row>
    <row r="374" spans="1:9" ht="12.75">
      <c r="A374" s="532"/>
      <c r="B374" s="532"/>
      <c r="C374" s="532"/>
      <c r="D374" s="532"/>
      <c r="E374" s="532"/>
      <c r="F374" s="532"/>
      <c r="G374" s="532"/>
      <c r="H374" s="532"/>
      <c r="I374" s="532"/>
    </row>
    <row r="375" spans="1:9" ht="12.75">
      <c r="A375" s="532"/>
      <c r="B375" s="532"/>
      <c r="C375" s="532"/>
      <c r="D375" s="532"/>
      <c r="E375" s="532"/>
      <c r="F375" s="532"/>
      <c r="G375" s="532"/>
      <c r="H375" s="532"/>
      <c r="I375" s="532"/>
    </row>
    <row r="376" spans="1:9" ht="12.75">
      <c r="A376" s="532"/>
      <c r="B376" s="532"/>
      <c r="C376" s="532"/>
      <c r="D376" s="532"/>
      <c r="E376" s="532"/>
      <c r="F376" s="532"/>
      <c r="G376" s="532"/>
      <c r="H376" s="532"/>
      <c r="I376" s="532"/>
    </row>
    <row r="377" spans="1:9" ht="12.75">
      <c r="A377" s="532"/>
      <c r="B377" s="532"/>
      <c r="C377" s="532"/>
      <c r="D377" s="532"/>
      <c r="E377" s="532"/>
      <c r="F377" s="532"/>
      <c r="G377" s="532"/>
      <c r="H377" s="532"/>
      <c r="I377" s="532"/>
    </row>
    <row r="378" spans="1:9" ht="12.75">
      <c r="A378" s="532"/>
      <c r="B378" s="532"/>
      <c r="C378" s="532"/>
      <c r="D378" s="532"/>
      <c r="E378" s="532"/>
      <c r="F378" s="532"/>
      <c r="G378" s="532"/>
      <c r="H378" s="532"/>
      <c r="I378" s="532"/>
    </row>
    <row r="379" spans="1:9" ht="12.75">
      <c r="A379" s="532"/>
      <c r="B379" s="532"/>
      <c r="C379" s="532"/>
      <c r="D379" s="532"/>
      <c r="E379" s="532"/>
      <c r="F379" s="532"/>
      <c r="G379" s="532"/>
      <c r="H379" s="532"/>
      <c r="I379" s="532"/>
    </row>
    <row r="380" spans="1:9" ht="12.75">
      <c r="A380" s="532"/>
      <c r="B380" s="532"/>
      <c r="C380" s="532"/>
      <c r="D380" s="532"/>
      <c r="E380" s="532"/>
      <c r="F380" s="532"/>
      <c r="G380" s="532"/>
      <c r="H380" s="532"/>
      <c r="I380" s="532"/>
    </row>
    <row r="381" spans="1:9" ht="12.75">
      <c r="A381" s="532"/>
      <c r="B381" s="532"/>
      <c r="C381" s="532"/>
      <c r="D381" s="532"/>
      <c r="E381" s="532"/>
      <c r="F381" s="532"/>
      <c r="G381" s="532"/>
      <c r="H381" s="532"/>
      <c r="I381" s="532"/>
    </row>
    <row r="382" spans="1:9" ht="12.75">
      <c r="A382" s="532"/>
      <c r="B382" s="532"/>
      <c r="C382" s="532"/>
      <c r="D382" s="532"/>
      <c r="E382" s="532"/>
      <c r="F382" s="532"/>
      <c r="G382" s="532"/>
      <c r="H382" s="532"/>
      <c r="I382" s="532"/>
    </row>
    <row r="383" spans="1:9" ht="12.75">
      <c r="A383" s="532"/>
      <c r="B383" s="532"/>
      <c r="C383" s="532"/>
      <c r="D383" s="532"/>
      <c r="E383" s="532"/>
      <c r="F383" s="532"/>
      <c r="G383" s="532"/>
      <c r="H383" s="532"/>
      <c r="I383" s="532"/>
    </row>
    <row r="384" spans="1:9" ht="12.75">
      <c r="A384" s="532"/>
      <c r="B384" s="532"/>
      <c r="C384" s="532"/>
      <c r="D384" s="532"/>
      <c r="E384" s="532"/>
      <c r="F384" s="532"/>
      <c r="G384" s="532"/>
      <c r="H384" s="532"/>
      <c r="I384" s="532"/>
    </row>
    <row r="385" spans="1:9" ht="12.75">
      <c r="A385" s="532"/>
      <c r="B385" s="532"/>
      <c r="C385" s="532"/>
      <c r="D385" s="532"/>
      <c r="E385" s="532"/>
      <c r="F385" s="532"/>
      <c r="G385" s="532"/>
      <c r="H385" s="532"/>
      <c r="I385" s="532"/>
    </row>
    <row r="386" spans="1:9" ht="12.75">
      <c r="A386" s="532"/>
      <c r="B386" s="532"/>
      <c r="C386" s="532"/>
      <c r="D386" s="532"/>
      <c r="E386" s="532"/>
      <c r="F386" s="532"/>
      <c r="G386" s="532"/>
      <c r="H386" s="532"/>
      <c r="I386" s="532"/>
    </row>
    <row r="387" spans="1:9" ht="12.75">
      <c r="A387" s="532"/>
      <c r="B387" s="532"/>
      <c r="C387" s="532"/>
      <c r="D387" s="532"/>
      <c r="E387" s="532"/>
      <c r="F387" s="532"/>
      <c r="G387" s="532"/>
      <c r="H387" s="532"/>
      <c r="I387" s="532"/>
    </row>
    <row r="388" spans="1:9" ht="12.75">
      <c r="A388" s="532"/>
      <c r="B388" s="532"/>
      <c r="C388" s="532"/>
      <c r="D388" s="532"/>
      <c r="E388" s="532"/>
      <c r="F388" s="532"/>
      <c r="G388" s="532"/>
      <c r="H388" s="532"/>
      <c r="I388" s="532"/>
    </row>
    <row r="389" spans="1:9" ht="12.75">
      <c r="A389" s="532"/>
      <c r="B389" s="532"/>
      <c r="C389" s="532"/>
      <c r="D389" s="532"/>
      <c r="E389" s="532"/>
      <c r="F389" s="532"/>
      <c r="G389" s="532"/>
      <c r="H389" s="532"/>
      <c r="I389" s="532"/>
    </row>
    <row r="390" spans="1:9" ht="12.75">
      <c r="A390" s="532"/>
      <c r="B390" s="532"/>
      <c r="C390" s="532"/>
      <c r="D390" s="532"/>
      <c r="E390" s="532"/>
      <c r="F390" s="532"/>
      <c r="G390" s="532"/>
      <c r="H390" s="532"/>
      <c r="I390" s="532"/>
    </row>
    <row r="391" spans="1:9" ht="12.75">
      <c r="A391" s="532"/>
      <c r="B391" s="532"/>
      <c r="C391" s="532"/>
      <c r="D391" s="532"/>
      <c r="E391" s="532"/>
      <c r="F391" s="532"/>
      <c r="G391" s="532"/>
      <c r="H391" s="532"/>
      <c r="I391" s="532"/>
    </row>
    <row r="392" spans="1:9" ht="12.75">
      <c r="A392" s="532"/>
      <c r="B392" s="532"/>
      <c r="C392" s="532"/>
      <c r="D392" s="532"/>
      <c r="E392" s="532"/>
      <c r="F392" s="532"/>
      <c r="G392" s="532"/>
      <c r="H392" s="532"/>
      <c r="I392" s="532"/>
    </row>
    <row r="393" spans="1:9" ht="12.75">
      <c r="A393" s="532"/>
      <c r="B393" s="532"/>
      <c r="C393" s="532"/>
      <c r="D393" s="532"/>
      <c r="E393" s="532"/>
      <c r="F393" s="532"/>
      <c r="G393" s="532"/>
      <c r="H393" s="532"/>
      <c r="I393" s="532"/>
    </row>
    <row r="394" spans="1:9" ht="12.75">
      <c r="A394" s="532"/>
      <c r="B394" s="532"/>
      <c r="C394" s="532"/>
      <c r="D394" s="532"/>
      <c r="E394" s="532"/>
      <c r="F394" s="532"/>
      <c r="G394" s="532"/>
      <c r="H394" s="532"/>
      <c r="I394" s="532"/>
    </row>
    <row r="395" spans="1:9" ht="12.75">
      <c r="A395" s="532"/>
      <c r="B395" s="532"/>
      <c r="C395" s="532"/>
      <c r="D395" s="532"/>
      <c r="E395" s="532"/>
      <c r="F395" s="532"/>
      <c r="G395" s="532"/>
      <c r="H395" s="532"/>
      <c r="I395" s="532"/>
    </row>
    <row r="396" spans="1:9" ht="12.75">
      <c r="A396" s="532"/>
      <c r="B396" s="532"/>
      <c r="C396" s="532"/>
      <c r="D396" s="532"/>
      <c r="E396" s="532"/>
      <c r="F396" s="532"/>
      <c r="G396" s="532"/>
      <c r="H396" s="532"/>
      <c r="I396" s="532"/>
    </row>
    <row r="397" spans="1:9" ht="12.75">
      <c r="A397" s="532"/>
      <c r="B397" s="532"/>
      <c r="C397" s="532"/>
      <c r="D397" s="532"/>
      <c r="E397" s="532"/>
      <c r="F397" s="532"/>
      <c r="G397" s="532"/>
      <c r="H397" s="532"/>
      <c r="I397" s="532"/>
    </row>
    <row r="398" spans="1:9" ht="12.75">
      <c r="A398" s="532"/>
      <c r="B398" s="532"/>
      <c r="C398" s="532"/>
      <c r="D398" s="532"/>
      <c r="E398" s="532"/>
      <c r="F398" s="532"/>
      <c r="G398" s="532"/>
      <c r="H398" s="532"/>
      <c r="I398" s="532"/>
    </row>
    <row r="399" spans="1:9" ht="12.75">
      <c r="A399" s="532"/>
      <c r="B399" s="532"/>
      <c r="C399" s="532"/>
      <c r="D399" s="532"/>
      <c r="E399" s="532"/>
      <c r="F399" s="532"/>
      <c r="G399" s="532"/>
      <c r="H399" s="532"/>
      <c r="I399" s="532"/>
    </row>
    <row r="400" spans="1:9" ht="12.75">
      <c r="A400" s="532"/>
      <c r="B400" s="532"/>
      <c r="C400" s="532"/>
      <c r="D400" s="532"/>
      <c r="E400" s="532"/>
      <c r="F400" s="532"/>
      <c r="G400" s="532"/>
      <c r="H400" s="532"/>
      <c r="I400" s="532"/>
    </row>
    <row r="401" spans="1:9" ht="12.75">
      <c r="A401" s="532"/>
      <c r="B401" s="532"/>
      <c r="C401" s="532"/>
      <c r="D401" s="532"/>
      <c r="E401" s="532"/>
      <c r="F401" s="532"/>
      <c r="G401" s="532"/>
      <c r="H401" s="532"/>
      <c r="I401" s="532"/>
    </row>
    <row r="402" spans="1:9" ht="12.75">
      <c r="A402" s="532"/>
      <c r="B402" s="532"/>
      <c r="C402" s="532"/>
      <c r="D402" s="532"/>
      <c r="E402" s="532"/>
      <c r="F402" s="532"/>
      <c r="G402" s="532"/>
      <c r="H402" s="532"/>
      <c r="I402" s="532"/>
    </row>
    <row r="403" spans="1:9" ht="12.75">
      <c r="A403" s="532"/>
      <c r="B403" s="532"/>
      <c r="C403" s="532"/>
      <c r="D403" s="532"/>
      <c r="E403" s="532"/>
      <c r="F403" s="532"/>
      <c r="G403" s="532"/>
      <c r="H403" s="532"/>
      <c r="I403" s="532"/>
    </row>
    <row r="404" spans="1:9" ht="12.75">
      <c r="A404" s="532"/>
      <c r="B404" s="532"/>
      <c r="C404" s="532"/>
      <c r="D404" s="532"/>
      <c r="E404" s="532"/>
      <c r="F404" s="532"/>
      <c r="G404" s="532"/>
      <c r="H404" s="532"/>
      <c r="I404" s="532"/>
    </row>
    <row r="405" spans="1:9" ht="12.75">
      <c r="A405" s="532"/>
      <c r="B405" s="532"/>
      <c r="C405" s="532"/>
      <c r="D405" s="532"/>
      <c r="E405" s="532"/>
      <c r="F405" s="532"/>
      <c r="G405" s="532"/>
      <c r="H405" s="532"/>
      <c r="I405" s="532"/>
    </row>
    <row r="406" spans="1:9" ht="12.75">
      <c r="A406" s="532"/>
      <c r="B406" s="532"/>
      <c r="C406" s="532"/>
      <c r="D406" s="532"/>
      <c r="E406" s="532"/>
      <c r="F406" s="532"/>
      <c r="G406" s="532"/>
      <c r="H406" s="532"/>
      <c r="I406" s="532"/>
    </row>
    <row r="407" spans="1:9" ht="12.75">
      <c r="A407" s="532"/>
      <c r="B407" s="532"/>
      <c r="C407" s="532"/>
      <c r="D407" s="532"/>
      <c r="E407" s="532"/>
      <c r="F407" s="532"/>
      <c r="G407" s="532"/>
      <c r="H407" s="532"/>
      <c r="I407" s="532"/>
    </row>
    <row r="408" spans="1:9" ht="12.75">
      <c r="A408" s="532"/>
      <c r="B408" s="532"/>
      <c r="C408" s="532"/>
      <c r="D408" s="532"/>
      <c r="E408" s="532"/>
      <c r="F408" s="532"/>
      <c r="G408" s="532"/>
      <c r="H408" s="532"/>
      <c r="I408" s="532"/>
    </row>
    <row r="409" spans="1:9" ht="12.75">
      <c r="A409" s="532"/>
      <c r="B409" s="532"/>
      <c r="C409" s="532"/>
      <c r="D409" s="532"/>
      <c r="E409" s="532"/>
      <c r="F409" s="532"/>
      <c r="G409" s="532"/>
      <c r="H409" s="532"/>
      <c r="I409" s="532"/>
    </row>
    <row r="410" spans="1:9" ht="12.75">
      <c r="A410" s="532"/>
      <c r="B410" s="532"/>
      <c r="C410" s="532"/>
      <c r="D410" s="532"/>
      <c r="E410" s="532"/>
      <c r="F410" s="532"/>
      <c r="G410" s="532"/>
      <c r="H410" s="532"/>
      <c r="I410" s="532"/>
    </row>
    <row r="411" spans="1:9" ht="12.75">
      <c r="A411" s="532"/>
      <c r="B411" s="532"/>
      <c r="C411" s="532"/>
      <c r="D411" s="532"/>
      <c r="E411" s="532"/>
      <c r="F411" s="532"/>
      <c r="G411" s="532"/>
      <c r="H411" s="532"/>
      <c r="I411" s="532"/>
    </row>
    <row r="412" spans="1:9" ht="12.75">
      <c r="A412" s="532"/>
      <c r="B412" s="532"/>
      <c r="C412" s="532"/>
      <c r="D412" s="532"/>
      <c r="E412" s="532"/>
      <c r="F412" s="532"/>
      <c r="G412" s="532"/>
      <c r="H412" s="532"/>
      <c r="I412" s="532"/>
    </row>
    <row r="413" spans="1:9" ht="12.75">
      <c r="A413" s="532"/>
      <c r="B413" s="532"/>
      <c r="C413" s="532"/>
      <c r="D413" s="532"/>
      <c r="E413" s="532"/>
      <c r="F413" s="532"/>
      <c r="G413" s="532"/>
      <c r="H413" s="532"/>
      <c r="I413" s="532"/>
    </row>
    <row r="414" spans="1:9" ht="12.75">
      <c r="A414" s="532"/>
      <c r="B414" s="532"/>
      <c r="C414" s="532"/>
      <c r="D414" s="532"/>
      <c r="E414" s="532"/>
      <c r="F414" s="532"/>
      <c r="G414" s="532"/>
      <c r="H414" s="532"/>
      <c r="I414" s="532"/>
    </row>
    <row r="415" spans="1:9" ht="12.75">
      <c r="A415" s="532"/>
      <c r="B415" s="532"/>
      <c r="C415" s="532"/>
      <c r="D415" s="532"/>
      <c r="E415" s="532"/>
      <c r="F415" s="532"/>
      <c r="G415" s="532"/>
      <c r="H415" s="532"/>
      <c r="I415" s="532"/>
    </row>
    <row r="416" spans="1:9" ht="12.75">
      <c r="A416" s="532"/>
      <c r="B416" s="532"/>
      <c r="C416" s="532"/>
      <c r="D416" s="532"/>
      <c r="E416" s="532"/>
      <c r="F416" s="532"/>
      <c r="G416" s="532"/>
      <c r="H416" s="532"/>
      <c r="I416" s="532"/>
    </row>
    <row r="417" spans="1:9" ht="12.75">
      <c r="A417" s="532"/>
      <c r="B417" s="532"/>
      <c r="C417" s="532"/>
      <c r="D417" s="532"/>
      <c r="E417" s="532"/>
      <c r="F417" s="532"/>
      <c r="G417" s="532"/>
      <c r="H417" s="532"/>
      <c r="I417" s="532"/>
    </row>
    <row r="418" spans="1:9" ht="12.75">
      <c r="A418" s="532"/>
      <c r="B418" s="532"/>
      <c r="C418" s="532"/>
      <c r="D418" s="532"/>
      <c r="E418" s="532"/>
      <c r="F418" s="532"/>
      <c r="G418" s="532"/>
      <c r="H418" s="532"/>
      <c r="I418" s="532"/>
    </row>
    <row r="419" spans="1:9" ht="12.75">
      <c r="A419" s="532"/>
      <c r="B419" s="532"/>
      <c r="C419" s="532"/>
      <c r="D419" s="532"/>
      <c r="E419" s="532"/>
      <c r="F419" s="532"/>
      <c r="G419" s="532"/>
      <c r="H419" s="532"/>
      <c r="I419" s="532"/>
    </row>
    <row r="420" spans="1:9" ht="12.75">
      <c r="A420" s="532"/>
      <c r="B420" s="532"/>
      <c r="C420" s="532"/>
      <c r="D420" s="532"/>
      <c r="E420" s="532"/>
      <c r="F420" s="532"/>
      <c r="G420" s="532"/>
      <c r="H420" s="532"/>
      <c r="I420" s="532"/>
    </row>
    <row r="421" spans="1:9" ht="12.75">
      <c r="A421" s="532"/>
      <c r="B421" s="532"/>
      <c r="C421" s="532"/>
      <c r="D421" s="532"/>
      <c r="E421" s="532"/>
      <c r="F421" s="532"/>
      <c r="G421" s="532"/>
      <c r="H421" s="532"/>
      <c r="I421" s="532"/>
    </row>
    <row r="422" spans="1:9" ht="12.75">
      <c r="A422" s="532"/>
      <c r="B422" s="532"/>
      <c r="C422" s="532"/>
      <c r="D422" s="532"/>
      <c r="E422" s="532"/>
      <c r="F422" s="532"/>
      <c r="G422" s="532"/>
      <c r="H422" s="532"/>
      <c r="I422" s="532"/>
    </row>
    <row r="423" spans="1:9" ht="12.75">
      <c r="A423" s="532"/>
      <c r="B423" s="532"/>
      <c r="C423" s="532"/>
      <c r="D423" s="532"/>
      <c r="E423" s="532"/>
      <c r="F423" s="532"/>
      <c r="G423" s="532"/>
      <c r="H423" s="532"/>
      <c r="I423" s="532"/>
    </row>
    <row r="424" spans="1:9" ht="12.75">
      <c r="A424" s="532"/>
      <c r="B424" s="532"/>
      <c r="C424" s="532"/>
      <c r="D424" s="532"/>
      <c r="E424" s="532"/>
      <c r="F424" s="532"/>
      <c r="G424" s="532"/>
      <c r="H424" s="532"/>
      <c r="I424" s="532"/>
    </row>
    <row r="425" spans="1:9" ht="12.75">
      <c r="A425" s="532"/>
      <c r="B425" s="532"/>
      <c r="C425" s="532"/>
      <c r="D425" s="532"/>
      <c r="E425" s="532"/>
      <c r="F425" s="532"/>
      <c r="G425" s="532"/>
      <c r="H425" s="532"/>
      <c r="I425" s="532"/>
    </row>
    <row r="426" spans="1:9" ht="12.75">
      <c r="A426" s="532"/>
      <c r="B426" s="532"/>
      <c r="C426" s="532"/>
      <c r="D426" s="532"/>
      <c r="E426" s="532"/>
      <c r="F426" s="532"/>
      <c r="G426" s="532"/>
      <c r="H426" s="532"/>
      <c r="I426" s="532"/>
    </row>
    <row r="427" spans="1:9" ht="12.75">
      <c r="A427" s="532"/>
      <c r="B427" s="532"/>
      <c r="C427" s="532"/>
      <c r="D427" s="532"/>
      <c r="E427" s="532"/>
      <c r="F427" s="532"/>
      <c r="G427" s="532"/>
      <c r="H427" s="532"/>
      <c r="I427" s="532"/>
    </row>
    <row r="428" spans="1:9" ht="12.75">
      <c r="A428" s="532"/>
      <c r="B428" s="532"/>
      <c r="C428" s="532"/>
      <c r="D428" s="532"/>
      <c r="E428" s="532"/>
      <c r="F428" s="532"/>
      <c r="G428" s="532"/>
      <c r="H428" s="532"/>
      <c r="I428" s="532"/>
    </row>
    <row r="429" spans="1:9" ht="12.75">
      <c r="A429" s="532"/>
      <c r="B429" s="532"/>
      <c r="C429" s="532"/>
      <c r="D429" s="532"/>
      <c r="E429" s="532"/>
      <c r="F429" s="532"/>
      <c r="G429" s="532"/>
      <c r="H429" s="532"/>
      <c r="I429" s="532"/>
    </row>
    <row r="430" spans="1:9" ht="12.75">
      <c r="A430" s="532"/>
      <c r="B430" s="532"/>
      <c r="C430" s="532"/>
      <c r="D430" s="532"/>
      <c r="E430" s="532"/>
      <c r="F430" s="532"/>
      <c r="G430" s="532"/>
      <c r="H430" s="532"/>
      <c r="I430" s="532"/>
    </row>
    <row r="431" spans="1:9" ht="12.75">
      <c r="A431" s="532"/>
      <c r="B431" s="532"/>
      <c r="C431" s="532"/>
      <c r="D431" s="532"/>
      <c r="E431" s="532"/>
      <c r="F431" s="532"/>
      <c r="G431" s="532"/>
      <c r="H431" s="532"/>
      <c r="I431" s="532"/>
    </row>
    <row r="432" spans="1:9" ht="12.75">
      <c r="A432" s="532"/>
      <c r="B432" s="532"/>
      <c r="C432" s="532"/>
      <c r="D432" s="532"/>
      <c r="E432" s="532"/>
      <c r="F432" s="532"/>
      <c r="G432" s="532"/>
      <c r="H432" s="532"/>
      <c r="I432" s="532"/>
    </row>
    <row r="433" spans="1:9" ht="12.75">
      <c r="A433" s="532"/>
      <c r="B433" s="532"/>
      <c r="C433" s="532"/>
      <c r="D433" s="532"/>
      <c r="E433" s="532"/>
      <c r="F433" s="532"/>
      <c r="G433" s="532"/>
      <c r="H433" s="532"/>
      <c r="I433" s="532"/>
    </row>
    <row r="434" spans="1:9" ht="12.75">
      <c r="A434" s="532"/>
      <c r="B434" s="532"/>
      <c r="C434" s="532"/>
      <c r="D434" s="532"/>
      <c r="E434" s="532"/>
      <c r="F434" s="532"/>
      <c r="G434" s="532"/>
      <c r="H434" s="532"/>
      <c r="I434" s="532"/>
    </row>
    <row r="435" spans="1:9" ht="12.75">
      <c r="A435" s="532"/>
      <c r="B435" s="532"/>
      <c r="C435" s="532"/>
      <c r="D435" s="532"/>
      <c r="E435" s="532"/>
      <c r="F435" s="532"/>
      <c r="G435" s="532"/>
      <c r="H435" s="532"/>
      <c r="I435" s="532"/>
    </row>
    <row r="436" spans="1:9" ht="12.75">
      <c r="A436" s="532"/>
      <c r="B436" s="532"/>
      <c r="C436" s="532"/>
      <c r="D436" s="532"/>
      <c r="E436" s="532"/>
      <c r="F436" s="532"/>
      <c r="G436" s="532"/>
      <c r="H436" s="532"/>
      <c r="I436" s="532"/>
    </row>
    <row r="437" spans="1:9" ht="12.75">
      <c r="A437" s="532"/>
      <c r="B437" s="532"/>
      <c r="C437" s="532"/>
      <c r="D437" s="532"/>
      <c r="E437" s="532"/>
      <c r="F437" s="532"/>
      <c r="G437" s="532"/>
      <c r="H437" s="532"/>
      <c r="I437" s="532"/>
    </row>
    <row r="438" spans="1:9" ht="12.75">
      <c r="A438" s="532"/>
      <c r="B438" s="532"/>
      <c r="C438" s="532"/>
      <c r="D438" s="532"/>
      <c r="E438" s="532"/>
      <c r="F438" s="532"/>
      <c r="G438" s="532"/>
      <c r="H438" s="532"/>
      <c r="I438" s="532"/>
    </row>
    <row r="439" spans="1:9" ht="12.75">
      <c r="A439" s="532"/>
      <c r="B439" s="532"/>
      <c r="C439" s="532"/>
      <c r="D439" s="532"/>
      <c r="E439" s="532"/>
      <c r="F439" s="532"/>
      <c r="G439" s="532"/>
      <c r="H439" s="532"/>
      <c r="I439" s="532"/>
    </row>
    <row r="440" spans="1:9" ht="12.75">
      <c r="A440" s="532"/>
      <c r="B440" s="532"/>
      <c r="C440" s="532"/>
      <c r="D440" s="532"/>
      <c r="E440" s="532"/>
      <c r="F440" s="532"/>
      <c r="G440" s="532"/>
      <c r="H440" s="532"/>
      <c r="I440" s="532"/>
    </row>
    <row r="441" spans="1:9" ht="12.75">
      <c r="A441" s="532"/>
      <c r="B441" s="532"/>
      <c r="C441" s="532"/>
      <c r="D441" s="532"/>
      <c r="E441" s="532"/>
      <c r="F441" s="532"/>
      <c r="G441" s="532"/>
      <c r="H441" s="532"/>
      <c r="I441" s="532"/>
    </row>
    <row r="442" spans="1:9" ht="12.75">
      <c r="A442" s="532"/>
      <c r="B442" s="532"/>
      <c r="C442" s="532"/>
      <c r="D442" s="532"/>
      <c r="E442" s="532"/>
      <c r="F442" s="532"/>
      <c r="G442" s="532"/>
      <c r="H442" s="532"/>
      <c r="I442" s="532"/>
    </row>
    <row r="443" spans="1:9" ht="12.75">
      <c r="A443" s="532"/>
      <c r="B443" s="532"/>
      <c r="C443" s="532"/>
      <c r="D443" s="532"/>
      <c r="E443" s="532"/>
      <c r="F443" s="532"/>
      <c r="G443" s="532"/>
      <c r="H443" s="532"/>
      <c r="I443" s="532"/>
    </row>
    <row r="444" spans="1:9" ht="12.75">
      <c r="A444" s="532"/>
      <c r="B444" s="532"/>
      <c r="C444" s="532"/>
      <c r="D444" s="532"/>
      <c r="E444" s="532"/>
      <c r="F444" s="532"/>
      <c r="G444" s="532"/>
      <c r="H444" s="532"/>
      <c r="I444" s="532"/>
    </row>
    <row r="445" spans="1:9" ht="12.75">
      <c r="A445" s="532"/>
      <c r="B445" s="532"/>
      <c r="C445" s="532"/>
      <c r="D445" s="532"/>
      <c r="E445" s="532"/>
      <c r="F445" s="532"/>
      <c r="G445" s="532"/>
      <c r="H445" s="532"/>
      <c r="I445" s="532"/>
    </row>
    <row r="446" spans="1:9" ht="12.75">
      <c r="A446" s="532"/>
      <c r="B446" s="532"/>
      <c r="C446" s="532"/>
      <c r="D446" s="532"/>
      <c r="E446" s="532"/>
      <c r="F446" s="532"/>
      <c r="G446" s="532"/>
      <c r="H446" s="532"/>
      <c r="I446" s="532"/>
    </row>
    <row r="447" spans="1:9" ht="12.75">
      <c r="A447" s="532"/>
      <c r="B447" s="532"/>
      <c r="C447" s="532"/>
      <c r="D447" s="532"/>
      <c r="E447" s="532"/>
      <c r="F447" s="532"/>
      <c r="G447" s="532"/>
      <c r="H447" s="532"/>
      <c r="I447" s="532"/>
    </row>
    <row r="448" spans="1:9" ht="12.75">
      <c r="A448" s="532"/>
      <c r="B448" s="532"/>
      <c r="C448" s="532"/>
      <c r="D448" s="532"/>
      <c r="E448" s="532"/>
      <c r="F448" s="532"/>
      <c r="G448" s="532"/>
      <c r="H448" s="532"/>
      <c r="I448" s="532"/>
    </row>
    <row r="449" spans="1:9" ht="12.75">
      <c r="A449" s="532"/>
      <c r="B449" s="532"/>
      <c r="C449" s="532"/>
      <c r="D449" s="532"/>
      <c r="E449" s="532"/>
      <c r="F449" s="532"/>
      <c r="G449" s="532"/>
      <c r="H449" s="532"/>
      <c r="I449" s="532"/>
    </row>
    <row r="450" spans="1:9" ht="12.75">
      <c r="A450" s="532"/>
      <c r="B450" s="532"/>
      <c r="C450" s="532"/>
      <c r="D450" s="532"/>
      <c r="E450" s="532"/>
      <c r="F450" s="532"/>
      <c r="G450" s="532"/>
      <c r="H450" s="532"/>
      <c r="I450" s="532"/>
    </row>
    <row r="451" spans="1:9" ht="12.75">
      <c r="A451" s="532"/>
      <c r="B451" s="532"/>
      <c r="C451" s="532"/>
      <c r="D451" s="532"/>
      <c r="E451" s="532"/>
      <c r="F451" s="532"/>
      <c r="G451" s="532"/>
      <c r="H451" s="532"/>
      <c r="I451" s="532"/>
    </row>
    <row r="452" spans="1:9" ht="12.75">
      <c r="A452" s="532"/>
      <c r="B452" s="532"/>
      <c r="C452" s="532"/>
      <c r="D452" s="532"/>
      <c r="E452" s="532"/>
      <c r="F452" s="532"/>
      <c r="G452" s="532"/>
      <c r="H452" s="532"/>
      <c r="I452" s="532"/>
    </row>
    <row r="453" spans="1:9" ht="12.75">
      <c r="A453" s="532"/>
      <c r="B453" s="532"/>
      <c r="C453" s="532"/>
      <c r="D453" s="532"/>
      <c r="E453" s="532"/>
      <c r="F453" s="532"/>
      <c r="G453" s="532"/>
      <c r="H453" s="532"/>
      <c r="I453" s="532"/>
    </row>
    <row r="454" spans="1:9" ht="12.75">
      <c r="A454" s="532"/>
      <c r="B454" s="532"/>
      <c r="C454" s="532"/>
      <c r="D454" s="532"/>
      <c r="E454" s="532"/>
      <c r="F454" s="532"/>
      <c r="G454" s="532"/>
      <c r="H454" s="532"/>
      <c r="I454" s="532"/>
    </row>
    <row r="455" spans="1:9" ht="12.75">
      <c r="A455" s="532"/>
      <c r="B455" s="532"/>
      <c r="C455" s="532"/>
      <c r="D455" s="532"/>
      <c r="E455" s="532"/>
      <c r="F455" s="532"/>
      <c r="G455" s="532"/>
      <c r="H455" s="532"/>
      <c r="I455" s="532"/>
    </row>
    <row r="456" spans="1:9" ht="12.75">
      <c r="A456" s="532"/>
      <c r="B456" s="532"/>
      <c r="C456" s="532"/>
      <c r="D456" s="532"/>
      <c r="E456" s="532"/>
      <c r="F456" s="532"/>
      <c r="G456" s="532"/>
      <c r="H456" s="532"/>
      <c r="I456" s="532"/>
    </row>
    <row r="457" spans="1:9" ht="12.75">
      <c r="A457" s="532"/>
      <c r="B457" s="532"/>
      <c r="C457" s="532"/>
      <c r="D457" s="532"/>
      <c r="E457" s="532"/>
      <c r="F457" s="532"/>
      <c r="G457" s="532"/>
      <c r="H457" s="532"/>
      <c r="I457" s="532"/>
    </row>
    <row r="458" spans="1:9" ht="12.75">
      <c r="A458" s="532"/>
      <c r="B458" s="532"/>
      <c r="C458" s="532"/>
      <c r="D458" s="532"/>
      <c r="E458" s="532"/>
      <c r="F458" s="532"/>
      <c r="G458" s="532"/>
      <c r="H458" s="532"/>
      <c r="I458" s="532"/>
    </row>
    <row r="459" spans="1:9" ht="12.75">
      <c r="A459" s="532"/>
      <c r="B459" s="532"/>
      <c r="C459" s="532"/>
      <c r="D459" s="532"/>
      <c r="E459" s="532"/>
      <c r="F459" s="532"/>
      <c r="G459" s="532"/>
      <c r="H459" s="532"/>
      <c r="I459" s="532"/>
    </row>
    <row r="460" spans="1:9" ht="12.75">
      <c r="A460" s="532"/>
      <c r="B460" s="532"/>
      <c r="C460" s="532"/>
      <c r="D460" s="532"/>
      <c r="E460" s="532"/>
      <c r="F460" s="532"/>
      <c r="G460" s="532"/>
      <c r="H460" s="532"/>
      <c r="I460" s="532"/>
    </row>
    <row r="461" spans="1:9" ht="12.75">
      <c r="A461" s="532"/>
      <c r="B461" s="532"/>
      <c r="C461" s="532"/>
      <c r="D461" s="532"/>
      <c r="E461" s="532"/>
      <c r="F461" s="532"/>
      <c r="G461" s="532"/>
      <c r="H461" s="532"/>
      <c r="I461" s="532"/>
    </row>
    <row r="462" spans="1:9" ht="12.75">
      <c r="A462" s="532"/>
      <c r="B462" s="532"/>
      <c r="C462" s="532"/>
      <c r="D462" s="532"/>
      <c r="E462" s="532"/>
      <c r="F462" s="532"/>
      <c r="G462" s="532"/>
      <c r="H462" s="532"/>
      <c r="I462" s="532"/>
    </row>
    <row r="463" spans="1:9" ht="12.75">
      <c r="A463" s="532"/>
      <c r="B463" s="532"/>
      <c r="C463" s="532"/>
      <c r="D463" s="532"/>
      <c r="E463" s="532"/>
      <c r="F463" s="532"/>
      <c r="G463" s="532"/>
      <c r="H463" s="532"/>
      <c r="I463" s="532"/>
    </row>
    <row r="464" spans="1:9" ht="12.75">
      <c r="A464" s="532"/>
      <c r="B464" s="532"/>
      <c r="C464" s="532"/>
      <c r="D464" s="532"/>
      <c r="E464" s="532"/>
      <c r="F464" s="532"/>
      <c r="G464" s="532"/>
      <c r="H464" s="532"/>
      <c r="I464" s="532"/>
    </row>
    <row r="465" spans="1:9" ht="12.75">
      <c r="A465" s="532"/>
      <c r="B465" s="532"/>
      <c r="C465" s="532"/>
      <c r="D465" s="532"/>
      <c r="E465" s="532"/>
      <c r="F465" s="532"/>
      <c r="G465" s="532"/>
      <c r="H465" s="532"/>
      <c r="I465" s="532"/>
    </row>
    <row r="466" spans="1:9" ht="12.75">
      <c r="A466" s="532"/>
      <c r="B466" s="532"/>
      <c r="C466" s="532"/>
      <c r="D466" s="532"/>
      <c r="E466" s="532"/>
      <c r="F466" s="532"/>
      <c r="G466" s="532"/>
      <c r="H466" s="532"/>
      <c r="I466" s="532"/>
    </row>
    <row r="467" spans="1:9" ht="12.75">
      <c r="A467" s="532"/>
      <c r="B467" s="532"/>
      <c r="C467" s="532"/>
      <c r="D467" s="532"/>
      <c r="E467" s="532"/>
      <c r="F467" s="532"/>
      <c r="G467" s="532"/>
      <c r="H467" s="532"/>
      <c r="I467" s="532"/>
    </row>
    <row r="468" spans="1:9" ht="12.75">
      <c r="A468" s="532"/>
      <c r="B468" s="532"/>
      <c r="C468" s="532"/>
      <c r="D468" s="532"/>
      <c r="E468" s="532"/>
      <c r="F468" s="532"/>
      <c r="G468" s="532"/>
      <c r="H468" s="532"/>
      <c r="I468" s="532"/>
    </row>
    <row r="469" spans="1:9" ht="12.75">
      <c r="A469" s="532"/>
      <c r="B469" s="532"/>
      <c r="C469" s="532"/>
      <c r="D469" s="532"/>
      <c r="E469" s="532"/>
      <c r="F469" s="532"/>
      <c r="G469" s="532"/>
      <c r="H469" s="532"/>
      <c r="I469" s="532"/>
    </row>
    <row r="470" spans="1:9" ht="12.75">
      <c r="A470" s="532"/>
      <c r="B470" s="532"/>
      <c r="C470" s="532"/>
      <c r="D470" s="532"/>
      <c r="E470" s="532"/>
      <c r="F470" s="532"/>
      <c r="G470" s="532"/>
      <c r="H470" s="532"/>
      <c r="I470" s="532"/>
    </row>
    <row r="471" spans="1:9" ht="12.75">
      <c r="A471" s="532"/>
      <c r="B471" s="532"/>
      <c r="C471" s="532"/>
      <c r="D471" s="532"/>
      <c r="E471" s="532"/>
      <c r="F471" s="532"/>
      <c r="G471" s="532"/>
      <c r="H471" s="532"/>
      <c r="I471" s="532"/>
    </row>
    <row r="472" spans="1:9" ht="12.75">
      <c r="A472" s="532"/>
      <c r="B472" s="532"/>
      <c r="C472" s="532"/>
      <c r="D472" s="532"/>
      <c r="E472" s="532"/>
      <c r="F472" s="532"/>
      <c r="G472" s="532"/>
      <c r="H472" s="532"/>
      <c r="I472" s="532"/>
    </row>
    <row r="473" spans="1:9" ht="12.75">
      <c r="A473" s="532"/>
      <c r="B473" s="532"/>
      <c r="C473" s="532"/>
      <c r="D473" s="532"/>
      <c r="E473" s="532"/>
      <c r="F473" s="532"/>
      <c r="G473" s="532"/>
      <c r="H473" s="532"/>
      <c r="I473" s="532"/>
    </row>
    <row r="474" spans="1:9" ht="12.75">
      <c r="A474" s="532"/>
      <c r="B474" s="532"/>
      <c r="C474" s="532"/>
      <c r="D474" s="532"/>
      <c r="E474" s="532"/>
      <c r="F474" s="532"/>
      <c r="G474" s="532"/>
      <c r="H474" s="532"/>
      <c r="I474" s="532"/>
    </row>
    <row r="475" spans="1:9" ht="12.75">
      <c r="A475" s="532"/>
      <c r="B475" s="532"/>
      <c r="C475" s="532"/>
      <c r="D475" s="532"/>
      <c r="E475" s="532"/>
      <c r="F475" s="532"/>
      <c r="G475" s="532"/>
      <c r="H475" s="532"/>
      <c r="I475" s="532"/>
    </row>
    <row r="476" spans="1:9" ht="12.75">
      <c r="A476" s="532"/>
      <c r="B476" s="532"/>
      <c r="C476" s="532"/>
      <c r="D476" s="532"/>
      <c r="E476" s="532"/>
      <c r="F476" s="532"/>
      <c r="G476" s="532"/>
      <c r="H476" s="532"/>
      <c r="I476" s="532"/>
    </row>
    <row r="477" spans="1:9" ht="12.75">
      <c r="A477" s="532"/>
      <c r="B477" s="532"/>
      <c r="C477" s="532"/>
      <c r="D477" s="532"/>
      <c r="E477" s="532"/>
      <c r="F477" s="532"/>
      <c r="G477" s="532"/>
      <c r="H477" s="532"/>
      <c r="I477" s="532"/>
    </row>
    <row r="478" spans="1:9" ht="12.75">
      <c r="A478" s="532"/>
      <c r="B478" s="532"/>
      <c r="C478" s="532"/>
      <c r="D478" s="532"/>
      <c r="E478" s="532"/>
      <c r="F478" s="532"/>
      <c r="G478" s="532"/>
      <c r="H478" s="532"/>
      <c r="I478" s="532"/>
    </row>
    <row r="479" spans="1:9" ht="12.75">
      <c r="A479" s="532"/>
      <c r="B479" s="532"/>
      <c r="C479" s="532"/>
      <c r="D479" s="532"/>
      <c r="E479" s="532"/>
      <c r="F479" s="532"/>
      <c r="G479" s="532"/>
      <c r="H479" s="532"/>
      <c r="I479" s="532"/>
    </row>
    <row r="480" spans="1:9" ht="12.75">
      <c r="A480" s="532"/>
      <c r="B480" s="532"/>
      <c r="C480" s="532"/>
      <c r="D480" s="532"/>
      <c r="E480" s="532"/>
      <c r="F480" s="532"/>
      <c r="G480" s="532"/>
      <c r="H480" s="532"/>
      <c r="I480" s="532"/>
    </row>
    <row r="481" spans="1:9" ht="12.75">
      <c r="A481" s="532"/>
      <c r="B481" s="532"/>
      <c r="C481" s="532"/>
      <c r="D481" s="532"/>
      <c r="E481" s="532"/>
      <c r="F481" s="532"/>
      <c r="G481" s="532"/>
      <c r="H481" s="532"/>
      <c r="I481" s="532"/>
    </row>
    <row r="482" spans="1:9" ht="12.75">
      <c r="A482" s="532"/>
      <c r="B482" s="532"/>
      <c r="C482" s="532"/>
      <c r="D482" s="532"/>
      <c r="E482" s="532"/>
      <c r="F482" s="532"/>
      <c r="G482" s="532"/>
      <c r="H482" s="532"/>
      <c r="I482" s="532"/>
    </row>
    <row r="483" spans="1:9" ht="12.75">
      <c r="A483" s="532"/>
      <c r="B483" s="532"/>
      <c r="C483" s="532"/>
      <c r="D483" s="532"/>
      <c r="E483" s="532"/>
      <c r="F483" s="532"/>
      <c r="G483" s="532"/>
      <c r="H483" s="532"/>
      <c r="I483" s="532"/>
    </row>
    <row r="484" spans="1:9" ht="12.75">
      <c r="A484" s="532"/>
      <c r="B484" s="532"/>
      <c r="C484" s="532"/>
      <c r="D484" s="532"/>
      <c r="E484" s="532"/>
      <c r="F484" s="532"/>
      <c r="G484" s="532"/>
      <c r="H484" s="532"/>
      <c r="I484" s="532"/>
    </row>
    <row r="485" spans="1:9" ht="12.75">
      <c r="A485" s="532"/>
      <c r="B485" s="532"/>
      <c r="C485" s="532"/>
      <c r="D485" s="532"/>
      <c r="E485" s="532"/>
      <c r="F485" s="532"/>
      <c r="G485" s="532"/>
      <c r="H485" s="532"/>
      <c r="I485" s="532"/>
    </row>
    <row r="486" spans="1:9" ht="12.75">
      <c r="A486" s="532"/>
      <c r="B486" s="532"/>
      <c r="C486" s="532"/>
      <c r="D486" s="532"/>
      <c r="E486" s="532"/>
      <c r="F486" s="532"/>
      <c r="G486" s="532"/>
      <c r="H486" s="532"/>
      <c r="I486" s="532"/>
    </row>
    <row r="487" spans="1:9" ht="12.75">
      <c r="A487" s="532"/>
      <c r="B487" s="532"/>
      <c r="C487" s="532"/>
      <c r="D487" s="532"/>
      <c r="E487" s="532"/>
      <c r="F487" s="532"/>
      <c r="G487" s="532"/>
      <c r="H487" s="532"/>
      <c r="I487" s="532"/>
    </row>
    <row r="488" spans="1:9" ht="12.75">
      <c r="A488" s="532"/>
      <c r="B488" s="532"/>
      <c r="C488" s="532"/>
      <c r="D488" s="532"/>
      <c r="E488" s="532"/>
      <c r="F488" s="532"/>
      <c r="G488" s="532"/>
      <c r="H488" s="532"/>
      <c r="I488" s="532"/>
    </row>
    <row r="489" spans="1:9" ht="12.75">
      <c r="A489" s="532"/>
      <c r="B489" s="532"/>
      <c r="C489" s="532"/>
      <c r="D489" s="532"/>
      <c r="E489" s="532"/>
      <c r="F489" s="532"/>
      <c r="G489" s="532"/>
      <c r="H489" s="532"/>
      <c r="I489" s="532"/>
    </row>
    <row r="490" spans="1:9" ht="12.75">
      <c r="A490" s="532"/>
      <c r="B490" s="532"/>
      <c r="C490" s="532"/>
      <c r="D490" s="532"/>
      <c r="E490" s="532"/>
      <c r="F490" s="532"/>
      <c r="G490" s="532"/>
      <c r="H490" s="532"/>
      <c r="I490" s="532"/>
    </row>
    <row r="491" spans="1:9" ht="12.75">
      <c r="A491" s="532"/>
      <c r="B491" s="532"/>
      <c r="C491" s="532"/>
      <c r="D491" s="532"/>
      <c r="E491" s="532"/>
      <c r="F491" s="532"/>
      <c r="G491" s="532"/>
      <c r="H491" s="532"/>
      <c r="I491" s="532"/>
    </row>
    <row r="492" spans="1:9" ht="12.75">
      <c r="A492" s="532"/>
      <c r="B492" s="532"/>
      <c r="C492" s="532"/>
      <c r="D492" s="532"/>
      <c r="E492" s="532"/>
      <c r="F492" s="532"/>
      <c r="G492" s="532"/>
      <c r="H492" s="532"/>
      <c r="I492" s="532"/>
    </row>
    <row r="493" spans="1:9" ht="12.75">
      <c r="A493" s="532"/>
      <c r="B493" s="532"/>
      <c r="C493" s="532"/>
      <c r="D493" s="532"/>
      <c r="E493" s="532"/>
      <c r="F493" s="532"/>
      <c r="G493" s="532"/>
      <c r="H493" s="532"/>
      <c r="I493" s="532"/>
    </row>
    <row r="494" spans="1:9" ht="12.75">
      <c r="A494" s="532"/>
      <c r="B494" s="532"/>
      <c r="C494" s="532"/>
      <c r="D494" s="532"/>
      <c r="E494" s="532"/>
      <c r="F494" s="532"/>
      <c r="G494" s="532"/>
      <c r="H494" s="532"/>
      <c r="I494" s="532"/>
    </row>
    <row r="495" spans="1:9" ht="12.75">
      <c r="A495" s="532"/>
      <c r="B495" s="532"/>
      <c r="C495" s="532"/>
      <c r="D495" s="532"/>
      <c r="E495" s="532"/>
      <c r="F495" s="532"/>
      <c r="G495" s="532"/>
      <c r="H495" s="532"/>
      <c r="I495" s="532"/>
    </row>
    <row r="496" spans="1:9" ht="12.75">
      <c r="A496" s="532"/>
      <c r="B496" s="532"/>
      <c r="C496" s="532"/>
      <c r="D496" s="532"/>
      <c r="E496" s="532"/>
      <c r="F496" s="532"/>
      <c r="G496" s="532"/>
      <c r="H496" s="532"/>
      <c r="I496" s="532"/>
    </row>
    <row r="497" spans="1:9" ht="12.75">
      <c r="A497" s="532"/>
      <c r="B497" s="532"/>
      <c r="C497" s="532"/>
      <c r="D497" s="532"/>
      <c r="E497" s="532"/>
      <c r="F497" s="532"/>
      <c r="G497" s="532"/>
      <c r="H497" s="532"/>
      <c r="I497" s="532"/>
    </row>
    <row r="498" spans="1:9" ht="12.75">
      <c r="A498" s="532"/>
      <c r="B498" s="532"/>
      <c r="C498" s="532"/>
      <c r="D498" s="532"/>
      <c r="E498" s="532"/>
      <c r="F498" s="532"/>
      <c r="G498" s="532"/>
      <c r="H498" s="532"/>
      <c r="I498" s="532"/>
    </row>
    <row r="499" spans="1:9" ht="12.75">
      <c r="A499" s="532"/>
      <c r="B499" s="532"/>
      <c r="C499" s="532"/>
      <c r="D499" s="532"/>
      <c r="E499" s="532"/>
      <c r="F499" s="532"/>
      <c r="G499" s="532"/>
      <c r="H499" s="532"/>
      <c r="I499" s="532"/>
    </row>
    <row r="500" spans="1:9" ht="12.75">
      <c r="A500" s="532"/>
      <c r="B500" s="532"/>
      <c r="C500" s="532"/>
      <c r="D500" s="532"/>
      <c r="E500" s="532"/>
      <c r="F500" s="532"/>
      <c r="G500" s="532"/>
      <c r="H500" s="532"/>
      <c r="I500" s="532"/>
    </row>
    <row r="501" spans="1:9" ht="12.75">
      <c r="A501" s="532"/>
      <c r="B501" s="532"/>
      <c r="C501" s="532"/>
      <c r="D501" s="532"/>
      <c r="E501" s="532"/>
      <c r="F501" s="532"/>
      <c r="G501" s="532"/>
      <c r="H501" s="532"/>
      <c r="I501" s="532"/>
    </row>
    <row r="502" spans="1:9" ht="12.75">
      <c r="A502" s="532"/>
      <c r="B502" s="532"/>
      <c r="C502" s="532"/>
      <c r="D502" s="532"/>
      <c r="E502" s="532"/>
      <c r="F502" s="532"/>
      <c r="G502" s="532"/>
      <c r="H502" s="532"/>
      <c r="I502" s="532"/>
    </row>
    <row r="503" spans="1:9" ht="12.75">
      <c r="A503" s="532"/>
      <c r="B503" s="532"/>
      <c r="C503" s="532"/>
      <c r="D503" s="532"/>
      <c r="E503" s="532"/>
      <c r="F503" s="532"/>
      <c r="G503" s="532"/>
      <c r="H503" s="532"/>
      <c r="I503" s="532"/>
    </row>
    <row r="504" spans="1:9" ht="12.75">
      <c r="A504" s="532"/>
      <c r="B504" s="532"/>
      <c r="C504" s="532"/>
      <c r="D504" s="532"/>
      <c r="E504" s="532"/>
      <c r="F504" s="532"/>
      <c r="G504" s="532"/>
      <c r="H504" s="532"/>
      <c r="I504" s="532"/>
    </row>
    <row r="505" spans="1:9" ht="12.75">
      <c r="A505" s="532"/>
      <c r="B505" s="532"/>
      <c r="C505" s="532"/>
      <c r="D505" s="532"/>
      <c r="E505" s="532"/>
      <c r="F505" s="532"/>
      <c r="G505" s="532"/>
      <c r="H505" s="532"/>
      <c r="I505" s="532"/>
    </row>
    <row r="506" spans="1:9" ht="12.75">
      <c r="A506" s="532"/>
      <c r="B506" s="532"/>
      <c r="C506" s="532"/>
      <c r="D506" s="532"/>
      <c r="E506" s="532"/>
      <c r="F506" s="532"/>
      <c r="G506" s="532"/>
      <c r="H506" s="532"/>
      <c r="I506" s="532"/>
    </row>
    <row r="507" spans="1:9" ht="12.75">
      <c r="A507" s="532"/>
      <c r="B507" s="532"/>
      <c r="C507" s="532"/>
      <c r="D507" s="532"/>
      <c r="E507" s="532"/>
      <c r="F507" s="532"/>
      <c r="G507" s="532"/>
      <c r="H507" s="532"/>
      <c r="I507" s="532"/>
    </row>
    <row r="508" spans="1:9" ht="12.75">
      <c r="A508" s="532"/>
      <c r="B508" s="532"/>
      <c r="C508" s="532"/>
      <c r="D508" s="532"/>
      <c r="E508" s="532"/>
      <c r="F508" s="532"/>
      <c r="G508" s="532"/>
      <c r="H508" s="532"/>
      <c r="I508" s="532"/>
    </row>
    <row r="509" spans="1:9" ht="12.75">
      <c r="A509" s="532"/>
      <c r="B509" s="532"/>
      <c r="C509" s="532"/>
      <c r="D509" s="532"/>
      <c r="E509" s="532"/>
      <c r="F509" s="532"/>
      <c r="G509" s="532"/>
      <c r="H509" s="532"/>
      <c r="I509" s="532"/>
    </row>
    <row r="510" spans="1:9" ht="12.75">
      <c r="A510" s="532"/>
      <c r="B510" s="532"/>
      <c r="C510" s="532"/>
      <c r="D510" s="532"/>
      <c r="E510" s="532"/>
      <c r="F510" s="532"/>
      <c r="G510" s="532"/>
      <c r="H510" s="532"/>
      <c r="I510" s="532"/>
    </row>
    <row r="511" spans="1:9" ht="12.75">
      <c r="A511" s="532"/>
      <c r="B511" s="532"/>
      <c r="C511" s="532"/>
      <c r="D511" s="532"/>
      <c r="E511" s="532"/>
      <c r="F511" s="532"/>
      <c r="G511" s="532"/>
      <c r="H511" s="532"/>
      <c r="I511" s="532"/>
    </row>
    <row r="512" spans="1:9" ht="12.75">
      <c r="A512" s="532"/>
      <c r="B512" s="532"/>
      <c r="C512" s="532"/>
      <c r="D512" s="532"/>
      <c r="E512" s="532"/>
      <c r="F512" s="532"/>
      <c r="G512" s="532"/>
      <c r="H512" s="532"/>
      <c r="I512" s="532"/>
    </row>
    <row r="513" spans="1:9" ht="12.75">
      <c r="A513" s="532"/>
      <c r="B513" s="532"/>
      <c r="C513" s="532"/>
      <c r="D513" s="532"/>
      <c r="E513" s="532"/>
      <c r="F513" s="532"/>
      <c r="G513" s="532"/>
      <c r="H513" s="532"/>
      <c r="I513" s="532"/>
    </row>
    <row r="514" spans="1:9" ht="12.75">
      <c r="A514" s="532"/>
      <c r="B514" s="532"/>
      <c r="C514" s="532"/>
      <c r="D514" s="532"/>
      <c r="E514" s="532"/>
      <c r="F514" s="532"/>
      <c r="G514" s="532"/>
      <c r="H514" s="532"/>
      <c r="I514" s="532"/>
    </row>
    <row r="515" spans="1:9" ht="12.75">
      <c r="A515" s="532"/>
      <c r="B515" s="532"/>
      <c r="C515" s="532"/>
      <c r="D515" s="532"/>
      <c r="E515" s="532"/>
      <c r="F515" s="532"/>
      <c r="G515" s="532"/>
      <c r="H515" s="532"/>
      <c r="I515" s="532"/>
    </row>
    <row r="516" spans="1:9" ht="12.75">
      <c r="A516" s="532"/>
      <c r="B516" s="532"/>
      <c r="C516" s="532"/>
      <c r="D516" s="532"/>
      <c r="E516" s="532"/>
      <c r="F516" s="532"/>
      <c r="G516" s="532"/>
      <c r="H516" s="532"/>
      <c r="I516" s="532"/>
    </row>
    <row r="517" spans="1:9" ht="12.75">
      <c r="A517" s="532"/>
      <c r="B517" s="532"/>
      <c r="C517" s="532"/>
      <c r="D517" s="532"/>
      <c r="E517" s="532"/>
      <c r="F517" s="532"/>
      <c r="G517" s="532"/>
      <c r="H517" s="532"/>
      <c r="I517" s="532"/>
    </row>
    <row r="518" spans="1:9" ht="12.75">
      <c r="A518" s="532"/>
      <c r="B518" s="532"/>
      <c r="C518" s="532"/>
      <c r="D518" s="532"/>
      <c r="E518" s="532"/>
      <c r="F518" s="532"/>
      <c r="G518" s="532"/>
      <c r="H518" s="532"/>
      <c r="I518" s="532"/>
    </row>
    <row r="519" spans="1:9" ht="12.75">
      <c r="A519" s="532"/>
      <c r="B519" s="532"/>
      <c r="C519" s="532"/>
      <c r="D519" s="532"/>
      <c r="E519" s="532"/>
      <c r="F519" s="532"/>
      <c r="G519" s="532"/>
      <c r="H519" s="532"/>
      <c r="I519" s="532"/>
    </row>
    <row r="520" spans="1:9" ht="12.75">
      <c r="A520" s="532"/>
      <c r="B520" s="532"/>
      <c r="C520" s="532"/>
      <c r="D520" s="532"/>
      <c r="E520" s="532"/>
      <c r="F520" s="532"/>
      <c r="G520" s="532"/>
      <c r="H520" s="532"/>
      <c r="I520" s="532"/>
    </row>
    <row r="521" spans="1:9" ht="12.75">
      <c r="A521" s="532"/>
      <c r="B521" s="532"/>
      <c r="C521" s="532"/>
      <c r="D521" s="532"/>
      <c r="E521" s="532"/>
      <c r="F521" s="532"/>
      <c r="G521" s="532"/>
      <c r="H521" s="532"/>
      <c r="I521" s="532"/>
    </row>
    <row r="522" spans="1:9" ht="12.75">
      <c r="A522" s="532"/>
      <c r="B522" s="532"/>
      <c r="C522" s="532"/>
      <c r="D522" s="532"/>
      <c r="E522" s="532"/>
      <c r="F522" s="532"/>
      <c r="G522" s="532"/>
      <c r="H522" s="532"/>
      <c r="I522" s="532"/>
    </row>
    <row r="523" spans="1:9" ht="12.75">
      <c r="A523" s="532"/>
      <c r="B523" s="532"/>
      <c r="C523" s="532"/>
      <c r="D523" s="532"/>
      <c r="E523" s="532"/>
      <c r="F523" s="532"/>
      <c r="G523" s="532"/>
      <c r="H523" s="532"/>
      <c r="I523" s="532"/>
    </row>
    <row r="524" spans="1:9" ht="12.75">
      <c r="A524" s="532"/>
      <c r="B524" s="532"/>
      <c r="C524" s="532"/>
      <c r="D524" s="532"/>
      <c r="E524" s="532"/>
      <c r="F524" s="532"/>
      <c r="G524" s="532"/>
      <c r="H524" s="532"/>
      <c r="I524" s="532"/>
    </row>
    <row r="525" spans="1:9" ht="12.75">
      <c r="A525" s="532"/>
      <c r="B525" s="532"/>
      <c r="C525" s="532"/>
      <c r="D525" s="532"/>
      <c r="E525" s="532"/>
      <c r="F525" s="532"/>
      <c r="G525" s="532"/>
      <c r="H525" s="532"/>
      <c r="I525" s="532"/>
    </row>
    <row r="526" spans="1:9" ht="12.75">
      <c r="A526" s="532"/>
      <c r="B526" s="532"/>
      <c r="C526" s="532"/>
      <c r="D526" s="532"/>
      <c r="E526" s="532"/>
      <c r="F526" s="532"/>
      <c r="G526" s="532"/>
      <c r="H526" s="532"/>
      <c r="I526" s="532"/>
    </row>
    <row r="527" spans="1:9" ht="12.75">
      <c r="A527" s="532"/>
      <c r="B527" s="532"/>
      <c r="C527" s="532"/>
      <c r="D527" s="532"/>
      <c r="E527" s="532"/>
      <c r="F527" s="532"/>
      <c r="G527" s="532"/>
      <c r="H527" s="532"/>
      <c r="I527" s="532"/>
    </row>
    <row r="528" spans="1:9" ht="12.75">
      <c r="A528" s="532"/>
      <c r="B528" s="532"/>
      <c r="C528" s="532"/>
      <c r="D528" s="532"/>
      <c r="E528" s="532"/>
      <c r="F528" s="532"/>
      <c r="G528" s="532"/>
      <c r="H528" s="532"/>
      <c r="I528" s="532"/>
    </row>
    <row r="529" spans="1:9" ht="12.75">
      <c r="A529" s="532"/>
      <c r="B529" s="532"/>
      <c r="C529" s="532"/>
      <c r="D529" s="532"/>
      <c r="E529" s="532"/>
      <c r="F529" s="532"/>
      <c r="G529" s="532"/>
      <c r="H529" s="532"/>
      <c r="I529" s="532"/>
    </row>
    <row r="530" spans="1:9" ht="12.75">
      <c r="A530" s="532"/>
      <c r="B530" s="532"/>
      <c r="C530" s="532"/>
      <c r="D530" s="532"/>
      <c r="E530" s="532"/>
      <c r="F530" s="532"/>
      <c r="G530" s="532"/>
      <c r="H530" s="532"/>
      <c r="I530" s="532"/>
    </row>
    <row r="531" spans="1:9" ht="12.75">
      <c r="A531" s="532"/>
      <c r="B531" s="532"/>
      <c r="C531" s="532"/>
      <c r="D531" s="532"/>
      <c r="E531" s="532"/>
      <c r="F531" s="532"/>
      <c r="G531" s="532"/>
      <c r="H531" s="532"/>
      <c r="I531" s="532"/>
    </row>
    <row r="532" spans="1:9" ht="12.75">
      <c r="A532" s="532"/>
      <c r="B532" s="532"/>
      <c r="C532" s="532"/>
      <c r="D532" s="532"/>
      <c r="E532" s="532"/>
      <c r="F532" s="532"/>
      <c r="G532" s="532"/>
      <c r="H532" s="532"/>
      <c r="I532" s="532"/>
    </row>
    <row r="533" spans="1:9" ht="12.75">
      <c r="A533" s="532"/>
      <c r="B533" s="532"/>
      <c r="C533" s="532"/>
      <c r="D533" s="532"/>
      <c r="E533" s="532"/>
      <c r="F533" s="532"/>
      <c r="G533" s="532"/>
      <c r="H533" s="532"/>
      <c r="I533" s="532"/>
    </row>
    <row r="534" spans="1:9" ht="12.75">
      <c r="A534" s="532"/>
      <c r="B534" s="532"/>
      <c r="C534" s="532"/>
      <c r="D534" s="532"/>
      <c r="E534" s="532"/>
      <c r="F534" s="532"/>
      <c r="G534" s="532"/>
      <c r="H534" s="532"/>
      <c r="I534" s="532"/>
    </row>
    <row r="535" spans="1:9" ht="12.75">
      <c r="A535" s="532"/>
      <c r="B535" s="532"/>
      <c r="C535" s="532"/>
      <c r="D535" s="532"/>
      <c r="E535" s="532"/>
      <c r="F535" s="532"/>
      <c r="G535" s="532"/>
      <c r="H535" s="532"/>
      <c r="I535" s="532"/>
    </row>
    <row r="536" spans="1:9" ht="12.75">
      <c r="A536" s="532"/>
      <c r="B536" s="532"/>
      <c r="C536" s="532"/>
      <c r="D536" s="532"/>
      <c r="E536" s="532"/>
      <c r="F536" s="532"/>
      <c r="G536" s="532"/>
      <c r="H536" s="532"/>
      <c r="I536" s="532"/>
    </row>
    <row r="537" spans="1:9" ht="12.75">
      <c r="A537" s="532"/>
      <c r="B537" s="532"/>
      <c r="C537" s="532"/>
      <c r="D537" s="532"/>
      <c r="E537" s="532"/>
      <c r="F537" s="532"/>
      <c r="G537" s="532"/>
      <c r="H537" s="532"/>
      <c r="I537" s="532"/>
    </row>
    <row r="538" spans="1:9" ht="12.75">
      <c r="A538" s="532"/>
      <c r="B538" s="532"/>
      <c r="C538" s="532"/>
      <c r="D538" s="532"/>
      <c r="E538" s="532"/>
      <c r="F538" s="532"/>
      <c r="G538" s="532"/>
      <c r="H538" s="532"/>
      <c r="I538" s="532"/>
    </row>
    <row r="539" spans="1:9" ht="12.75">
      <c r="A539" s="532"/>
      <c r="B539" s="532"/>
      <c r="C539" s="532"/>
      <c r="D539" s="532"/>
      <c r="E539" s="532"/>
      <c r="F539" s="532"/>
      <c r="G539" s="532"/>
      <c r="H539" s="532"/>
      <c r="I539" s="532"/>
    </row>
    <row r="540" spans="1:9" ht="12.75">
      <c r="A540" s="532"/>
      <c r="B540" s="532"/>
      <c r="C540" s="532"/>
      <c r="D540" s="532"/>
      <c r="E540" s="532"/>
      <c r="F540" s="532"/>
      <c r="G540" s="532"/>
      <c r="H540" s="532"/>
      <c r="I540" s="532"/>
    </row>
    <row r="541" spans="1:9" ht="12.75">
      <c r="A541" s="532"/>
      <c r="B541" s="532"/>
      <c r="C541" s="532"/>
      <c r="D541" s="532"/>
      <c r="E541" s="532"/>
      <c r="F541" s="532"/>
      <c r="G541" s="532"/>
      <c r="H541" s="532"/>
      <c r="I541" s="532"/>
    </row>
    <row r="542" spans="1:9" ht="12.75">
      <c r="A542" s="532"/>
      <c r="B542" s="532"/>
      <c r="C542" s="532"/>
      <c r="D542" s="532"/>
      <c r="E542" s="532"/>
      <c r="F542" s="532"/>
      <c r="G542" s="532"/>
      <c r="H542" s="532"/>
      <c r="I542" s="532"/>
    </row>
    <row r="543" spans="1:9" ht="12.75">
      <c r="A543" s="532"/>
      <c r="B543" s="532"/>
      <c r="C543" s="532"/>
      <c r="D543" s="532"/>
      <c r="E543" s="532"/>
      <c r="F543" s="532"/>
      <c r="G543" s="532"/>
      <c r="H543" s="532"/>
      <c r="I543" s="532"/>
    </row>
    <row r="544" spans="1:9" ht="12.75">
      <c r="A544" s="532"/>
      <c r="B544" s="532"/>
      <c r="C544" s="532"/>
      <c r="D544" s="532"/>
      <c r="E544" s="532"/>
      <c r="F544" s="532"/>
      <c r="G544" s="532"/>
      <c r="H544" s="532"/>
      <c r="I544" s="532"/>
    </row>
    <row r="545" spans="1:9" ht="12.75">
      <c r="A545" s="532"/>
      <c r="B545" s="532"/>
      <c r="C545" s="532"/>
      <c r="D545" s="532"/>
      <c r="E545" s="532"/>
      <c r="F545" s="532"/>
      <c r="G545" s="532"/>
      <c r="H545" s="532"/>
      <c r="I545" s="532"/>
    </row>
    <row r="546" spans="1:9" ht="12.75">
      <c r="A546" s="532"/>
      <c r="B546" s="532"/>
      <c r="C546" s="532"/>
      <c r="D546" s="532"/>
      <c r="E546" s="532"/>
      <c r="F546" s="532"/>
      <c r="G546" s="532"/>
      <c r="H546" s="532"/>
      <c r="I546" s="532"/>
    </row>
    <row r="547" spans="1:9" ht="12.75">
      <c r="A547" s="532"/>
      <c r="B547" s="532"/>
      <c r="C547" s="532"/>
      <c r="D547" s="532"/>
      <c r="E547" s="532"/>
      <c r="F547" s="532"/>
      <c r="G547" s="532"/>
      <c r="H547" s="532"/>
      <c r="I547" s="532"/>
    </row>
    <row r="548" spans="1:9" ht="12.75">
      <c r="A548" s="532"/>
      <c r="B548" s="532"/>
      <c r="C548" s="532"/>
      <c r="D548" s="532"/>
      <c r="E548" s="532"/>
      <c r="F548" s="532"/>
      <c r="G548" s="532"/>
      <c r="H548" s="532"/>
      <c r="I548" s="532"/>
    </row>
    <row r="549" spans="1:9" ht="12.75">
      <c r="A549" s="532"/>
      <c r="B549" s="532"/>
      <c r="C549" s="532"/>
      <c r="D549" s="532"/>
      <c r="E549" s="532"/>
      <c r="F549" s="532"/>
      <c r="G549" s="532"/>
      <c r="H549" s="532"/>
      <c r="I549" s="532"/>
    </row>
    <row r="550" spans="1:9" ht="12.75">
      <c r="A550" s="532"/>
      <c r="B550" s="532"/>
      <c r="C550" s="532"/>
      <c r="D550" s="532"/>
      <c r="E550" s="532"/>
      <c r="F550" s="532"/>
      <c r="G550" s="532"/>
      <c r="H550" s="532"/>
      <c r="I550" s="532"/>
    </row>
    <row r="551" spans="1:9" ht="12.75">
      <c r="A551" s="532"/>
      <c r="B551" s="532"/>
      <c r="C551" s="532"/>
      <c r="D551" s="532"/>
      <c r="E551" s="532"/>
      <c r="F551" s="532"/>
      <c r="G551" s="532"/>
      <c r="H551" s="532"/>
      <c r="I551" s="532"/>
    </row>
    <row r="552" spans="1:9" ht="12.75">
      <c r="A552" s="532"/>
      <c r="B552" s="532"/>
      <c r="C552" s="532"/>
      <c r="D552" s="532"/>
      <c r="E552" s="532"/>
      <c r="F552" s="532"/>
      <c r="G552" s="532"/>
      <c r="H552" s="532"/>
      <c r="I552" s="532"/>
    </row>
    <row r="553" spans="1:9" ht="12.75">
      <c r="A553" s="532"/>
      <c r="B553" s="532"/>
      <c r="C553" s="532"/>
      <c r="D553" s="532"/>
      <c r="E553" s="532"/>
      <c r="F553" s="532"/>
      <c r="G553" s="532"/>
      <c r="H553" s="532"/>
      <c r="I553" s="532"/>
    </row>
    <row r="554" spans="1:9" ht="12.75">
      <c r="A554" s="532"/>
      <c r="B554" s="532"/>
      <c r="C554" s="532"/>
      <c r="D554" s="532"/>
      <c r="E554" s="532"/>
      <c r="F554" s="532"/>
      <c r="G554" s="532"/>
      <c r="H554" s="532"/>
      <c r="I554" s="532"/>
    </row>
    <row r="555" spans="1:9" ht="12.75">
      <c r="A555" s="532"/>
      <c r="B555" s="532"/>
      <c r="C555" s="532"/>
      <c r="D555" s="532"/>
      <c r="E555" s="532"/>
      <c r="F555" s="532"/>
      <c r="G555" s="532"/>
      <c r="H555" s="532"/>
      <c r="I555" s="532"/>
    </row>
    <row r="556" spans="1:9" ht="12.75">
      <c r="A556" s="532"/>
      <c r="B556" s="532"/>
      <c r="C556" s="532"/>
      <c r="D556" s="532"/>
      <c r="E556" s="532"/>
      <c r="F556" s="532"/>
      <c r="G556" s="532"/>
      <c r="H556" s="532"/>
      <c r="I556" s="532"/>
    </row>
    <row r="557" spans="1:9" ht="12.75">
      <c r="A557" s="532"/>
      <c r="B557" s="532"/>
      <c r="C557" s="532"/>
      <c r="D557" s="532"/>
      <c r="E557" s="532"/>
      <c r="F557" s="532"/>
      <c r="G557" s="532"/>
      <c r="H557" s="532"/>
      <c r="I557" s="532"/>
    </row>
    <row r="558" spans="1:9" ht="12.75">
      <c r="A558" s="532"/>
      <c r="B558" s="532"/>
      <c r="C558" s="532"/>
      <c r="D558" s="532"/>
      <c r="E558" s="532"/>
      <c r="F558" s="532"/>
      <c r="G558" s="532"/>
      <c r="H558" s="532"/>
      <c r="I558" s="532"/>
    </row>
    <row r="559" spans="1:9" ht="12.75">
      <c r="A559" s="532"/>
      <c r="B559" s="532"/>
      <c r="C559" s="532"/>
      <c r="D559" s="532"/>
      <c r="E559" s="532"/>
      <c r="F559" s="532"/>
      <c r="G559" s="532"/>
      <c r="H559" s="532"/>
      <c r="I559" s="532"/>
    </row>
    <row r="560" spans="1:9" ht="12.75">
      <c r="A560" s="532"/>
      <c r="B560" s="532"/>
      <c r="C560" s="532"/>
      <c r="D560" s="532"/>
      <c r="E560" s="532"/>
      <c r="F560" s="532"/>
      <c r="G560" s="532"/>
      <c r="H560" s="532"/>
      <c r="I560" s="532"/>
    </row>
    <row r="561" spans="1:9" ht="12.75">
      <c r="A561" s="532"/>
      <c r="B561" s="532"/>
      <c r="C561" s="532"/>
      <c r="D561" s="532"/>
      <c r="E561" s="532"/>
      <c r="F561" s="532"/>
      <c r="G561" s="532"/>
      <c r="H561" s="532"/>
      <c r="I561" s="532"/>
    </row>
    <row r="562" spans="1:9" ht="12.75">
      <c r="A562" s="532"/>
      <c r="B562" s="532"/>
      <c r="C562" s="532"/>
      <c r="D562" s="532"/>
      <c r="E562" s="532"/>
      <c r="F562" s="532"/>
      <c r="G562" s="532"/>
      <c r="H562" s="532"/>
      <c r="I562" s="532"/>
    </row>
    <row r="563" spans="1:9" ht="12.75">
      <c r="A563" s="532"/>
      <c r="B563" s="532"/>
      <c r="C563" s="532"/>
      <c r="D563" s="532"/>
      <c r="E563" s="532"/>
      <c r="F563" s="532"/>
      <c r="G563" s="532"/>
      <c r="H563" s="532"/>
      <c r="I563" s="532"/>
    </row>
    <row r="564" spans="1:9" ht="12.75">
      <c r="A564" s="532"/>
      <c r="B564" s="532"/>
      <c r="C564" s="532"/>
      <c r="D564" s="532"/>
      <c r="E564" s="532"/>
      <c r="F564" s="532"/>
      <c r="G564" s="532"/>
      <c r="H564" s="532"/>
      <c r="I564" s="532"/>
    </row>
    <row r="565" spans="1:9" ht="12.75">
      <c r="A565" s="532"/>
      <c r="B565" s="532"/>
      <c r="C565" s="532"/>
      <c r="D565" s="532"/>
      <c r="E565" s="532"/>
      <c r="F565" s="532"/>
      <c r="G565" s="532"/>
      <c r="H565" s="532"/>
      <c r="I565" s="532"/>
    </row>
    <row r="566" spans="1:9" ht="12.75">
      <c r="A566" s="532"/>
      <c r="B566" s="532"/>
      <c r="C566" s="532"/>
      <c r="D566" s="532"/>
      <c r="E566" s="532"/>
      <c r="F566" s="532"/>
      <c r="G566" s="532"/>
      <c r="H566" s="532"/>
      <c r="I566" s="532"/>
    </row>
    <row r="567" spans="1:9" ht="12.75">
      <c r="A567" s="532"/>
      <c r="B567" s="532"/>
      <c r="C567" s="532"/>
      <c r="D567" s="532"/>
      <c r="E567" s="532"/>
      <c r="F567" s="532"/>
      <c r="G567" s="532"/>
      <c r="H567" s="532"/>
      <c r="I567" s="532"/>
    </row>
    <row r="568" spans="1:9" ht="12.75">
      <c r="A568" s="532"/>
      <c r="B568" s="532"/>
      <c r="C568" s="532"/>
      <c r="D568" s="532"/>
      <c r="E568" s="532"/>
      <c r="F568" s="532"/>
      <c r="G568" s="532"/>
      <c r="H568" s="532"/>
      <c r="I568" s="532"/>
    </row>
    <row r="569" spans="1:9" ht="12.75">
      <c r="A569" s="532"/>
      <c r="B569" s="532"/>
      <c r="C569" s="532"/>
      <c r="D569" s="532"/>
      <c r="E569" s="532"/>
      <c r="F569" s="532"/>
      <c r="G569" s="532"/>
      <c r="H569" s="532"/>
      <c r="I569" s="532"/>
    </row>
    <row r="570" spans="1:9" ht="12.75">
      <c r="A570" s="532"/>
      <c r="B570" s="532"/>
      <c r="C570" s="532"/>
      <c r="D570" s="532"/>
      <c r="E570" s="532"/>
      <c r="F570" s="532"/>
      <c r="G570" s="532"/>
      <c r="H570" s="532"/>
      <c r="I570" s="532"/>
    </row>
    <row r="571" spans="1:9" ht="12.75">
      <c r="A571" s="532"/>
      <c r="B571" s="532"/>
      <c r="C571" s="532"/>
      <c r="D571" s="532"/>
      <c r="E571" s="532"/>
      <c r="F571" s="532"/>
      <c r="G571" s="532"/>
      <c r="H571" s="532"/>
      <c r="I571" s="532"/>
    </row>
    <row r="572" spans="1:9" ht="12.75">
      <c r="A572" s="532"/>
      <c r="B572" s="532"/>
      <c r="C572" s="532"/>
      <c r="D572" s="532"/>
      <c r="E572" s="532"/>
      <c r="F572" s="532"/>
      <c r="G572" s="532"/>
      <c r="H572" s="532"/>
      <c r="I572" s="532"/>
    </row>
    <row r="573" spans="1:9" ht="12.75">
      <c r="A573" s="532"/>
      <c r="B573" s="532"/>
      <c r="C573" s="532"/>
      <c r="D573" s="532"/>
      <c r="E573" s="532"/>
      <c r="F573" s="532"/>
      <c r="G573" s="532"/>
      <c r="H573" s="532"/>
      <c r="I573" s="532"/>
    </row>
    <row r="574" spans="1:9" ht="12.75">
      <c r="A574" s="532"/>
      <c r="B574" s="532"/>
      <c r="C574" s="532"/>
      <c r="D574" s="532"/>
      <c r="E574" s="532"/>
      <c r="F574" s="532"/>
      <c r="G574" s="532"/>
      <c r="H574" s="532"/>
      <c r="I574" s="532"/>
    </row>
    <row r="575" spans="1:9" ht="12.75">
      <c r="A575" s="532"/>
      <c r="B575" s="532"/>
      <c r="C575" s="532"/>
      <c r="D575" s="532"/>
      <c r="E575" s="532"/>
      <c r="F575" s="532"/>
      <c r="G575" s="532"/>
      <c r="H575" s="532"/>
      <c r="I575" s="532"/>
    </row>
    <row r="576" spans="1:9" ht="12.75">
      <c r="A576" s="532"/>
      <c r="B576" s="532"/>
      <c r="C576" s="532"/>
      <c r="D576" s="532"/>
      <c r="E576" s="532"/>
      <c r="F576" s="532"/>
      <c r="G576" s="532"/>
      <c r="H576" s="532"/>
      <c r="I576" s="532"/>
    </row>
    <row r="577" spans="1:9" ht="12.75">
      <c r="A577" s="532"/>
      <c r="B577" s="532"/>
      <c r="C577" s="532"/>
      <c r="D577" s="532"/>
      <c r="E577" s="532"/>
      <c r="F577" s="532"/>
      <c r="G577" s="532"/>
      <c r="H577" s="532"/>
      <c r="I577" s="532"/>
    </row>
    <row r="578" spans="1:9" ht="12.75">
      <c r="A578" s="532"/>
      <c r="B578" s="532"/>
      <c r="C578" s="532"/>
      <c r="D578" s="532"/>
      <c r="E578" s="532"/>
      <c r="F578" s="532"/>
      <c r="G578" s="532"/>
      <c r="H578" s="532"/>
      <c r="I578" s="532"/>
    </row>
    <row r="579" spans="1:9" ht="12.75">
      <c r="A579" s="532"/>
      <c r="B579" s="532"/>
      <c r="C579" s="532"/>
      <c r="D579" s="532"/>
      <c r="E579" s="532"/>
      <c r="F579" s="532"/>
      <c r="G579" s="532"/>
      <c r="H579" s="532"/>
      <c r="I579" s="532"/>
    </row>
    <row r="580" spans="1:9" ht="12.75">
      <c r="A580" s="532"/>
      <c r="B580" s="532"/>
      <c r="C580" s="532"/>
      <c r="D580" s="532"/>
      <c r="E580" s="532"/>
      <c r="F580" s="532"/>
      <c r="G580" s="532"/>
      <c r="H580" s="532"/>
      <c r="I580" s="532"/>
    </row>
    <row r="581" spans="1:9" ht="12.75">
      <c r="A581" s="532"/>
      <c r="B581" s="532"/>
      <c r="C581" s="532"/>
      <c r="D581" s="532"/>
      <c r="E581" s="532"/>
      <c r="F581" s="532"/>
      <c r="G581" s="532"/>
      <c r="H581" s="532"/>
      <c r="I581" s="532"/>
    </row>
    <row r="582" spans="1:9" ht="12.75">
      <c r="A582" s="532"/>
      <c r="B582" s="532"/>
      <c r="C582" s="532"/>
      <c r="D582" s="532"/>
      <c r="E582" s="532"/>
      <c r="F582" s="532"/>
      <c r="G582" s="532"/>
      <c r="H582" s="532"/>
      <c r="I582" s="532"/>
    </row>
    <row r="583" spans="1:9" ht="12.75">
      <c r="A583" s="532"/>
      <c r="B583" s="532"/>
      <c r="C583" s="532"/>
      <c r="D583" s="532"/>
      <c r="E583" s="532"/>
      <c r="F583" s="532"/>
      <c r="G583" s="532"/>
      <c r="H583" s="532"/>
      <c r="I583" s="532"/>
    </row>
    <row r="584" spans="1:9" ht="12.75">
      <c r="A584" s="532"/>
      <c r="B584" s="532"/>
      <c r="C584" s="532"/>
      <c r="D584" s="532"/>
      <c r="E584" s="532"/>
      <c r="F584" s="532"/>
      <c r="G584" s="532"/>
      <c r="H584" s="532"/>
      <c r="I584" s="532"/>
    </row>
    <row r="585" spans="1:9" ht="12.75">
      <c r="A585" s="532"/>
      <c r="B585" s="532"/>
      <c r="C585" s="532"/>
      <c r="D585" s="532"/>
      <c r="E585" s="532"/>
      <c r="F585" s="532"/>
      <c r="G585" s="532"/>
      <c r="H585" s="532"/>
      <c r="I585" s="532"/>
    </row>
    <row r="586" spans="1:9" ht="12.75">
      <c r="A586" s="532"/>
      <c r="B586" s="532"/>
      <c r="C586" s="532"/>
      <c r="D586" s="532"/>
      <c r="E586" s="532"/>
      <c r="F586" s="532"/>
      <c r="G586" s="532"/>
      <c r="H586" s="532"/>
      <c r="I586" s="532"/>
    </row>
    <row r="587" spans="1:9" ht="12.75">
      <c r="A587" s="532"/>
      <c r="B587" s="532"/>
      <c r="C587" s="532"/>
      <c r="D587" s="532"/>
      <c r="E587" s="532"/>
      <c r="F587" s="532"/>
      <c r="G587" s="532"/>
      <c r="H587" s="532"/>
      <c r="I587" s="532"/>
    </row>
    <row r="588" spans="1:9" ht="12.75">
      <c r="A588" s="532"/>
      <c r="B588" s="532"/>
      <c r="C588" s="532"/>
      <c r="D588" s="532"/>
      <c r="E588" s="532"/>
      <c r="F588" s="532"/>
      <c r="G588" s="532"/>
      <c r="H588" s="532"/>
      <c r="I588" s="532"/>
    </row>
    <row r="589" spans="1:9" ht="12.75">
      <c r="A589" s="532"/>
      <c r="B589" s="532"/>
      <c r="C589" s="532"/>
      <c r="D589" s="532"/>
      <c r="E589" s="532"/>
      <c r="F589" s="532"/>
      <c r="G589" s="532"/>
      <c r="H589" s="532"/>
      <c r="I589" s="532"/>
    </row>
    <row r="590" spans="1:9" ht="12.75">
      <c r="A590" s="532"/>
      <c r="B590" s="532"/>
      <c r="C590" s="532"/>
      <c r="D590" s="532"/>
      <c r="E590" s="532"/>
      <c r="F590" s="532"/>
      <c r="G590" s="532"/>
      <c r="H590" s="532"/>
      <c r="I590" s="532"/>
    </row>
    <row r="591" spans="1:9" ht="12.75">
      <c r="A591" s="532"/>
      <c r="B591" s="532"/>
      <c r="C591" s="532"/>
      <c r="D591" s="532"/>
      <c r="E591" s="532"/>
      <c r="F591" s="532"/>
      <c r="G591" s="532"/>
      <c r="H591" s="532"/>
      <c r="I591" s="532"/>
    </row>
    <row r="592" spans="1:9" ht="12.75">
      <c r="A592" s="532"/>
      <c r="B592" s="532"/>
      <c r="C592" s="532"/>
      <c r="D592" s="532"/>
      <c r="E592" s="532"/>
      <c r="F592" s="532"/>
      <c r="G592" s="532"/>
      <c r="H592" s="532"/>
      <c r="I592" s="532"/>
    </row>
    <row r="593" spans="1:9" ht="12.75">
      <c r="A593" s="532"/>
      <c r="B593" s="532"/>
      <c r="C593" s="532"/>
      <c r="D593" s="532"/>
      <c r="E593" s="532"/>
      <c r="F593" s="532"/>
      <c r="G593" s="532"/>
      <c r="H593" s="532"/>
      <c r="I593" s="532"/>
    </row>
    <row r="594" spans="1:9" ht="12.75">
      <c r="A594" s="532"/>
      <c r="B594" s="532"/>
      <c r="C594" s="532"/>
      <c r="D594" s="532"/>
      <c r="E594" s="532"/>
      <c r="F594" s="532"/>
      <c r="G594" s="532"/>
      <c r="H594" s="532"/>
      <c r="I594" s="532"/>
    </row>
    <row r="595" spans="1:9" ht="12.75">
      <c r="A595" s="532"/>
      <c r="B595" s="532"/>
      <c r="C595" s="532"/>
      <c r="D595" s="532"/>
      <c r="E595" s="532"/>
      <c r="F595" s="532"/>
      <c r="G595" s="532"/>
      <c r="H595" s="532"/>
      <c r="I595" s="532"/>
    </row>
    <row r="596" spans="1:9" ht="12.75">
      <c r="A596" s="532"/>
      <c r="B596" s="532"/>
      <c r="C596" s="532"/>
      <c r="D596" s="532"/>
      <c r="E596" s="532"/>
      <c r="F596" s="532"/>
      <c r="G596" s="532"/>
      <c r="H596" s="532"/>
      <c r="I596" s="532"/>
    </row>
    <row r="597" spans="1:9" ht="12.75">
      <c r="A597" s="532"/>
      <c r="B597" s="532"/>
      <c r="C597" s="532"/>
      <c r="D597" s="532"/>
      <c r="E597" s="532"/>
      <c r="F597" s="532"/>
      <c r="G597" s="532"/>
      <c r="H597" s="532"/>
      <c r="I597" s="532"/>
    </row>
    <row r="598" spans="1:9" ht="12.75">
      <c r="A598" s="532"/>
      <c r="B598" s="532"/>
      <c r="C598" s="532"/>
      <c r="D598" s="532"/>
      <c r="E598" s="532"/>
      <c r="F598" s="532"/>
      <c r="G598" s="532"/>
      <c r="H598" s="532"/>
      <c r="I598" s="532"/>
    </row>
    <row r="599" spans="1:9" ht="12.75">
      <c r="A599" s="532"/>
      <c r="B599" s="532"/>
      <c r="C599" s="532"/>
      <c r="D599" s="532"/>
      <c r="E599" s="532"/>
      <c r="F599" s="532"/>
      <c r="G599" s="532"/>
      <c r="H599" s="532"/>
      <c r="I599" s="532"/>
    </row>
    <row r="600" spans="1:9" ht="12.75">
      <c r="A600" s="532"/>
      <c r="B600" s="532"/>
      <c r="C600" s="532"/>
      <c r="D600" s="532"/>
      <c r="E600" s="532"/>
      <c r="F600" s="532"/>
      <c r="G600" s="532"/>
      <c r="H600" s="532"/>
      <c r="I600" s="532"/>
    </row>
    <row r="601" spans="1:9" ht="12.75">
      <c r="A601" s="532"/>
      <c r="B601" s="532"/>
      <c r="C601" s="532"/>
      <c r="D601" s="532"/>
      <c r="E601" s="532"/>
      <c r="F601" s="532"/>
      <c r="G601" s="532"/>
      <c r="H601" s="532"/>
      <c r="I601" s="532"/>
    </row>
    <row r="602" spans="1:9" ht="12.75">
      <c r="A602" s="532"/>
      <c r="B602" s="532"/>
      <c r="C602" s="532"/>
      <c r="D602" s="532"/>
      <c r="E602" s="532"/>
      <c r="F602" s="532"/>
      <c r="G602" s="532"/>
      <c r="H602" s="532"/>
      <c r="I602" s="532"/>
    </row>
    <row r="603" spans="1:9" ht="12.75">
      <c r="A603" s="532"/>
      <c r="B603" s="532"/>
      <c r="C603" s="532"/>
      <c r="D603" s="532"/>
      <c r="E603" s="532"/>
      <c r="F603" s="532"/>
      <c r="G603" s="532"/>
      <c r="H603" s="532"/>
      <c r="I603" s="532"/>
    </row>
    <row r="604" spans="1:9" ht="12.75">
      <c r="A604" s="532"/>
      <c r="B604" s="532"/>
      <c r="C604" s="532"/>
      <c r="D604" s="532"/>
      <c r="E604" s="532"/>
      <c r="F604" s="532"/>
      <c r="G604" s="532"/>
      <c r="H604" s="532"/>
      <c r="I604" s="532"/>
    </row>
    <row r="605" spans="1:9" ht="12.75">
      <c r="A605" s="532"/>
      <c r="B605" s="532"/>
      <c r="C605" s="532"/>
      <c r="D605" s="532"/>
      <c r="E605" s="532"/>
      <c r="F605" s="532"/>
      <c r="G605" s="532"/>
      <c r="H605" s="532"/>
      <c r="I605" s="532"/>
    </row>
    <row r="606" spans="1:9" ht="12.75">
      <c r="A606" s="532"/>
      <c r="B606" s="532"/>
      <c r="C606" s="532"/>
      <c r="D606" s="532"/>
      <c r="E606" s="532"/>
      <c r="F606" s="532"/>
      <c r="G606" s="532"/>
      <c r="H606" s="532"/>
      <c r="I606" s="532"/>
    </row>
    <row r="607" spans="1:9" ht="12.75">
      <c r="A607" s="532"/>
      <c r="B607" s="532"/>
      <c r="C607" s="532"/>
      <c r="D607" s="532"/>
      <c r="E607" s="532"/>
      <c r="F607" s="532"/>
      <c r="G607" s="532"/>
      <c r="H607" s="532"/>
      <c r="I607" s="532"/>
    </row>
    <row r="608" spans="1:9" ht="12.75">
      <c r="A608" s="532"/>
      <c r="B608" s="532"/>
      <c r="C608" s="532"/>
      <c r="D608" s="532"/>
      <c r="E608" s="532"/>
      <c r="F608" s="532"/>
      <c r="G608" s="532"/>
      <c r="H608" s="532"/>
      <c r="I608" s="532"/>
    </row>
    <row r="609" spans="1:9" ht="12.75">
      <c r="A609" s="532"/>
      <c r="B609" s="532"/>
      <c r="C609" s="532"/>
      <c r="D609" s="532"/>
      <c r="E609" s="532"/>
      <c r="F609" s="532"/>
      <c r="G609" s="532"/>
      <c r="H609" s="532"/>
      <c r="I609" s="532"/>
    </row>
    <row r="610" spans="1:9" ht="12.75">
      <c r="A610" s="532"/>
      <c r="B610" s="532"/>
      <c r="C610" s="532"/>
      <c r="D610" s="532"/>
      <c r="E610" s="532"/>
      <c r="F610" s="532"/>
      <c r="G610" s="532"/>
      <c r="H610" s="532"/>
      <c r="I610" s="532"/>
    </row>
    <row r="611" spans="1:9" ht="12.75">
      <c r="A611" s="532"/>
      <c r="B611" s="532"/>
      <c r="C611" s="532"/>
      <c r="D611" s="532"/>
      <c r="E611" s="532"/>
      <c r="F611" s="532"/>
      <c r="G611" s="532"/>
      <c r="H611" s="532"/>
      <c r="I611" s="532"/>
    </row>
    <row r="612" spans="1:9" ht="12.75">
      <c r="A612" s="532"/>
      <c r="B612" s="532"/>
      <c r="C612" s="532"/>
      <c r="D612" s="532"/>
      <c r="E612" s="532"/>
      <c r="F612" s="532"/>
      <c r="G612" s="532"/>
      <c r="H612" s="532"/>
      <c r="I612" s="532"/>
    </row>
    <row r="613" spans="1:9" ht="12.75">
      <c r="A613" s="532"/>
      <c r="B613" s="532"/>
      <c r="C613" s="532"/>
      <c r="D613" s="532"/>
      <c r="E613" s="532"/>
      <c r="F613" s="532"/>
      <c r="G613" s="532"/>
      <c r="H613" s="532"/>
      <c r="I613" s="532"/>
    </row>
    <row r="614" spans="1:9" ht="12.75">
      <c r="A614" s="532"/>
      <c r="B614" s="532"/>
      <c r="C614" s="532"/>
      <c r="D614" s="532"/>
      <c r="E614" s="532"/>
      <c r="F614" s="532"/>
      <c r="G614" s="532"/>
      <c r="H614" s="532"/>
      <c r="I614" s="532"/>
    </row>
    <row r="615" spans="1:9" ht="12.75">
      <c r="A615" s="532"/>
      <c r="B615" s="532"/>
      <c r="C615" s="532"/>
      <c r="D615" s="532"/>
      <c r="E615" s="532"/>
      <c r="F615" s="532"/>
      <c r="G615" s="532"/>
      <c r="H615" s="532"/>
      <c r="I615" s="532"/>
    </row>
    <row r="616" spans="1:9" ht="12.75">
      <c r="A616" s="532"/>
      <c r="B616" s="532"/>
      <c r="C616" s="532"/>
      <c r="D616" s="532"/>
      <c r="E616" s="532"/>
      <c r="F616" s="532"/>
      <c r="G616" s="532"/>
      <c r="H616" s="532"/>
      <c r="I616" s="532"/>
    </row>
    <row r="617" spans="1:9" ht="12.75">
      <c r="A617" s="532"/>
      <c r="B617" s="532"/>
      <c r="C617" s="532"/>
      <c r="D617" s="532"/>
      <c r="E617" s="532"/>
      <c r="F617" s="532"/>
      <c r="G617" s="532"/>
      <c r="H617" s="532"/>
      <c r="I617" s="532"/>
    </row>
    <row r="618" spans="1:9" ht="12.75">
      <c r="A618" s="532"/>
      <c r="B618" s="532"/>
      <c r="C618" s="532"/>
      <c r="D618" s="532"/>
      <c r="E618" s="532"/>
      <c r="F618" s="532"/>
      <c r="G618" s="532"/>
      <c r="H618" s="532"/>
      <c r="I618" s="532"/>
    </row>
    <row r="619" spans="1:9" ht="12.75">
      <c r="A619" s="532"/>
      <c r="B619" s="532"/>
      <c r="C619" s="532"/>
      <c r="D619" s="532"/>
      <c r="E619" s="532"/>
      <c r="F619" s="532"/>
      <c r="G619" s="532"/>
      <c r="H619" s="532"/>
      <c r="I619" s="532"/>
    </row>
    <row r="620" spans="1:9" ht="12.75">
      <c r="A620" s="532"/>
      <c r="B620" s="532"/>
      <c r="C620" s="532"/>
      <c r="D620" s="532"/>
      <c r="E620" s="532"/>
      <c r="F620" s="532"/>
      <c r="G620" s="532"/>
      <c r="H620" s="532"/>
      <c r="I620" s="532"/>
    </row>
    <row r="621" spans="1:9" ht="12.75">
      <c r="A621" s="532"/>
      <c r="B621" s="532"/>
      <c r="C621" s="532"/>
      <c r="D621" s="532"/>
      <c r="E621" s="532"/>
      <c r="F621" s="532"/>
      <c r="G621" s="532"/>
      <c r="H621" s="532"/>
      <c r="I621" s="532"/>
    </row>
    <row r="622" spans="1:9" ht="12.75">
      <c r="A622" s="532"/>
      <c r="B622" s="532"/>
      <c r="C622" s="532"/>
      <c r="D622" s="532"/>
      <c r="E622" s="532"/>
      <c r="F622" s="532"/>
      <c r="G622" s="532"/>
      <c r="H622" s="532"/>
      <c r="I622" s="532"/>
    </row>
    <row r="623" spans="1:9" ht="12.75">
      <c r="A623" s="532"/>
      <c r="B623" s="532"/>
      <c r="C623" s="532"/>
      <c r="D623" s="532"/>
      <c r="E623" s="532"/>
      <c r="F623" s="532"/>
      <c r="G623" s="532"/>
      <c r="H623" s="532"/>
      <c r="I623" s="532"/>
    </row>
    <row r="624" spans="1:9" ht="12.75">
      <c r="A624" s="532"/>
      <c r="B624" s="532"/>
      <c r="C624" s="532"/>
      <c r="D624" s="532"/>
      <c r="E624" s="532"/>
      <c r="F624" s="532"/>
      <c r="G624" s="532"/>
      <c r="H624" s="532"/>
      <c r="I624" s="532"/>
    </row>
    <row r="625" spans="1:9" ht="12.75">
      <c r="A625" s="532"/>
      <c r="B625" s="532"/>
      <c r="C625" s="532"/>
      <c r="D625" s="532"/>
      <c r="E625" s="532"/>
      <c r="F625" s="532"/>
      <c r="G625" s="532"/>
      <c r="H625" s="532"/>
      <c r="I625" s="532"/>
    </row>
    <row r="626" spans="1:9" ht="12.75">
      <c r="A626" s="532"/>
      <c r="B626" s="532"/>
      <c r="C626" s="532"/>
      <c r="D626" s="532"/>
      <c r="E626" s="532"/>
      <c r="F626" s="532"/>
      <c r="G626" s="532"/>
      <c r="H626" s="532"/>
      <c r="I626" s="532"/>
    </row>
    <row r="627" spans="1:9" ht="12.75">
      <c r="A627" s="532"/>
      <c r="B627" s="532"/>
      <c r="C627" s="532"/>
      <c r="D627" s="532"/>
      <c r="E627" s="532"/>
      <c r="F627" s="532"/>
      <c r="G627" s="532"/>
      <c r="H627" s="532"/>
      <c r="I627" s="532"/>
    </row>
    <row r="628" spans="1:9" ht="12.75">
      <c r="A628" s="532"/>
      <c r="B628" s="532"/>
      <c r="C628" s="532"/>
      <c r="D628" s="532"/>
      <c r="E628" s="532"/>
      <c r="F628" s="532"/>
      <c r="G628" s="532"/>
      <c r="H628" s="532"/>
      <c r="I628" s="532"/>
    </row>
    <row r="629" spans="1:9" ht="12.75">
      <c r="A629" s="532"/>
      <c r="B629" s="532"/>
      <c r="C629" s="532"/>
      <c r="D629" s="532"/>
      <c r="E629" s="532"/>
      <c r="F629" s="532"/>
      <c r="G629" s="532"/>
      <c r="H629" s="532"/>
      <c r="I629" s="532"/>
    </row>
    <row r="630" spans="1:9" ht="12.75">
      <c r="A630" s="532"/>
      <c r="B630" s="532"/>
      <c r="C630" s="532"/>
      <c r="D630" s="532"/>
      <c r="E630" s="532"/>
      <c r="F630" s="532"/>
      <c r="G630" s="532"/>
      <c r="H630" s="532"/>
      <c r="I630" s="532"/>
    </row>
    <row r="631" spans="1:9" ht="12.75">
      <c r="A631" s="532"/>
      <c r="B631" s="532"/>
      <c r="C631" s="532"/>
      <c r="D631" s="532"/>
      <c r="E631" s="532"/>
      <c r="F631" s="532"/>
      <c r="G631" s="532"/>
      <c r="H631" s="532"/>
      <c r="I631" s="532"/>
    </row>
    <row r="632" spans="1:9" ht="12.75">
      <c r="A632" s="532"/>
      <c r="B632" s="532"/>
      <c r="C632" s="532"/>
      <c r="D632" s="532"/>
      <c r="E632" s="532"/>
      <c r="F632" s="532"/>
      <c r="G632" s="532"/>
      <c r="H632" s="532"/>
      <c r="I632" s="532"/>
    </row>
    <row r="633" spans="1:9" ht="12.75">
      <c r="A633" s="532"/>
      <c r="B633" s="532"/>
      <c r="C633" s="532"/>
      <c r="D633" s="532"/>
      <c r="E633" s="532"/>
      <c r="F633" s="532"/>
      <c r="G633" s="532"/>
      <c r="H633" s="532"/>
      <c r="I633" s="532"/>
    </row>
    <row r="634" spans="1:9" ht="12.75">
      <c r="A634" s="532"/>
      <c r="B634" s="532"/>
      <c r="C634" s="532"/>
      <c r="D634" s="532"/>
      <c r="E634" s="532"/>
      <c r="F634" s="532"/>
      <c r="G634" s="532"/>
      <c r="H634" s="532"/>
      <c r="I634" s="532"/>
    </row>
    <row r="635" spans="1:9" ht="12.75">
      <c r="A635" s="532"/>
      <c r="B635" s="532"/>
      <c r="C635" s="532"/>
      <c r="D635" s="532"/>
      <c r="E635" s="532"/>
      <c r="F635" s="532"/>
      <c r="G635" s="532"/>
      <c r="H635" s="532"/>
      <c r="I635" s="532"/>
    </row>
    <row r="636" spans="1:9" ht="12.75">
      <c r="A636" s="532"/>
      <c r="B636" s="532"/>
      <c r="C636" s="532"/>
      <c r="D636" s="532"/>
      <c r="E636" s="532"/>
      <c r="F636" s="532"/>
      <c r="G636" s="532"/>
      <c r="H636" s="532"/>
      <c r="I636" s="532"/>
    </row>
    <row r="637" spans="1:9" ht="12.75">
      <c r="A637" s="532"/>
      <c r="B637" s="532"/>
      <c r="C637" s="532"/>
      <c r="D637" s="532"/>
      <c r="E637" s="532"/>
      <c r="F637" s="532"/>
      <c r="G637" s="532"/>
      <c r="H637" s="532"/>
      <c r="I637" s="532"/>
    </row>
    <row r="638" spans="1:9" ht="12.75">
      <c r="A638" s="532"/>
      <c r="B638" s="532"/>
      <c r="C638" s="532"/>
      <c r="D638" s="532"/>
      <c r="E638" s="532"/>
      <c r="F638" s="532"/>
      <c r="G638" s="532"/>
      <c r="H638" s="532"/>
      <c r="I638" s="532"/>
    </row>
    <row r="639" spans="1:9" ht="12.75">
      <c r="A639" s="532"/>
      <c r="B639" s="532"/>
      <c r="C639" s="532"/>
      <c r="D639" s="532"/>
      <c r="E639" s="532"/>
      <c r="F639" s="532"/>
      <c r="G639" s="532"/>
      <c r="H639" s="532"/>
      <c r="I639" s="532"/>
    </row>
    <row r="640" spans="1:9" ht="12.75">
      <c r="A640" s="532"/>
      <c r="B640" s="532"/>
      <c r="C640" s="532"/>
      <c r="D640" s="532"/>
      <c r="E640" s="532"/>
      <c r="F640" s="532"/>
      <c r="G640" s="532"/>
      <c r="H640" s="532"/>
      <c r="I640" s="532"/>
    </row>
    <row r="641" spans="1:9" ht="12.75">
      <c r="A641" s="532"/>
      <c r="B641" s="532"/>
      <c r="C641" s="532"/>
      <c r="D641" s="532"/>
      <c r="E641" s="532"/>
      <c r="F641" s="532"/>
      <c r="G641" s="532"/>
      <c r="H641" s="532"/>
      <c r="I641" s="532"/>
    </row>
    <row r="642" spans="1:9" ht="12.75">
      <c r="A642" s="532"/>
      <c r="B642" s="532"/>
      <c r="C642" s="532"/>
      <c r="D642" s="532"/>
      <c r="E642" s="532"/>
      <c r="F642" s="532"/>
      <c r="G642" s="532"/>
      <c r="H642" s="532"/>
      <c r="I642" s="532"/>
    </row>
    <row r="643" spans="1:9" ht="12.75">
      <c r="A643" s="532"/>
      <c r="B643" s="532"/>
      <c r="C643" s="532"/>
      <c r="D643" s="532"/>
      <c r="E643" s="532"/>
      <c r="F643" s="532"/>
      <c r="G643" s="532"/>
      <c r="H643" s="532"/>
      <c r="I643" s="532"/>
    </row>
    <row r="644" spans="1:9" ht="12.75">
      <c r="A644" s="532"/>
      <c r="B644" s="532"/>
      <c r="C644" s="532"/>
      <c r="D644" s="532"/>
      <c r="E644" s="532"/>
      <c r="F644" s="532"/>
      <c r="G644" s="532"/>
      <c r="H644" s="532"/>
      <c r="I644" s="532"/>
    </row>
    <row r="645" spans="1:9" ht="12.75">
      <c r="A645" s="532"/>
      <c r="B645" s="532"/>
      <c r="C645" s="532"/>
      <c r="D645" s="532"/>
      <c r="E645" s="532"/>
      <c r="F645" s="532"/>
      <c r="G645" s="532"/>
      <c r="H645" s="532"/>
      <c r="I645" s="532"/>
    </row>
    <row r="646" spans="1:9" ht="12.75">
      <c r="A646" s="532"/>
      <c r="B646" s="532"/>
      <c r="C646" s="532"/>
      <c r="D646" s="532"/>
      <c r="E646" s="532"/>
      <c r="F646" s="532"/>
      <c r="G646" s="532"/>
      <c r="H646" s="532"/>
      <c r="I646" s="532"/>
    </row>
    <row r="647" spans="1:9" ht="12.75">
      <c r="A647" s="532"/>
      <c r="B647" s="532"/>
      <c r="C647" s="532"/>
      <c r="D647" s="532"/>
      <c r="E647" s="532"/>
      <c r="F647" s="532"/>
      <c r="G647" s="532"/>
      <c r="H647" s="532"/>
      <c r="I647" s="532"/>
    </row>
    <row r="648" spans="1:9" ht="12.75">
      <c r="A648" s="532"/>
      <c r="B648" s="532"/>
      <c r="C648" s="532"/>
      <c r="D648" s="532"/>
      <c r="E648" s="532"/>
      <c r="F648" s="532"/>
      <c r="G648" s="532"/>
      <c r="H648" s="532"/>
      <c r="I648" s="532"/>
    </row>
    <row r="649" spans="1:9" ht="12.75">
      <c r="A649" s="532"/>
      <c r="B649" s="532"/>
      <c r="C649" s="532"/>
      <c r="D649" s="532"/>
      <c r="E649" s="532"/>
      <c r="F649" s="532"/>
      <c r="G649" s="532"/>
      <c r="H649" s="532"/>
      <c r="I649" s="532"/>
    </row>
    <row r="650" spans="1:9" ht="12.75">
      <c r="A650" s="532"/>
      <c r="B650" s="532"/>
      <c r="C650" s="532"/>
      <c r="D650" s="532"/>
      <c r="E650" s="532"/>
      <c r="F650" s="532"/>
      <c r="G650" s="532"/>
      <c r="H650" s="532"/>
      <c r="I650" s="532"/>
    </row>
    <row r="651" spans="1:9" ht="12.75">
      <c r="A651" s="532"/>
      <c r="B651" s="532"/>
      <c r="C651" s="532"/>
      <c r="D651" s="532"/>
      <c r="E651" s="532"/>
      <c r="F651" s="532"/>
      <c r="G651" s="532"/>
      <c r="H651" s="532"/>
      <c r="I651" s="532"/>
    </row>
    <row r="652" spans="1:9" ht="12.75">
      <c r="A652" s="532"/>
      <c r="B652" s="532"/>
      <c r="C652" s="532"/>
      <c r="D652" s="532"/>
      <c r="E652" s="532"/>
      <c r="F652" s="532"/>
      <c r="G652" s="532"/>
      <c r="H652" s="532"/>
      <c r="I652" s="532"/>
    </row>
    <row r="653" spans="1:9" ht="12.75">
      <c r="A653" s="532"/>
      <c r="B653" s="532"/>
      <c r="C653" s="532"/>
      <c r="D653" s="532"/>
      <c r="E653" s="532"/>
      <c r="F653" s="532"/>
      <c r="G653" s="532"/>
      <c r="H653" s="532"/>
      <c r="I653" s="532"/>
    </row>
    <row r="654" spans="1:9" ht="12.75">
      <c r="A654" s="532"/>
      <c r="B654" s="532"/>
      <c r="C654" s="532"/>
      <c r="D654" s="532"/>
      <c r="E654" s="532"/>
      <c r="F654" s="532"/>
      <c r="G654" s="532"/>
      <c r="H654" s="532"/>
      <c r="I654" s="532"/>
    </row>
    <row r="655" spans="1:9" ht="12.75">
      <c r="A655" s="532"/>
      <c r="B655" s="532"/>
      <c r="C655" s="532"/>
      <c r="D655" s="532"/>
      <c r="E655" s="532"/>
      <c r="F655" s="532"/>
      <c r="G655" s="532"/>
      <c r="H655" s="532"/>
      <c r="I655" s="532"/>
    </row>
    <row r="656" spans="1:9" ht="12.75">
      <c r="A656" s="532"/>
      <c r="B656" s="532"/>
      <c r="C656" s="532"/>
      <c r="D656" s="532"/>
      <c r="E656" s="532"/>
      <c r="F656" s="532"/>
      <c r="G656" s="532"/>
      <c r="H656" s="532"/>
      <c r="I656" s="532"/>
    </row>
    <row r="657" spans="1:9" ht="12.75">
      <c r="A657" s="532"/>
      <c r="B657" s="532"/>
      <c r="C657" s="532"/>
      <c r="D657" s="532"/>
      <c r="E657" s="532"/>
      <c r="F657" s="532"/>
      <c r="G657" s="532"/>
      <c r="H657" s="532"/>
      <c r="I657" s="532"/>
    </row>
    <row r="658" spans="1:9" ht="12.75">
      <c r="A658" s="532"/>
      <c r="B658" s="532"/>
      <c r="C658" s="532"/>
      <c r="D658" s="532"/>
      <c r="E658" s="532"/>
      <c r="F658" s="532"/>
      <c r="G658" s="532"/>
      <c r="H658" s="532"/>
      <c r="I658" s="532"/>
    </row>
    <row r="659" spans="1:9" ht="12.75">
      <c r="A659" s="532"/>
      <c r="B659" s="532"/>
      <c r="C659" s="532"/>
      <c r="D659" s="532"/>
      <c r="E659" s="532"/>
      <c r="F659" s="532"/>
      <c r="G659" s="532"/>
      <c r="H659" s="532"/>
      <c r="I659" s="532"/>
    </row>
    <row r="660" spans="1:9" ht="12.75">
      <c r="A660" s="532"/>
      <c r="B660" s="532"/>
      <c r="C660" s="532"/>
      <c r="D660" s="532"/>
      <c r="E660" s="532"/>
      <c r="F660" s="532"/>
      <c r="G660" s="532"/>
      <c r="H660" s="532"/>
      <c r="I660" s="532"/>
    </row>
    <row r="661" spans="1:9" ht="12.75">
      <c r="A661" s="532"/>
      <c r="B661" s="532"/>
      <c r="C661" s="532"/>
      <c r="D661" s="532"/>
      <c r="E661" s="532"/>
      <c r="F661" s="532"/>
      <c r="G661" s="532"/>
      <c r="H661" s="532"/>
      <c r="I661" s="532"/>
    </row>
    <row r="662" spans="1:9" ht="12.75">
      <c r="A662" s="532"/>
      <c r="B662" s="532"/>
      <c r="C662" s="532"/>
      <c r="D662" s="532"/>
      <c r="E662" s="532"/>
      <c r="F662" s="532"/>
      <c r="G662" s="532"/>
      <c r="H662" s="532"/>
      <c r="I662" s="532"/>
    </row>
    <row r="663" spans="1:9" ht="12.75">
      <c r="A663" s="532"/>
      <c r="B663" s="532"/>
      <c r="C663" s="532"/>
      <c r="D663" s="532"/>
      <c r="E663" s="532"/>
      <c r="F663" s="532"/>
      <c r="G663" s="532"/>
      <c r="H663" s="532"/>
      <c r="I663" s="532"/>
    </row>
    <row r="664" spans="1:9" ht="12.75">
      <c r="A664" s="532"/>
      <c r="B664" s="532"/>
      <c r="C664" s="532"/>
      <c r="D664" s="532"/>
      <c r="E664" s="532"/>
      <c r="F664" s="532"/>
      <c r="G664" s="532"/>
      <c r="H664" s="532"/>
      <c r="I664" s="532"/>
    </row>
    <row r="665" spans="1:9" ht="12.75">
      <c r="A665" s="532"/>
      <c r="B665" s="532"/>
      <c r="C665" s="532"/>
      <c r="D665" s="532"/>
      <c r="E665" s="532"/>
      <c r="F665" s="532"/>
      <c r="G665" s="532"/>
      <c r="H665" s="532"/>
      <c r="I665" s="532"/>
    </row>
    <row r="666" spans="1:9" ht="12.75">
      <c r="A666" s="532"/>
      <c r="B666" s="532"/>
      <c r="C666" s="532"/>
      <c r="D666" s="532"/>
      <c r="E666" s="532"/>
      <c r="F666" s="532"/>
      <c r="G666" s="532"/>
      <c r="H666" s="532"/>
      <c r="I666" s="532"/>
    </row>
    <row r="667" spans="1:9" ht="12.75">
      <c r="A667" s="532"/>
      <c r="B667" s="532"/>
      <c r="C667" s="532"/>
      <c r="D667" s="532"/>
      <c r="E667" s="532"/>
      <c r="F667" s="532"/>
      <c r="G667" s="532"/>
      <c r="H667" s="532"/>
      <c r="I667" s="532"/>
    </row>
    <row r="668" spans="1:9" ht="12.75">
      <c r="A668" s="532"/>
      <c r="B668" s="532"/>
      <c r="C668" s="532"/>
      <c r="D668" s="532"/>
      <c r="E668" s="532"/>
      <c r="F668" s="532"/>
      <c r="G668" s="532"/>
      <c r="H668" s="532"/>
      <c r="I668" s="532"/>
    </row>
    <row r="669" spans="1:9" ht="12.75">
      <c r="A669" s="532"/>
      <c r="B669" s="532"/>
      <c r="C669" s="532"/>
      <c r="D669" s="532"/>
      <c r="E669" s="532"/>
      <c r="F669" s="532"/>
      <c r="G669" s="532"/>
      <c r="H669" s="532"/>
      <c r="I669" s="532"/>
    </row>
    <row r="670" spans="1:9" ht="12.75">
      <c r="A670" s="532"/>
      <c r="B670" s="532"/>
      <c r="C670" s="532"/>
      <c r="D670" s="532"/>
      <c r="E670" s="532"/>
      <c r="F670" s="532"/>
      <c r="G670" s="532"/>
      <c r="H670" s="532"/>
      <c r="I670" s="532"/>
    </row>
    <row r="671" spans="1:9" ht="12.75">
      <c r="A671" s="532"/>
      <c r="B671" s="532"/>
      <c r="C671" s="532"/>
      <c r="D671" s="532"/>
      <c r="E671" s="532"/>
      <c r="F671" s="532"/>
      <c r="G671" s="532"/>
      <c r="H671" s="532"/>
      <c r="I671" s="532"/>
    </row>
    <row r="672" spans="1:9" ht="12.75">
      <c r="A672" s="532"/>
      <c r="B672" s="532"/>
      <c r="C672" s="532"/>
      <c r="D672" s="532"/>
      <c r="E672" s="532"/>
      <c r="F672" s="532"/>
      <c r="G672" s="532"/>
      <c r="H672" s="532"/>
      <c r="I672" s="532"/>
    </row>
    <row r="673" spans="1:9" ht="12.75">
      <c r="A673" s="532"/>
      <c r="B673" s="532"/>
      <c r="C673" s="532"/>
      <c r="D673" s="532"/>
      <c r="E673" s="532"/>
      <c r="F673" s="532"/>
      <c r="G673" s="532"/>
      <c r="H673" s="532"/>
      <c r="I673" s="532"/>
    </row>
    <row r="674" spans="1:9" ht="12.75">
      <c r="A674" s="532"/>
      <c r="B674" s="532"/>
      <c r="C674" s="532"/>
      <c r="D674" s="532"/>
      <c r="E674" s="532"/>
      <c r="F674" s="532"/>
      <c r="G674" s="532"/>
      <c r="H674" s="532"/>
      <c r="I674" s="532"/>
    </row>
    <row r="675" spans="1:9" ht="12.75">
      <c r="A675" s="532"/>
      <c r="B675" s="532"/>
      <c r="C675" s="532"/>
      <c r="D675" s="532"/>
      <c r="E675" s="532"/>
      <c r="F675" s="532"/>
      <c r="G675" s="532"/>
      <c r="H675" s="532"/>
      <c r="I675" s="532"/>
    </row>
    <row r="676" spans="1:9" ht="12.75">
      <c r="A676" s="532"/>
      <c r="B676" s="532"/>
      <c r="C676" s="532"/>
      <c r="D676" s="532"/>
      <c r="E676" s="532"/>
      <c r="F676" s="532"/>
      <c r="G676" s="532"/>
      <c r="H676" s="532"/>
      <c r="I676" s="532"/>
    </row>
    <row r="677" spans="1:9" ht="12.75">
      <c r="A677" s="532"/>
      <c r="B677" s="532"/>
      <c r="C677" s="532"/>
      <c r="D677" s="532"/>
      <c r="E677" s="532"/>
      <c r="F677" s="532"/>
      <c r="G677" s="532"/>
      <c r="H677" s="532"/>
      <c r="I677" s="532"/>
    </row>
    <row r="678" spans="1:9" ht="12.75">
      <c r="A678" s="532"/>
      <c r="B678" s="532"/>
      <c r="C678" s="532"/>
      <c r="D678" s="532"/>
      <c r="E678" s="532"/>
      <c r="F678" s="532"/>
      <c r="G678" s="532"/>
      <c r="H678" s="532"/>
      <c r="I678" s="532"/>
    </row>
    <row r="679" spans="1:9" ht="12.75">
      <c r="A679" s="532"/>
      <c r="B679" s="532"/>
      <c r="C679" s="532"/>
      <c r="D679" s="532"/>
      <c r="E679" s="532"/>
      <c r="F679" s="532"/>
      <c r="G679" s="532"/>
      <c r="H679" s="532"/>
      <c r="I679" s="532"/>
    </row>
    <row r="680" spans="1:9" ht="12.75">
      <c r="A680" s="532"/>
      <c r="B680" s="532"/>
      <c r="C680" s="532"/>
      <c r="D680" s="532"/>
      <c r="E680" s="532"/>
      <c r="F680" s="532"/>
      <c r="G680" s="532"/>
      <c r="H680" s="532"/>
      <c r="I680" s="532"/>
    </row>
    <row r="681" spans="1:9" ht="12.75">
      <c r="A681" s="532"/>
      <c r="B681" s="532"/>
      <c r="C681" s="532"/>
      <c r="D681" s="532"/>
      <c r="E681" s="532"/>
      <c r="F681" s="532"/>
      <c r="G681" s="532"/>
      <c r="H681" s="532"/>
      <c r="I681" s="532"/>
    </row>
    <row r="682" spans="1:9" ht="12.75">
      <c r="A682" s="532"/>
      <c r="B682" s="532"/>
      <c r="C682" s="532"/>
      <c r="D682" s="532"/>
      <c r="E682" s="532"/>
      <c r="F682" s="532"/>
      <c r="G682" s="532"/>
      <c r="H682" s="532"/>
      <c r="I682" s="532"/>
    </row>
    <row r="683" spans="1:9" ht="12.75">
      <c r="A683" s="532"/>
      <c r="B683" s="532"/>
      <c r="C683" s="532"/>
      <c r="D683" s="532"/>
      <c r="E683" s="532"/>
      <c r="F683" s="532"/>
      <c r="G683" s="532"/>
      <c r="H683" s="532"/>
      <c r="I683" s="532"/>
    </row>
    <row r="684" spans="1:9" ht="12.75">
      <c r="A684" s="532"/>
      <c r="B684" s="532"/>
      <c r="C684" s="532"/>
      <c r="D684" s="532"/>
      <c r="E684" s="532"/>
      <c r="F684" s="532"/>
      <c r="G684" s="532"/>
      <c r="H684" s="532"/>
      <c r="I684" s="532"/>
    </row>
    <row r="685" spans="1:9" ht="12.75">
      <c r="A685" s="532"/>
      <c r="B685" s="532"/>
      <c r="C685" s="532"/>
      <c r="D685" s="532"/>
      <c r="E685" s="532"/>
      <c r="F685" s="532"/>
      <c r="G685" s="532"/>
      <c r="H685" s="532"/>
      <c r="I685" s="532"/>
    </row>
    <row r="686" spans="1:9" ht="12.75">
      <c r="A686" s="532"/>
      <c r="B686" s="532"/>
      <c r="C686" s="532"/>
      <c r="D686" s="532"/>
      <c r="E686" s="532"/>
      <c r="F686" s="532"/>
      <c r="G686" s="532"/>
      <c r="H686" s="532"/>
      <c r="I686" s="532"/>
    </row>
    <row r="687" spans="1:9" ht="12.75">
      <c r="A687" s="532"/>
      <c r="B687" s="532"/>
      <c r="C687" s="532"/>
      <c r="D687" s="532"/>
      <c r="E687" s="532"/>
      <c r="F687" s="532"/>
      <c r="G687" s="532"/>
      <c r="H687" s="532"/>
      <c r="I687" s="532"/>
    </row>
    <row r="688" spans="1:9" ht="12.75">
      <c r="A688" s="532"/>
      <c r="B688" s="532"/>
      <c r="C688" s="532"/>
      <c r="D688" s="532"/>
      <c r="E688" s="532"/>
      <c r="F688" s="532"/>
      <c r="G688" s="532"/>
      <c r="H688" s="532"/>
      <c r="I688" s="532"/>
    </row>
    <row r="689" spans="1:9" ht="12.75">
      <c r="A689" s="532"/>
      <c r="B689" s="532"/>
      <c r="C689" s="532"/>
      <c r="D689" s="532"/>
      <c r="E689" s="532"/>
      <c r="F689" s="532"/>
      <c r="G689" s="532"/>
      <c r="H689" s="532"/>
      <c r="I689" s="532"/>
    </row>
    <row r="690" spans="1:9" ht="12.75">
      <c r="A690" s="532"/>
      <c r="B690" s="532"/>
      <c r="C690" s="532"/>
      <c r="D690" s="532"/>
      <c r="E690" s="532"/>
      <c r="F690" s="532"/>
      <c r="G690" s="532"/>
      <c r="H690" s="532"/>
      <c r="I690" s="532"/>
    </row>
    <row r="691" spans="1:9" ht="12.75">
      <c r="A691" s="532"/>
      <c r="B691" s="532"/>
      <c r="C691" s="532"/>
      <c r="D691" s="532"/>
      <c r="E691" s="532"/>
      <c r="F691" s="532"/>
      <c r="G691" s="532"/>
      <c r="H691" s="532"/>
      <c r="I691" s="532"/>
    </row>
    <row r="692" spans="1:9" ht="12.75">
      <c r="A692" s="532"/>
      <c r="B692" s="532"/>
      <c r="C692" s="532"/>
      <c r="D692" s="532"/>
      <c r="E692" s="532"/>
      <c r="F692" s="532"/>
      <c r="G692" s="532"/>
      <c r="H692" s="532"/>
      <c r="I692" s="532"/>
    </row>
    <row r="693" spans="1:9" ht="12.75">
      <c r="A693" s="532"/>
      <c r="B693" s="532"/>
      <c r="C693" s="532"/>
      <c r="D693" s="532"/>
      <c r="E693" s="532"/>
      <c r="F693" s="532"/>
      <c r="G693" s="532"/>
      <c r="H693" s="532"/>
      <c r="I693" s="532"/>
    </row>
    <row r="694" spans="1:9" ht="12.75">
      <c r="A694" s="532"/>
      <c r="B694" s="532"/>
      <c r="C694" s="532"/>
      <c r="D694" s="532"/>
      <c r="E694" s="532"/>
      <c r="F694" s="532"/>
      <c r="G694" s="532"/>
      <c r="H694" s="532"/>
      <c r="I694" s="532"/>
    </row>
    <row r="695" spans="1:9" ht="12.75">
      <c r="A695" s="532"/>
      <c r="B695" s="532"/>
      <c r="C695" s="532"/>
      <c r="D695" s="532"/>
      <c r="E695" s="532"/>
      <c r="F695" s="532"/>
      <c r="G695" s="532"/>
      <c r="H695" s="532"/>
      <c r="I695" s="532"/>
    </row>
    <row r="696" spans="1:9" ht="12.75">
      <c r="A696" s="532"/>
      <c r="B696" s="532"/>
      <c r="C696" s="532"/>
      <c r="D696" s="532"/>
      <c r="E696" s="532"/>
      <c r="F696" s="532"/>
      <c r="G696" s="532"/>
      <c r="H696" s="532"/>
      <c r="I696" s="532"/>
    </row>
    <row r="697" spans="1:9" ht="12.75">
      <c r="A697" s="532"/>
      <c r="B697" s="532"/>
      <c r="C697" s="532"/>
      <c r="D697" s="532"/>
      <c r="E697" s="532"/>
      <c r="F697" s="532"/>
      <c r="G697" s="532"/>
      <c r="H697" s="532"/>
      <c r="I697" s="532"/>
    </row>
    <row r="698" spans="1:9" ht="12.75">
      <c r="A698" s="532"/>
      <c r="B698" s="532"/>
      <c r="C698" s="532"/>
      <c r="D698" s="532"/>
      <c r="E698" s="532"/>
      <c r="F698" s="532"/>
      <c r="G698" s="532"/>
      <c r="H698" s="532"/>
      <c r="I698" s="532"/>
    </row>
    <row r="699" spans="1:9" ht="12.75">
      <c r="A699" s="532"/>
      <c r="B699" s="532"/>
      <c r="C699" s="532"/>
      <c r="D699" s="532"/>
      <c r="E699" s="532"/>
      <c r="F699" s="532"/>
      <c r="G699" s="532"/>
      <c r="H699" s="532"/>
      <c r="I699" s="532"/>
    </row>
    <row r="700" spans="1:9" ht="12.75">
      <c r="A700" s="532"/>
      <c r="B700" s="532"/>
      <c r="C700" s="532"/>
      <c r="D700" s="532"/>
      <c r="E700" s="532"/>
      <c r="F700" s="532"/>
      <c r="G700" s="532"/>
      <c r="H700" s="532"/>
      <c r="I700" s="532"/>
    </row>
    <row r="701" spans="1:9" ht="12.75">
      <c r="A701" s="532"/>
      <c r="B701" s="532"/>
      <c r="C701" s="532"/>
      <c r="D701" s="532"/>
      <c r="E701" s="532"/>
      <c r="F701" s="532"/>
      <c r="G701" s="532"/>
      <c r="H701" s="532"/>
      <c r="I701" s="532"/>
    </row>
    <row r="702" spans="1:9" ht="12.75">
      <c r="A702" s="532"/>
      <c r="B702" s="532"/>
      <c r="C702" s="532"/>
      <c r="D702" s="532"/>
      <c r="E702" s="532"/>
      <c r="F702" s="532"/>
      <c r="G702" s="532"/>
      <c r="H702" s="532"/>
      <c r="I702" s="532"/>
    </row>
    <row r="703" spans="1:9" ht="12.75">
      <c r="A703" s="532"/>
      <c r="B703" s="532"/>
      <c r="C703" s="532"/>
      <c r="D703" s="532"/>
      <c r="E703" s="532"/>
      <c r="F703" s="532"/>
      <c r="G703" s="532"/>
      <c r="H703" s="532"/>
      <c r="I703" s="532"/>
    </row>
    <row r="704" spans="1:9" ht="12.75">
      <c r="A704" s="532"/>
      <c r="B704" s="532"/>
      <c r="C704" s="532"/>
      <c r="D704" s="532"/>
      <c r="E704" s="532"/>
      <c r="F704" s="532"/>
      <c r="G704" s="532"/>
      <c r="H704" s="532"/>
      <c r="I704" s="532"/>
    </row>
    <row r="705" spans="1:9" ht="12.75">
      <c r="A705" s="532"/>
      <c r="B705" s="532"/>
      <c r="C705" s="532"/>
      <c r="D705" s="532"/>
      <c r="E705" s="532"/>
      <c r="F705" s="532"/>
      <c r="G705" s="532"/>
      <c r="H705" s="532"/>
      <c r="I705" s="532"/>
    </row>
    <row r="706" spans="1:9" ht="12.75">
      <c r="A706" s="532"/>
      <c r="B706" s="532"/>
      <c r="C706" s="532"/>
      <c r="D706" s="532"/>
      <c r="E706" s="532"/>
      <c r="F706" s="532"/>
      <c r="G706" s="532"/>
      <c r="H706" s="532"/>
      <c r="I706" s="532"/>
    </row>
    <row r="707" spans="1:9" ht="12.75">
      <c r="A707" s="532"/>
      <c r="B707" s="532"/>
      <c r="C707" s="532"/>
      <c r="D707" s="532"/>
      <c r="E707" s="532"/>
      <c r="F707" s="532"/>
      <c r="G707" s="532"/>
      <c r="H707" s="532"/>
      <c r="I707" s="532"/>
    </row>
    <row r="708" spans="1:9" ht="12.75">
      <c r="A708" s="532"/>
      <c r="B708" s="532"/>
      <c r="C708" s="532"/>
      <c r="D708" s="532"/>
      <c r="E708" s="532"/>
      <c r="F708" s="532"/>
      <c r="G708" s="532"/>
      <c r="H708" s="532"/>
      <c r="I708" s="532"/>
    </row>
    <row r="709" spans="1:9" ht="12.75">
      <c r="A709" s="532"/>
      <c r="B709" s="532"/>
      <c r="C709" s="532"/>
      <c r="D709" s="532"/>
      <c r="E709" s="532"/>
      <c r="F709" s="532"/>
      <c r="G709" s="532"/>
      <c r="H709" s="532"/>
      <c r="I709" s="532"/>
    </row>
    <row r="710" spans="1:9" ht="12.75">
      <c r="A710" s="532"/>
      <c r="B710" s="532"/>
      <c r="C710" s="532"/>
      <c r="D710" s="532"/>
      <c r="E710" s="532"/>
      <c r="F710" s="532"/>
      <c r="G710" s="532"/>
      <c r="H710" s="532"/>
      <c r="I710" s="532"/>
    </row>
    <row r="711" spans="1:9" ht="12.75">
      <c r="A711" s="532"/>
      <c r="B711" s="532"/>
      <c r="C711" s="532"/>
      <c r="D711" s="532"/>
      <c r="E711" s="532"/>
      <c r="F711" s="532"/>
      <c r="G711" s="532"/>
      <c r="H711" s="532"/>
      <c r="I711" s="532"/>
    </row>
    <row r="712" spans="1:9" ht="12.75">
      <c r="A712" s="532"/>
      <c r="B712" s="532"/>
      <c r="C712" s="532"/>
      <c r="D712" s="532"/>
      <c r="E712" s="532"/>
      <c r="F712" s="532"/>
      <c r="G712" s="532"/>
      <c r="H712" s="532"/>
      <c r="I712" s="532"/>
    </row>
    <row r="713" spans="1:9" ht="12.75">
      <c r="A713" s="532"/>
      <c r="B713" s="532"/>
      <c r="C713" s="532"/>
      <c r="D713" s="532"/>
      <c r="E713" s="532"/>
      <c r="F713" s="532"/>
      <c r="G713" s="532"/>
      <c r="H713" s="532"/>
      <c r="I713" s="532"/>
    </row>
    <row r="714" spans="1:9" ht="12.75">
      <c r="A714" s="532"/>
      <c r="B714" s="532"/>
      <c r="C714" s="532"/>
      <c r="D714" s="532"/>
      <c r="E714" s="532"/>
      <c r="F714" s="532"/>
      <c r="G714" s="532"/>
      <c r="H714" s="532"/>
      <c r="I714" s="532"/>
    </row>
    <row r="715" spans="1:9" ht="12.75">
      <c r="A715" s="532"/>
      <c r="B715" s="532"/>
      <c r="C715" s="532"/>
      <c r="D715" s="532"/>
      <c r="E715" s="532"/>
      <c r="F715" s="532"/>
      <c r="G715" s="532"/>
      <c r="H715" s="532"/>
      <c r="I715" s="532"/>
    </row>
    <row r="716" spans="1:9" ht="12.75">
      <c r="A716" s="532"/>
      <c r="B716" s="532"/>
      <c r="C716" s="532"/>
      <c r="D716" s="532"/>
      <c r="E716" s="532"/>
      <c r="F716" s="532"/>
      <c r="G716" s="532"/>
      <c r="H716" s="532"/>
      <c r="I716" s="532"/>
    </row>
    <row r="717" spans="1:9" ht="12.75">
      <c r="A717" s="532"/>
      <c r="B717" s="532"/>
      <c r="C717" s="532"/>
      <c r="D717" s="532"/>
      <c r="E717" s="532"/>
      <c r="F717" s="532"/>
      <c r="G717" s="532"/>
      <c r="H717" s="532"/>
      <c r="I717" s="532"/>
    </row>
    <row r="718" spans="1:9" ht="12.75">
      <c r="A718" s="532"/>
      <c r="B718" s="532"/>
      <c r="C718" s="532"/>
      <c r="D718" s="532"/>
      <c r="E718" s="532"/>
      <c r="F718" s="532"/>
      <c r="G718" s="532"/>
      <c r="H718" s="532"/>
      <c r="I718" s="532"/>
    </row>
    <row r="719" spans="1:9" ht="12.75">
      <c r="A719" s="532"/>
      <c r="B719" s="532"/>
      <c r="C719" s="532"/>
      <c r="D719" s="532"/>
      <c r="E719" s="532"/>
      <c r="F719" s="532"/>
      <c r="G719" s="532"/>
      <c r="H719" s="532"/>
      <c r="I719" s="532"/>
    </row>
    <row r="720" spans="1:9" ht="12.75">
      <c r="A720" s="532"/>
      <c r="B720" s="532"/>
      <c r="C720" s="532"/>
      <c r="D720" s="532"/>
      <c r="E720" s="532"/>
      <c r="F720" s="532"/>
      <c r="G720" s="532"/>
      <c r="H720" s="532"/>
      <c r="I720" s="532"/>
    </row>
    <row r="721" spans="1:9" ht="12.75">
      <c r="A721" s="532"/>
      <c r="B721" s="532"/>
      <c r="C721" s="532"/>
      <c r="D721" s="532"/>
      <c r="E721" s="532"/>
      <c r="F721" s="532"/>
      <c r="G721" s="532"/>
      <c r="H721" s="532"/>
      <c r="I721" s="532"/>
    </row>
    <row r="722" spans="1:9" ht="12.75">
      <c r="A722" s="532"/>
      <c r="B722" s="532"/>
      <c r="C722" s="532"/>
      <c r="D722" s="532"/>
      <c r="E722" s="532"/>
      <c r="F722" s="532"/>
      <c r="G722" s="532"/>
      <c r="H722" s="532"/>
      <c r="I722" s="532"/>
    </row>
    <row r="723" spans="1:9" ht="12.75">
      <c r="A723" s="532"/>
      <c r="B723" s="532"/>
      <c r="C723" s="532"/>
      <c r="D723" s="532"/>
      <c r="E723" s="532"/>
      <c r="F723" s="532"/>
      <c r="G723" s="532"/>
      <c r="H723" s="532"/>
      <c r="I723" s="532"/>
    </row>
    <row r="724" spans="1:9" ht="12.75">
      <c r="A724" s="532"/>
      <c r="B724" s="532"/>
      <c r="C724" s="532"/>
      <c r="D724" s="532"/>
      <c r="E724" s="532"/>
      <c r="F724" s="532"/>
      <c r="G724" s="532"/>
      <c r="H724" s="532"/>
      <c r="I724" s="532"/>
    </row>
    <row r="725" spans="1:9" ht="12.75">
      <c r="A725" s="532"/>
      <c r="B725" s="532"/>
      <c r="C725" s="532"/>
      <c r="D725" s="532"/>
      <c r="E725" s="532"/>
      <c r="F725" s="532"/>
      <c r="G725" s="532"/>
      <c r="H725" s="532"/>
      <c r="I725" s="532"/>
    </row>
    <row r="726" spans="1:9" ht="12.75">
      <c r="A726" s="532"/>
      <c r="B726" s="532"/>
      <c r="C726" s="532"/>
      <c r="D726" s="532"/>
      <c r="E726" s="532"/>
      <c r="F726" s="532"/>
      <c r="G726" s="532"/>
      <c r="H726" s="532"/>
      <c r="I726" s="532"/>
    </row>
    <row r="727" spans="1:9" ht="12.75">
      <c r="A727" s="532"/>
      <c r="B727" s="532"/>
      <c r="C727" s="532"/>
      <c r="D727" s="532"/>
      <c r="E727" s="532"/>
      <c r="F727" s="532"/>
      <c r="G727" s="532"/>
      <c r="H727" s="532"/>
      <c r="I727" s="532"/>
    </row>
    <row r="728" spans="1:9" ht="12.75">
      <c r="A728" s="532"/>
      <c r="B728" s="532"/>
      <c r="C728" s="532"/>
      <c r="D728" s="532"/>
      <c r="E728" s="532"/>
      <c r="F728" s="532"/>
      <c r="G728" s="532"/>
      <c r="H728" s="532"/>
      <c r="I728" s="532"/>
    </row>
    <row r="729" spans="1:9" ht="12.75">
      <c r="A729" s="532"/>
      <c r="B729" s="532"/>
      <c r="C729" s="532"/>
      <c r="D729" s="532"/>
      <c r="E729" s="532"/>
      <c r="F729" s="532"/>
      <c r="G729" s="532"/>
      <c r="H729" s="532"/>
      <c r="I729" s="532"/>
    </row>
    <row r="730" spans="1:9" ht="12.75">
      <c r="A730" s="532"/>
      <c r="B730" s="532"/>
      <c r="C730" s="532"/>
      <c r="D730" s="532"/>
      <c r="E730" s="532"/>
      <c r="F730" s="532"/>
      <c r="G730" s="532"/>
      <c r="H730" s="532"/>
      <c r="I730" s="532"/>
    </row>
    <row r="731" spans="1:9" ht="12.75">
      <c r="A731" s="532"/>
      <c r="B731" s="532"/>
      <c r="C731" s="532"/>
      <c r="D731" s="532"/>
      <c r="E731" s="532"/>
      <c r="F731" s="532"/>
      <c r="G731" s="532"/>
      <c r="H731" s="532"/>
      <c r="I731" s="532"/>
    </row>
    <row r="732" spans="1:9" ht="12.75">
      <c r="A732" s="532"/>
      <c r="B732" s="532"/>
      <c r="C732" s="532"/>
      <c r="D732" s="532"/>
      <c r="E732" s="532"/>
      <c r="F732" s="532"/>
      <c r="G732" s="532"/>
      <c r="H732" s="532"/>
      <c r="I732" s="532"/>
    </row>
    <row r="733" spans="1:9" ht="12.75">
      <c r="A733" s="532"/>
      <c r="B733" s="532"/>
      <c r="C733" s="532"/>
      <c r="D733" s="532"/>
      <c r="E733" s="532"/>
      <c r="F733" s="532"/>
      <c r="G733" s="532"/>
      <c r="H733" s="532"/>
      <c r="I733" s="532"/>
    </row>
    <row r="734" spans="1:9" ht="12.75">
      <c r="A734" s="532"/>
      <c r="B734" s="532"/>
      <c r="C734" s="532"/>
      <c r="D734" s="532"/>
      <c r="E734" s="532"/>
      <c r="F734" s="532"/>
      <c r="G734" s="532"/>
      <c r="H734" s="532"/>
      <c r="I734" s="532"/>
    </row>
    <row r="735" spans="1:9" ht="12.75">
      <c r="A735" s="532"/>
      <c r="B735" s="532"/>
      <c r="C735" s="532"/>
      <c r="D735" s="532"/>
      <c r="E735" s="532"/>
      <c r="F735" s="532"/>
      <c r="G735" s="532"/>
      <c r="H735" s="532"/>
      <c r="I735" s="532"/>
    </row>
    <row r="736" spans="1:9" ht="12.75">
      <c r="A736" s="532"/>
      <c r="B736" s="532"/>
      <c r="C736" s="532"/>
      <c r="D736" s="532"/>
      <c r="E736" s="532"/>
      <c r="F736" s="532"/>
      <c r="G736" s="532"/>
      <c r="H736" s="532"/>
      <c r="I736" s="532"/>
    </row>
    <row r="737" spans="1:9" ht="12.75">
      <c r="A737" s="532"/>
      <c r="B737" s="532"/>
      <c r="C737" s="532"/>
      <c r="D737" s="532"/>
      <c r="E737" s="532"/>
      <c r="F737" s="532"/>
      <c r="G737" s="532"/>
      <c r="H737" s="532"/>
      <c r="I737" s="532"/>
    </row>
    <row r="738" spans="1:9" ht="12.75">
      <c r="A738" s="532"/>
      <c r="B738" s="532"/>
      <c r="C738" s="532"/>
      <c r="D738" s="532"/>
      <c r="E738" s="532"/>
      <c r="F738" s="532"/>
      <c r="G738" s="532"/>
      <c r="H738" s="532"/>
      <c r="I738" s="532"/>
    </row>
    <row r="739" spans="1:9" ht="12.75">
      <c r="A739" s="532"/>
      <c r="B739" s="532"/>
      <c r="C739" s="532"/>
      <c r="D739" s="532"/>
      <c r="E739" s="532"/>
      <c r="F739" s="532"/>
      <c r="G739" s="532"/>
      <c r="H739" s="532"/>
      <c r="I739" s="532"/>
    </row>
    <row r="740" spans="1:9" ht="12.75">
      <c r="A740" s="532"/>
      <c r="B740" s="532"/>
      <c r="C740" s="532"/>
      <c r="D740" s="532"/>
      <c r="E740" s="532"/>
      <c r="F740" s="532"/>
      <c r="G740" s="532"/>
      <c r="H740" s="532"/>
      <c r="I740" s="532"/>
    </row>
    <row r="741" spans="1:9" ht="12.75">
      <c r="A741" s="532"/>
      <c r="B741" s="532"/>
      <c r="C741" s="532"/>
      <c r="D741" s="532"/>
      <c r="E741" s="532"/>
      <c r="F741" s="532"/>
      <c r="G741" s="532"/>
      <c r="H741" s="532"/>
      <c r="I741" s="532"/>
    </row>
    <row r="742" spans="1:9" ht="12.75">
      <c r="A742" s="532"/>
      <c r="B742" s="532"/>
      <c r="C742" s="532"/>
      <c r="D742" s="532"/>
      <c r="E742" s="532"/>
      <c r="F742" s="532"/>
      <c r="G742" s="532"/>
      <c r="H742" s="532"/>
      <c r="I742" s="532"/>
    </row>
    <row r="743" spans="1:9" ht="12.75">
      <c r="A743" s="532"/>
      <c r="B743" s="532"/>
      <c r="C743" s="532"/>
      <c r="D743" s="532"/>
      <c r="E743" s="532"/>
      <c r="F743" s="532"/>
      <c r="G743" s="532"/>
      <c r="H743" s="532"/>
      <c r="I743" s="532"/>
    </row>
    <row r="744" spans="1:9" ht="12.75">
      <c r="A744" s="532"/>
      <c r="B744" s="532"/>
      <c r="C744" s="532"/>
      <c r="D744" s="532"/>
      <c r="E744" s="532"/>
      <c r="F744" s="532"/>
      <c r="G744" s="532"/>
      <c r="H744" s="532"/>
      <c r="I744" s="532"/>
    </row>
    <row r="745" spans="1:9" ht="12.75">
      <c r="A745" s="532"/>
      <c r="B745" s="532"/>
      <c r="C745" s="532"/>
      <c r="D745" s="532"/>
      <c r="E745" s="532"/>
      <c r="F745" s="532"/>
      <c r="G745" s="532"/>
      <c r="H745" s="532"/>
      <c r="I745" s="532"/>
    </row>
    <row r="746" spans="1:9" ht="12.75">
      <c r="A746" s="532"/>
      <c r="B746" s="532"/>
      <c r="C746" s="532"/>
      <c r="D746" s="532"/>
      <c r="E746" s="532"/>
      <c r="F746" s="532"/>
      <c r="G746" s="532"/>
      <c r="H746" s="532"/>
      <c r="I746" s="532"/>
    </row>
    <row r="747" spans="1:9" ht="12.75">
      <c r="A747" s="532"/>
      <c r="B747" s="532"/>
      <c r="C747" s="532"/>
      <c r="D747" s="532"/>
      <c r="E747" s="532"/>
      <c r="F747" s="532"/>
      <c r="G747" s="532"/>
      <c r="H747" s="532"/>
      <c r="I747" s="532"/>
    </row>
    <row r="748" spans="1:9" ht="12.75">
      <c r="A748" s="532"/>
      <c r="B748" s="532"/>
      <c r="C748" s="532"/>
      <c r="D748" s="532"/>
      <c r="E748" s="532"/>
      <c r="F748" s="532"/>
      <c r="G748" s="532"/>
      <c r="H748" s="532"/>
      <c r="I748" s="532"/>
    </row>
    <row r="749" spans="1:9" ht="12.75">
      <c r="A749" s="532"/>
      <c r="B749" s="532"/>
      <c r="C749" s="532"/>
      <c r="D749" s="532"/>
      <c r="E749" s="532"/>
      <c r="F749" s="532"/>
      <c r="G749" s="532"/>
      <c r="H749" s="532"/>
      <c r="I749" s="532"/>
    </row>
    <row r="750" spans="1:9" ht="12.75">
      <c r="A750" s="532"/>
      <c r="B750" s="532"/>
      <c r="C750" s="532"/>
      <c r="D750" s="532"/>
      <c r="E750" s="532"/>
      <c r="F750" s="532"/>
      <c r="G750" s="532"/>
      <c r="H750" s="532"/>
      <c r="I750" s="532"/>
    </row>
    <row r="751" spans="1:9" ht="12.75">
      <c r="A751" s="532"/>
      <c r="B751" s="532"/>
      <c r="C751" s="532"/>
      <c r="D751" s="532"/>
      <c r="E751" s="532"/>
      <c r="F751" s="532"/>
      <c r="G751" s="532"/>
      <c r="H751" s="532"/>
      <c r="I751" s="532"/>
    </row>
    <row r="752" spans="1:9" ht="12.75">
      <c r="A752" s="532"/>
      <c r="B752" s="532"/>
      <c r="C752" s="532"/>
      <c r="D752" s="532"/>
      <c r="E752" s="532"/>
      <c r="F752" s="532"/>
      <c r="G752" s="532"/>
      <c r="H752" s="532"/>
      <c r="I752" s="532"/>
    </row>
    <row r="753" spans="1:9" ht="12.75">
      <c r="A753" s="532"/>
      <c r="B753" s="532"/>
      <c r="C753" s="532"/>
      <c r="D753" s="532"/>
      <c r="E753" s="532"/>
      <c r="F753" s="532"/>
      <c r="G753" s="532"/>
      <c r="H753" s="532"/>
      <c r="I753" s="532"/>
    </row>
    <row r="754" spans="1:9" ht="12.75">
      <c r="A754" s="532"/>
      <c r="B754" s="532"/>
      <c r="C754" s="532"/>
      <c r="D754" s="532"/>
      <c r="E754" s="532"/>
      <c r="F754" s="532"/>
      <c r="G754" s="532"/>
      <c r="H754" s="532"/>
      <c r="I754" s="532"/>
    </row>
    <row r="755" spans="1:9" ht="12.75">
      <c r="A755" s="532"/>
      <c r="B755" s="532"/>
      <c r="C755" s="532"/>
      <c r="D755" s="532"/>
      <c r="E755" s="532"/>
      <c r="F755" s="532"/>
      <c r="G755" s="532"/>
      <c r="H755" s="532"/>
      <c r="I755" s="532"/>
    </row>
    <row r="756" spans="1:9" ht="12.75">
      <c r="A756" s="532"/>
      <c r="B756" s="532"/>
      <c r="C756" s="532"/>
      <c r="D756" s="532"/>
      <c r="E756" s="532"/>
      <c r="F756" s="532"/>
      <c r="G756" s="532"/>
      <c r="H756" s="532"/>
      <c r="I756" s="532"/>
    </row>
    <row r="757" spans="1:9" ht="12.75">
      <c r="A757" s="532"/>
      <c r="B757" s="532"/>
      <c r="C757" s="532"/>
      <c r="D757" s="532"/>
      <c r="E757" s="532"/>
      <c r="F757" s="532"/>
      <c r="G757" s="532"/>
      <c r="H757" s="532"/>
      <c r="I757" s="532"/>
    </row>
    <row r="758" spans="1:9" ht="12.75">
      <c r="A758" s="532"/>
      <c r="B758" s="532"/>
      <c r="C758" s="532"/>
      <c r="D758" s="532"/>
      <c r="E758" s="532"/>
      <c r="F758" s="532"/>
      <c r="G758" s="532"/>
      <c r="H758" s="532"/>
      <c r="I758" s="532"/>
    </row>
    <row r="759" spans="1:9" ht="12.75">
      <c r="A759" s="532"/>
      <c r="B759" s="532"/>
      <c r="C759" s="532"/>
      <c r="D759" s="532"/>
      <c r="E759" s="532"/>
      <c r="F759" s="532"/>
      <c r="G759" s="532"/>
      <c r="H759" s="532"/>
      <c r="I759" s="532"/>
    </row>
    <row r="760" spans="1:9" ht="12.75">
      <c r="A760" s="532"/>
      <c r="B760" s="532"/>
      <c r="C760" s="532"/>
      <c r="D760" s="532"/>
      <c r="E760" s="532"/>
      <c r="F760" s="532"/>
      <c r="G760" s="532"/>
      <c r="H760" s="532"/>
      <c r="I760" s="532"/>
    </row>
    <row r="761" spans="1:9" ht="12.75">
      <c r="A761" s="532"/>
      <c r="B761" s="532"/>
      <c r="C761" s="532"/>
      <c r="D761" s="532"/>
      <c r="E761" s="532"/>
      <c r="F761" s="532"/>
      <c r="G761" s="532"/>
      <c r="H761" s="532"/>
      <c r="I761" s="532"/>
    </row>
    <row r="762" spans="1:9" ht="12.75">
      <c r="A762" s="532"/>
      <c r="B762" s="532"/>
      <c r="C762" s="532"/>
      <c r="D762" s="532"/>
      <c r="E762" s="532"/>
      <c r="F762" s="532"/>
      <c r="G762" s="532"/>
      <c r="H762" s="532"/>
      <c r="I762" s="532"/>
    </row>
    <row r="763" spans="1:9" ht="12.75">
      <c r="A763" s="532"/>
      <c r="B763" s="532"/>
      <c r="C763" s="532"/>
      <c r="D763" s="532"/>
      <c r="E763" s="532"/>
      <c r="F763" s="532"/>
      <c r="G763" s="532"/>
      <c r="H763" s="532"/>
      <c r="I763" s="532"/>
    </row>
    <row r="764" spans="1:9" ht="12.75">
      <c r="A764" s="532"/>
      <c r="B764" s="532"/>
      <c r="C764" s="532"/>
      <c r="D764" s="532"/>
      <c r="E764" s="532"/>
      <c r="F764" s="532"/>
      <c r="G764" s="532"/>
      <c r="H764" s="532"/>
      <c r="I764" s="532"/>
    </row>
    <row r="765" spans="1:9" ht="12.75">
      <c r="A765" s="532"/>
      <c r="B765" s="532"/>
      <c r="C765" s="532"/>
      <c r="D765" s="532"/>
      <c r="E765" s="532"/>
      <c r="F765" s="532"/>
      <c r="G765" s="532"/>
      <c r="H765" s="532"/>
      <c r="I765" s="532"/>
    </row>
    <row r="766" spans="1:9" ht="12.75">
      <c r="A766" s="532"/>
      <c r="B766" s="532"/>
      <c r="C766" s="532"/>
      <c r="D766" s="532"/>
      <c r="E766" s="532"/>
      <c r="F766" s="532"/>
      <c r="G766" s="532"/>
      <c r="H766" s="532"/>
      <c r="I766" s="532"/>
    </row>
    <row r="767" spans="1:9" ht="12.75">
      <c r="A767" s="532"/>
      <c r="B767" s="532"/>
      <c r="C767" s="532"/>
      <c r="D767" s="532"/>
      <c r="E767" s="532"/>
      <c r="F767" s="532"/>
      <c r="G767" s="532"/>
      <c r="H767" s="532"/>
      <c r="I767" s="532"/>
    </row>
    <row r="768" spans="1:9" ht="12.75">
      <c r="A768" s="532"/>
      <c r="B768" s="532"/>
      <c r="C768" s="532"/>
      <c r="D768" s="532"/>
      <c r="E768" s="532"/>
      <c r="F768" s="532"/>
      <c r="G768" s="532"/>
      <c r="H768" s="532"/>
      <c r="I768" s="532"/>
    </row>
    <row r="769" spans="1:9" ht="12.75">
      <c r="A769" s="532"/>
      <c r="B769" s="532"/>
      <c r="C769" s="532"/>
      <c r="D769" s="532"/>
      <c r="E769" s="532"/>
      <c r="F769" s="532"/>
      <c r="G769" s="532"/>
      <c r="H769" s="532"/>
      <c r="I769" s="532"/>
    </row>
    <row r="770" spans="1:9" ht="12.75">
      <c r="A770" s="532"/>
      <c r="B770" s="532"/>
      <c r="C770" s="532"/>
      <c r="D770" s="532"/>
      <c r="E770" s="532"/>
      <c r="F770" s="532"/>
      <c r="G770" s="532"/>
      <c r="H770" s="532"/>
      <c r="I770" s="532"/>
    </row>
    <row r="771" spans="1:9" ht="12.75">
      <c r="A771" s="532"/>
      <c r="B771" s="532"/>
      <c r="C771" s="532"/>
      <c r="D771" s="532"/>
      <c r="E771" s="532"/>
      <c r="F771" s="532"/>
      <c r="G771" s="532"/>
      <c r="H771" s="532"/>
      <c r="I771" s="532"/>
    </row>
    <row r="772" spans="1:9" ht="12.75">
      <c r="A772" s="532"/>
      <c r="B772" s="532"/>
      <c r="C772" s="532"/>
      <c r="D772" s="532"/>
      <c r="E772" s="532"/>
      <c r="F772" s="532"/>
      <c r="G772" s="532"/>
      <c r="H772" s="532"/>
      <c r="I772" s="532"/>
    </row>
    <row r="773" spans="1:9" ht="12.75">
      <c r="A773" s="532"/>
      <c r="B773" s="532"/>
      <c r="C773" s="532"/>
      <c r="D773" s="532"/>
      <c r="E773" s="532"/>
      <c r="F773" s="532"/>
      <c r="G773" s="532"/>
      <c r="H773" s="532"/>
      <c r="I773" s="532"/>
    </row>
    <row r="774" spans="1:9" ht="12.75">
      <c r="A774" s="532"/>
      <c r="B774" s="532"/>
      <c r="C774" s="532"/>
      <c r="D774" s="532"/>
      <c r="E774" s="532"/>
      <c r="F774" s="532"/>
      <c r="G774" s="532"/>
      <c r="H774" s="532"/>
      <c r="I774" s="532"/>
    </row>
    <row r="775" spans="1:9" ht="12.75">
      <c r="A775" s="532"/>
      <c r="B775" s="532"/>
      <c r="C775" s="532"/>
      <c r="D775" s="532"/>
      <c r="E775" s="532"/>
      <c r="F775" s="532"/>
      <c r="G775" s="532"/>
      <c r="H775" s="532"/>
      <c r="I775" s="532"/>
    </row>
    <row r="776" spans="1:9" ht="12.75">
      <c r="A776" s="532"/>
      <c r="B776" s="532"/>
      <c r="C776" s="532"/>
      <c r="D776" s="532"/>
      <c r="E776" s="532"/>
      <c r="F776" s="532"/>
      <c r="G776" s="532"/>
      <c r="H776" s="532"/>
      <c r="I776" s="532"/>
    </row>
    <row r="777" spans="1:9" ht="12.75">
      <c r="A777" s="532"/>
      <c r="B777" s="532"/>
      <c r="C777" s="532"/>
      <c r="D777" s="532"/>
      <c r="E777" s="532"/>
      <c r="F777" s="532"/>
      <c r="G777" s="532"/>
      <c r="H777" s="532"/>
      <c r="I777" s="532"/>
    </row>
    <row r="778" spans="1:9" ht="12.75">
      <c r="A778" s="532"/>
      <c r="B778" s="532"/>
      <c r="C778" s="532"/>
      <c r="D778" s="532"/>
      <c r="E778" s="532"/>
      <c r="F778" s="532"/>
      <c r="G778" s="532"/>
      <c r="H778" s="532"/>
      <c r="I778" s="532"/>
    </row>
    <row r="779" spans="1:9" ht="12.75">
      <c r="A779" s="532"/>
      <c r="B779" s="532"/>
      <c r="C779" s="532"/>
      <c r="D779" s="532"/>
      <c r="E779" s="532"/>
      <c r="F779" s="532"/>
      <c r="G779" s="532"/>
      <c r="H779" s="532"/>
      <c r="I779" s="532"/>
    </row>
    <row r="780" spans="1:9" ht="12.75">
      <c r="A780" s="532"/>
      <c r="B780" s="532"/>
      <c r="C780" s="532"/>
      <c r="D780" s="532"/>
      <c r="E780" s="532"/>
      <c r="F780" s="532"/>
      <c r="G780" s="532"/>
      <c r="H780" s="532"/>
      <c r="I780" s="532"/>
    </row>
    <row r="781" spans="1:9" ht="12.75">
      <c r="A781" s="532"/>
      <c r="B781" s="532"/>
      <c r="C781" s="532"/>
      <c r="D781" s="532"/>
      <c r="E781" s="532"/>
      <c r="F781" s="532"/>
      <c r="G781" s="532"/>
      <c r="H781" s="532"/>
      <c r="I781" s="532"/>
    </row>
    <row r="782" spans="1:9" ht="12.75">
      <c r="A782" s="532"/>
      <c r="B782" s="532"/>
      <c r="C782" s="532"/>
      <c r="D782" s="532"/>
      <c r="E782" s="532"/>
      <c r="F782" s="532"/>
      <c r="G782" s="532"/>
      <c r="H782" s="532"/>
      <c r="I782" s="532"/>
    </row>
    <row r="783" spans="1:9" ht="12.75">
      <c r="A783" s="532"/>
      <c r="B783" s="532"/>
      <c r="C783" s="532"/>
      <c r="D783" s="532"/>
      <c r="E783" s="532"/>
      <c r="F783" s="532"/>
      <c r="G783" s="532"/>
      <c r="H783" s="532"/>
      <c r="I783" s="532"/>
    </row>
    <row r="784" spans="1:9" ht="12.75">
      <c r="A784" s="532"/>
      <c r="B784" s="532"/>
      <c r="C784" s="532"/>
      <c r="D784" s="532"/>
      <c r="E784" s="532"/>
      <c r="F784" s="532"/>
      <c r="G784" s="532"/>
      <c r="H784" s="532"/>
      <c r="I784" s="532"/>
    </row>
    <row r="785" spans="1:9" ht="12.75">
      <c r="A785" s="532"/>
      <c r="B785" s="532"/>
      <c r="C785" s="532"/>
      <c r="D785" s="532"/>
      <c r="E785" s="532"/>
      <c r="F785" s="532"/>
      <c r="G785" s="532"/>
      <c r="H785" s="532"/>
      <c r="I785" s="532"/>
    </row>
    <row r="786" spans="1:9" ht="12.75">
      <c r="A786" s="532"/>
      <c r="B786" s="532"/>
      <c r="C786" s="532"/>
      <c r="D786" s="532"/>
      <c r="E786" s="532"/>
      <c r="F786" s="532"/>
      <c r="G786" s="532"/>
      <c r="H786" s="532"/>
      <c r="I786" s="532"/>
    </row>
    <row r="787" spans="1:9" ht="12.75">
      <c r="A787" s="532"/>
      <c r="B787" s="532"/>
      <c r="C787" s="532"/>
      <c r="D787" s="532"/>
      <c r="E787" s="532"/>
      <c r="F787" s="532"/>
      <c r="G787" s="532"/>
      <c r="H787" s="532"/>
      <c r="I787" s="532"/>
    </row>
    <row r="788" spans="1:9" ht="12.75">
      <c r="A788" s="532"/>
      <c r="B788" s="532"/>
      <c r="C788" s="532"/>
      <c r="D788" s="532"/>
      <c r="E788" s="532"/>
      <c r="F788" s="532"/>
      <c r="G788" s="532"/>
      <c r="H788" s="532"/>
      <c r="I788" s="532"/>
    </row>
    <row r="789" spans="1:9" ht="12.75">
      <c r="A789" s="532"/>
      <c r="B789" s="532"/>
      <c r="C789" s="532"/>
      <c r="D789" s="532"/>
      <c r="E789" s="532"/>
      <c r="F789" s="532"/>
      <c r="G789" s="532"/>
      <c r="H789" s="532"/>
      <c r="I789" s="532"/>
    </row>
    <row r="790" spans="1:9" ht="12.75">
      <c r="A790" s="532"/>
      <c r="B790" s="532"/>
      <c r="C790" s="532"/>
      <c r="D790" s="532"/>
      <c r="E790" s="532"/>
      <c r="F790" s="532"/>
      <c r="G790" s="532"/>
      <c r="H790" s="532"/>
      <c r="I790" s="532"/>
    </row>
    <row r="791" spans="1:9" ht="12.75">
      <c r="A791" s="532"/>
      <c r="B791" s="532"/>
      <c r="C791" s="532"/>
      <c r="D791" s="532"/>
      <c r="E791" s="532"/>
      <c r="F791" s="532"/>
      <c r="G791" s="532"/>
      <c r="H791" s="532"/>
      <c r="I791" s="532"/>
    </row>
    <row r="792" spans="1:9" ht="12.75">
      <c r="A792" s="532"/>
      <c r="B792" s="532"/>
      <c r="C792" s="532"/>
      <c r="D792" s="532"/>
      <c r="E792" s="532"/>
      <c r="F792" s="532"/>
      <c r="G792" s="532"/>
      <c r="H792" s="532"/>
      <c r="I792" s="532"/>
    </row>
    <row r="793" spans="1:9" ht="12.75">
      <c r="A793" s="532"/>
      <c r="B793" s="532"/>
      <c r="C793" s="532"/>
      <c r="D793" s="532"/>
      <c r="E793" s="532"/>
      <c r="F793" s="532"/>
      <c r="G793" s="532"/>
      <c r="H793" s="532"/>
      <c r="I793" s="532"/>
    </row>
    <row r="794" spans="1:9" ht="12.75">
      <c r="A794" s="532"/>
      <c r="B794" s="532"/>
      <c r="C794" s="532"/>
      <c r="D794" s="532"/>
      <c r="E794" s="532"/>
      <c r="F794" s="532"/>
      <c r="G794" s="532"/>
      <c r="H794" s="532"/>
      <c r="I794" s="532"/>
    </row>
    <row r="795" spans="1:9" ht="12.75">
      <c r="A795" s="532"/>
      <c r="B795" s="532"/>
      <c r="C795" s="532"/>
      <c r="D795" s="532"/>
      <c r="E795" s="532"/>
      <c r="F795" s="532"/>
      <c r="G795" s="532"/>
      <c r="H795" s="532"/>
      <c r="I795" s="532"/>
    </row>
    <row r="796" spans="1:9" ht="12.75">
      <c r="A796" s="532"/>
      <c r="B796" s="532"/>
      <c r="C796" s="532"/>
      <c r="D796" s="532"/>
      <c r="E796" s="532"/>
      <c r="F796" s="532"/>
      <c r="G796" s="532"/>
      <c r="H796" s="532"/>
      <c r="I796" s="532"/>
    </row>
    <row r="797" spans="1:9" ht="12.75">
      <c r="A797" s="532"/>
      <c r="B797" s="532"/>
      <c r="C797" s="532"/>
      <c r="D797" s="532"/>
      <c r="E797" s="532"/>
      <c r="F797" s="532"/>
      <c r="G797" s="532"/>
      <c r="H797" s="532"/>
      <c r="I797" s="532"/>
    </row>
    <row r="798" spans="1:9" ht="12.75">
      <c r="A798" s="532"/>
      <c r="B798" s="532"/>
      <c r="C798" s="532"/>
      <c r="D798" s="532"/>
      <c r="E798" s="532"/>
      <c r="F798" s="532"/>
      <c r="G798" s="532"/>
      <c r="H798" s="532"/>
      <c r="I798" s="532"/>
    </row>
    <row r="799" spans="1:9" ht="12.75">
      <c r="A799" s="532"/>
      <c r="B799" s="532"/>
      <c r="C799" s="532"/>
      <c r="D799" s="532"/>
      <c r="E799" s="532"/>
      <c r="F799" s="532"/>
      <c r="G799" s="532"/>
      <c r="H799" s="532"/>
      <c r="I799" s="532"/>
    </row>
    <row r="800" spans="1:9" ht="12.75">
      <c r="A800" s="532"/>
      <c r="B800" s="532"/>
      <c r="C800" s="532"/>
      <c r="D800" s="532"/>
      <c r="E800" s="532"/>
      <c r="F800" s="532"/>
      <c r="G800" s="532"/>
      <c r="H800" s="532"/>
      <c r="I800" s="532"/>
    </row>
    <row r="801" spans="1:9" ht="12.75">
      <c r="A801" s="532"/>
      <c r="B801" s="532"/>
      <c r="C801" s="532"/>
      <c r="D801" s="532"/>
      <c r="E801" s="532"/>
      <c r="F801" s="532"/>
      <c r="G801" s="532"/>
      <c r="H801" s="532"/>
      <c r="I801" s="532"/>
    </row>
    <row r="802" spans="1:9" ht="12.75">
      <c r="A802" s="532"/>
      <c r="B802" s="532"/>
      <c r="C802" s="532"/>
      <c r="D802" s="532"/>
      <c r="E802" s="532"/>
      <c r="F802" s="532"/>
      <c r="G802" s="532"/>
      <c r="H802" s="532"/>
      <c r="I802" s="532"/>
    </row>
    <row r="803" spans="1:9" ht="12.75">
      <c r="A803" s="532"/>
      <c r="B803" s="532"/>
      <c r="C803" s="532"/>
      <c r="D803" s="532"/>
      <c r="E803" s="532"/>
      <c r="F803" s="532"/>
      <c r="G803" s="532"/>
      <c r="H803" s="532"/>
      <c r="I803" s="532"/>
    </row>
    <row r="804" spans="1:9" ht="12.75">
      <c r="A804" s="532"/>
      <c r="B804" s="532"/>
      <c r="C804" s="532"/>
      <c r="D804" s="532"/>
      <c r="E804" s="532"/>
      <c r="F804" s="532"/>
      <c r="G804" s="532"/>
      <c r="H804" s="532"/>
      <c r="I804" s="532"/>
    </row>
    <row r="805" spans="1:9" ht="12.75">
      <c r="A805" s="532"/>
      <c r="B805" s="532"/>
      <c r="C805" s="532"/>
      <c r="D805" s="532"/>
      <c r="E805" s="532"/>
      <c r="F805" s="532"/>
      <c r="G805" s="532"/>
      <c r="H805" s="532"/>
      <c r="I805" s="532"/>
    </row>
    <row r="806" spans="1:9" ht="12.75">
      <c r="A806" s="532"/>
      <c r="B806" s="532"/>
      <c r="C806" s="532"/>
      <c r="D806" s="532"/>
      <c r="E806" s="532"/>
      <c r="F806" s="532"/>
      <c r="G806" s="532"/>
      <c r="H806" s="532"/>
      <c r="I806" s="532"/>
    </row>
    <row r="807" spans="1:9" ht="12.75">
      <c r="A807" s="532"/>
      <c r="B807" s="532"/>
      <c r="C807" s="532"/>
      <c r="D807" s="532"/>
      <c r="E807" s="532"/>
      <c r="F807" s="532"/>
      <c r="G807" s="532"/>
      <c r="H807" s="532"/>
      <c r="I807" s="532"/>
    </row>
    <row r="808" spans="1:9" ht="12.75">
      <c r="A808" s="532"/>
      <c r="B808" s="532"/>
      <c r="C808" s="532"/>
      <c r="D808" s="532"/>
      <c r="E808" s="532"/>
      <c r="F808" s="532"/>
      <c r="G808" s="532"/>
      <c r="H808" s="532"/>
      <c r="I808" s="532"/>
    </row>
    <row r="809" spans="1:9" ht="12.75">
      <c r="A809" s="532"/>
      <c r="B809" s="532"/>
      <c r="C809" s="532"/>
      <c r="D809" s="532"/>
      <c r="E809" s="532"/>
      <c r="F809" s="532"/>
      <c r="G809" s="532"/>
      <c r="H809" s="532"/>
      <c r="I809" s="532"/>
    </row>
    <row r="810" spans="1:9" ht="12.75">
      <c r="A810" s="532"/>
      <c r="B810" s="532"/>
      <c r="C810" s="532"/>
      <c r="D810" s="532"/>
      <c r="E810" s="532"/>
      <c r="F810" s="532"/>
      <c r="G810" s="532"/>
      <c r="H810" s="532"/>
      <c r="I810" s="532"/>
    </row>
    <row r="811" spans="1:9" ht="12.75">
      <c r="A811" s="532"/>
      <c r="B811" s="532"/>
      <c r="C811" s="532"/>
      <c r="D811" s="532"/>
      <c r="E811" s="532"/>
      <c r="F811" s="532"/>
      <c r="G811" s="532"/>
      <c r="H811" s="532"/>
      <c r="I811" s="532"/>
    </row>
    <row r="812" spans="1:9" ht="12.75">
      <c r="A812" s="532"/>
      <c r="B812" s="532"/>
      <c r="C812" s="532"/>
      <c r="D812" s="532"/>
      <c r="E812" s="532"/>
      <c r="F812" s="532"/>
      <c r="G812" s="532"/>
      <c r="H812" s="532"/>
      <c r="I812" s="532"/>
    </row>
    <row r="813" spans="1:9" ht="12.75">
      <c r="A813" s="532"/>
      <c r="B813" s="532"/>
      <c r="C813" s="532"/>
      <c r="D813" s="532"/>
      <c r="E813" s="532"/>
      <c r="F813" s="532"/>
      <c r="G813" s="532"/>
      <c r="H813" s="532"/>
      <c r="I813" s="532"/>
    </row>
    <row r="814" spans="1:9" ht="12.75">
      <c r="A814" s="532"/>
      <c r="B814" s="532"/>
      <c r="C814" s="532"/>
      <c r="D814" s="532"/>
      <c r="E814" s="532"/>
      <c r="F814" s="532"/>
      <c r="G814" s="532"/>
      <c r="H814" s="532"/>
      <c r="I814" s="532"/>
    </row>
    <row r="815" spans="1:9" ht="12.75">
      <c r="A815" s="532"/>
      <c r="B815" s="532"/>
      <c r="C815" s="532"/>
      <c r="D815" s="532"/>
      <c r="E815" s="532"/>
      <c r="F815" s="532"/>
      <c r="G815" s="532"/>
      <c r="H815" s="532"/>
      <c r="I815" s="532"/>
    </row>
    <row r="816" spans="1:9" ht="12.75">
      <c r="A816" s="532"/>
      <c r="B816" s="532"/>
      <c r="C816" s="532"/>
      <c r="D816" s="532"/>
      <c r="E816" s="532"/>
      <c r="F816" s="532"/>
      <c r="G816" s="532"/>
      <c r="H816" s="532"/>
      <c r="I816" s="532"/>
    </row>
    <row r="817" spans="1:9" ht="12.75">
      <c r="A817" s="532"/>
      <c r="B817" s="532"/>
      <c r="C817" s="532"/>
      <c r="D817" s="532"/>
      <c r="E817" s="532"/>
      <c r="F817" s="532"/>
      <c r="G817" s="532"/>
      <c r="H817" s="532"/>
      <c r="I817" s="532"/>
    </row>
    <row r="818" spans="1:9" ht="12.75">
      <c r="A818" s="532"/>
      <c r="B818" s="532"/>
      <c r="C818" s="532"/>
      <c r="D818" s="532"/>
      <c r="E818" s="532"/>
      <c r="F818" s="532"/>
      <c r="G818" s="532"/>
      <c r="H818" s="532"/>
      <c r="I818" s="532"/>
    </row>
    <row r="819" spans="1:9" ht="12.75">
      <c r="A819" s="532"/>
      <c r="B819" s="532"/>
      <c r="C819" s="532"/>
      <c r="D819" s="532"/>
      <c r="E819" s="532"/>
      <c r="F819" s="532"/>
      <c r="G819" s="532"/>
      <c r="H819" s="532"/>
      <c r="I819" s="532"/>
    </row>
    <row r="820" spans="1:9" ht="12.75">
      <c r="A820" s="532"/>
      <c r="B820" s="532"/>
      <c r="C820" s="532"/>
      <c r="D820" s="532"/>
      <c r="E820" s="532"/>
      <c r="F820" s="532"/>
      <c r="G820" s="532"/>
      <c r="H820" s="532"/>
      <c r="I820" s="532"/>
    </row>
    <row r="821" spans="1:9" ht="12.75">
      <c r="A821" s="532"/>
      <c r="B821" s="532"/>
      <c r="C821" s="532"/>
      <c r="D821" s="532"/>
      <c r="E821" s="532"/>
      <c r="F821" s="532"/>
      <c r="G821" s="532"/>
      <c r="H821" s="532"/>
      <c r="I821" s="532"/>
    </row>
    <row r="822" spans="1:9" ht="12.75">
      <c r="A822" s="532"/>
      <c r="B822" s="532"/>
      <c r="C822" s="532"/>
      <c r="D822" s="532"/>
      <c r="E822" s="532"/>
      <c r="F822" s="532"/>
      <c r="G822" s="532"/>
      <c r="H822" s="532"/>
      <c r="I822" s="532"/>
    </row>
    <row r="823" spans="1:9" ht="12.75">
      <c r="A823" s="532"/>
      <c r="B823" s="532"/>
      <c r="C823" s="532"/>
      <c r="D823" s="532"/>
      <c r="E823" s="532"/>
      <c r="F823" s="532"/>
      <c r="G823" s="532"/>
      <c r="H823" s="532"/>
      <c r="I823" s="532"/>
    </row>
    <row r="824" spans="1:9" ht="12.75">
      <c r="A824" s="532"/>
      <c r="B824" s="532"/>
      <c r="C824" s="532"/>
      <c r="D824" s="532"/>
      <c r="E824" s="532"/>
      <c r="F824" s="532"/>
      <c r="G824" s="532"/>
      <c r="H824" s="532"/>
      <c r="I824" s="532"/>
    </row>
    <row r="825" spans="1:9" ht="12.75">
      <c r="A825" s="532"/>
      <c r="B825" s="532"/>
      <c r="C825" s="532"/>
      <c r="D825" s="532"/>
      <c r="E825" s="532"/>
      <c r="F825" s="532"/>
      <c r="G825" s="532"/>
      <c r="H825" s="532"/>
      <c r="I825" s="532"/>
    </row>
    <row r="826" spans="1:9" ht="12.75">
      <c r="A826" s="532"/>
      <c r="B826" s="532"/>
      <c r="C826" s="532"/>
      <c r="D826" s="532"/>
      <c r="E826" s="532"/>
      <c r="F826" s="532"/>
      <c r="G826" s="532"/>
      <c r="H826" s="532"/>
      <c r="I826" s="532"/>
    </row>
    <row r="827" spans="1:9" ht="12.75">
      <c r="A827" s="532"/>
      <c r="B827" s="532"/>
      <c r="C827" s="532"/>
      <c r="D827" s="532"/>
      <c r="E827" s="532"/>
      <c r="F827" s="532"/>
      <c r="G827" s="532"/>
      <c r="H827" s="532"/>
      <c r="I827" s="532"/>
    </row>
    <row r="828" spans="1:9" ht="12.75">
      <c r="A828" s="532"/>
      <c r="B828" s="532"/>
      <c r="C828" s="532"/>
      <c r="D828" s="532"/>
      <c r="E828" s="532"/>
      <c r="F828" s="532"/>
      <c r="G828" s="532"/>
      <c r="H828" s="532"/>
      <c r="I828" s="532"/>
    </row>
    <row r="829" spans="1:9" ht="12.75">
      <c r="A829" s="532"/>
      <c r="B829" s="532"/>
      <c r="C829" s="532"/>
      <c r="D829" s="532"/>
      <c r="E829" s="532"/>
      <c r="F829" s="532"/>
      <c r="G829" s="532"/>
      <c r="H829" s="532"/>
      <c r="I829" s="532"/>
    </row>
    <row r="830" spans="1:9" ht="12.75">
      <c r="A830" s="532"/>
      <c r="B830" s="532"/>
      <c r="C830" s="532"/>
      <c r="D830" s="532"/>
      <c r="E830" s="532"/>
      <c r="F830" s="532"/>
      <c r="G830" s="532"/>
      <c r="H830" s="532"/>
      <c r="I830" s="532"/>
    </row>
    <row r="831" spans="1:9" ht="12.75">
      <c r="A831" s="532"/>
      <c r="B831" s="532"/>
      <c r="C831" s="532"/>
      <c r="D831" s="532"/>
      <c r="E831" s="532"/>
      <c r="F831" s="532"/>
      <c r="G831" s="532"/>
      <c r="H831" s="532"/>
      <c r="I831" s="532"/>
    </row>
    <row r="832" spans="1:9" ht="12.75">
      <c r="A832" s="532"/>
      <c r="B832" s="532"/>
      <c r="C832" s="532"/>
      <c r="D832" s="532"/>
      <c r="E832" s="532"/>
      <c r="F832" s="532"/>
      <c r="G832" s="532"/>
      <c r="H832" s="532"/>
      <c r="I832" s="532"/>
    </row>
    <row r="833" spans="1:9" ht="12.75">
      <c r="A833" s="532"/>
      <c r="B833" s="532"/>
      <c r="C833" s="532"/>
      <c r="D833" s="532"/>
      <c r="E833" s="532"/>
      <c r="F833" s="532"/>
      <c r="G833" s="532"/>
      <c r="H833" s="532"/>
      <c r="I833" s="532"/>
    </row>
    <row r="834" spans="1:9" ht="12.75">
      <c r="A834" s="532"/>
      <c r="B834" s="532"/>
      <c r="C834" s="532"/>
      <c r="D834" s="532"/>
      <c r="E834" s="532"/>
      <c r="F834" s="532"/>
      <c r="G834" s="532"/>
      <c r="H834" s="532"/>
      <c r="I834" s="532"/>
    </row>
    <row r="835" spans="1:9" ht="12.75">
      <c r="A835" s="532"/>
      <c r="B835" s="532"/>
      <c r="C835" s="532"/>
      <c r="D835" s="532"/>
      <c r="E835" s="532"/>
      <c r="F835" s="532"/>
      <c r="G835" s="532"/>
      <c r="H835" s="532"/>
      <c r="I835" s="532"/>
    </row>
    <row r="836" spans="1:9" ht="12.75">
      <c r="A836" s="532"/>
      <c r="B836" s="532"/>
      <c r="C836" s="532"/>
      <c r="D836" s="532"/>
      <c r="E836" s="532"/>
      <c r="F836" s="532"/>
      <c r="G836" s="532"/>
      <c r="H836" s="532"/>
      <c r="I836" s="532"/>
    </row>
    <row r="837" spans="1:9" ht="12.75">
      <c r="A837" s="532"/>
      <c r="B837" s="532"/>
      <c r="C837" s="532"/>
      <c r="D837" s="532"/>
      <c r="E837" s="532"/>
      <c r="F837" s="532"/>
      <c r="G837" s="532"/>
      <c r="H837" s="532"/>
      <c r="I837" s="532"/>
    </row>
    <row r="838" spans="1:9" ht="12.75">
      <c r="A838" s="532"/>
      <c r="B838" s="532"/>
      <c r="C838" s="532"/>
      <c r="D838" s="532"/>
      <c r="E838" s="532"/>
      <c r="F838" s="532"/>
      <c r="G838" s="532"/>
      <c r="H838" s="532"/>
      <c r="I838" s="532"/>
    </row>
    <row r="839" spans="1:9" ht="12.75">
      <c r="A839" s="532"/>
      <c r="B839" s="532"/>
      <c r="C839" s="532"/>
      <c r="D839" s="532"/>
      <c r="E839" s="532"/>
      <c r="F839" s="532"/>
      <c r="G839" s="532"/>
      <c r="H839" s="532"/>
      <c r="I839" s="532"/>
    </row>
    <row r="840" spans="1:9" ht="12.75">
      <c r="A840" s="532"/>
      <c r="B840" s="532"/>
      <c r="C840" s="532"/>
      <c r="D840" s="532"/>
      <c r="E840" s="532"/>
      <c r="F840" s="532"/>
      <c r="G840" s="532"/>
      <c r="H840" s="532"/>
      <c r="I840" s="532"/>
    </row>
    <row r="841" spans="1:9" ht="12.75">
      <c r="A841" s="532"/>
      <c r="B841" s="532"/>
      <c r="C841" s="532"/>
      <c r="D841" s="532"/>
      <c r="E841" s="532"/>
      <c r="F841" s="532"/>
      <c r="G841" s="532"/>
      <c r="H841" s="532"/>
      <c r="I841" s="532"/>
    </row>
    <row r="842" spans="1:9" ht="12.75">
      <c r="A842" s="532"/>
      <c r="B842" s="532"/>
      <c r="C842" s="532"/>
      <c r="D842" s="532"/>
      <c r="E842" s="532"/>
      <c r="F842" s="532"/>
      <c r="G842" s="532"/>
      <c r="H842" s="532"/>
      <c r="I842" s="532"/>
    </row>
    <row r="843" spans="1:9" ht="12.75">
      <c r="A843" s="532"/>
      <c r="B843" s="532"/>
      <c r="C843" s="532"/>
      <c r="D843" s="532"/>
      <c r="E843" s="532"/>
      <c r="F843" s="532"/>
      <c r="G843" s="532"/>
      <c r="H843" s="532"/>
      <c r="I843" s="532"/>
    </row>
    <row r="844" spans="1:9" ht="12.75">
      <c r="A844" s="532"/>
      <c r="B844" s="532"/>
      <c r="C844" s="532"/>
      <c r="D844" s="532"/>
      <c r="E844" s="532"/>
      <c r="F844" s="532"/>
      <c r="G844" s="532"/>
      <c r="H844" s="532"/>
      <c r="I844" s="532"/>
    </row>
    <row r="845" spans="1:9" ht="12.75">
      <c r="A845" s="532"/>
      <c r="B845" s="532"/>
      <c r="C845" s="532"/>
      <c r="D845" s="532"/>
      <c r="E845" s="532"/>
      <c r="F845" s="532"/>
      <c r="G845" s="532"/>
      <c r="H845" s="532"/>
      <c r="I845" s="532"/>
    </row>
    <row r="846" spans="1:9" ht="12.75">
      <c r="A846" s="532"/>
      <c r="B846" s="532"/>
      <c r="C846" s="532"/>
      <c r="D846" s="532"/>
      <c r="E846" s="532"/>
      <c r="F846" s="532"/>
      <c r="G846" s="532"/>
      <c r="H846" s="532"/>
      <c r="I846" s="532"/>
    </row>
    <row r="847" spans="1:9" ht="12.75">
      <c r="A847" s="532"/>
      <c r="B847" s="532"/>
      <c r="C847" s="532"/>
      <c r="D847" s="532"/>
      <c r="E847" s="532"/>
      <c r="F847" s="532"/>
      <c r="G847" s="532"/>
      <c r="H847" s="532"/>
      <c r="I847" s="532"/>
    </row>
    <row r="848" spans="1:9" ht="12.75">
      <c r="A848" s="532"/>
      <c r="B848" s="532"/>
      <c r="C848" s="532"/>
      <c r="D848" s="532"/>
      <c r="E848" s="532"/>
      <c r="F848" s="532"/>
      <c r="G848" s="532"/>
      <c r="H848" s="532"/>
      <c r="I848" s="532"/>
    </row>
    <row r="849" spans="1:9" ht="12.75">
      <c r="A849" s="532"/>
      <c r="B849" s="532"/>
      <c r="C849" s="532"/>
      <c r="D849" s="532"/>
      <c r="E849" s="532"/>
      <c r="F849" s="532"/>
      <c r="G849" s="532"/>
      <c r="H849" s="532"/>
      <c r="I849" s="532"/>
    </row>
    <row r="850" spans="1:9" ht="12.75">
      <c r="A850" s="532"/>
      <c r="B850" s="532"/>
      <c r="C850" s="532"/>
      <c r="D850" s="532"/>
      <c r="E850" s="532"/>
      <c r="F850" s="532"/>
      <c r="G850" s="532"/>
      <c r="H850" s="532"/>
      <c r="I850" s="532"/>
    </row>
    <row r="851" spans="1:9" ht="12.75">
      <c r="A851" s="532"/>
      <c r="B851" s="532"/>
      <c r="C851" s="532"/>
      <c r="D851" s="532"/>
      <c r="E851" s="532"/>
      <c r="F851" s="532"/>
      <c r="G851" s="532"/>
      <c r="H851" s="532"/>
      <c r="I851" s="532"/>
    </row>
    <row r="852" spans="1:9" ht="12.75">
      <c r="A852" s="532"/>
      <c r="B852" s="532"/>
      <c r="C852" s="532"/>
      <c r="D852" s="532"/>
      <c r="E852" s="532"/>
      <c r="F852" s="532"/>
      <c r="G852" s="532"/>
      <c r="H852" s="532"/>
      <c r="I852" s="532"/>
    </row>
    <row r="853" spans="1:9" ht="12.75">
      <c r="A853" s="532"/>
      <c r="B853" s="532"/>
      <c r="C853" s="532"/>
      <c r="D853" s="532"/>
      <c r="E853" s="532"/>
      <c r="F853" s="532"/>
      <c r="G853" s="532"/>
      <c r="H853" s="532"/>
      <c r="I853" s="532"/>
    </row>
    <row r="854" spans="1:9" ht="12.75">
      <c r="A854" s="532"/>
      <c r="B854" s="532"/>
      <c r="C854" s="532"/>
      <c r="D854" s="532"/>
      <c r="E854" s="532"/>
      <c r="F854" s="532"/>
      <c r="G854" s="532"/>
      <c r="H854" s="532"/>
      <c r="I854" s="532"/>
    </row>
    <row r="855" spans="1:9" ht="12.75">
      <c r="A855" s="532"/>
      <c r="B855" s="532"/>
      <c r="C855" s="532"/>
      <c r="D855" s="532"/>
      <c r="E855" s="532"/>
      <c r="F855" s="532"/>
      <c r="G855" s="532"/>
      <c r="H855" s="532"/>
      <c r="I855" s="532"/>
    </row>
    <row r="856" spans="1:9" ht="12.75">
      <c r="A856" s="532"/>
      <c r="B856" s="532"/>
      <c r="C856" s="532"/>
      <c r="D856" s="532"/>
      <c r="E856" s="532"/>
      <c r="F856" s="532"/>
      <c r="G856" s="532"/>
      <c r="H856" s="532"/>
      <c r="I856" s="532"/>
    </row>
    <row r="857" spans="1:9" ht="12.75">
      <c r="A857" s="532"/>
      <c r="B857" s="532"/>
      <c r="C857" s="532"/>
      <c r="D857" s="532"/>
      <c r="E857" s="532"/>
      <c r="F857" s="532"/>
      <c r="G857" s="532"/>
      <c r="H857" s="532"/>
      <c r="I857" s="532"/>
    </row>
    <row r="858" spans="1:9" ht="12.75">
      <c r="A858" s="532"/>
      <c r="B858" s="532"/>
      <c r="C858" s="532"/>
      <c r="D858" s="532"/>
      <c r="E858" s="532"/>
      <c r="F858" s="532"/>
      <c r="G858" s="532"/>
      <c r="H858" s="532"/>
      <c r="I858" s="532"/>
    </row>
    <row r="859" spans="1:9" ht="12.75">
      <c r="A859" s="532"/>
      <c r="B859" s="532"/>
      <c r="C859" s="532"/>
      <c r="D859" s="532"/>
      <c r="E859" s="532"/>
      <c r="F859" s="532"/>
      <c r="G859" s="532"/>
      <c r="H859" s="532"/>
      <c r="I859" s="532"/>
    </row>
    <row r="860" spans="1:9" ht="12.75">
      <c r="A860" s="532"/>
      <c r="B860" s="532"/>
      <c r="C860" s="532"/>
      <c r="D860" s="532"/>
      <c r="E860" s="532"/>
      <c r="F860" s="532"/>
      <c r="G860" s="532"/>
      <c r="H860" s="532"/>
      <c r="I860" s="532"/>
    </row>
    <row r="861" spans="1:9" ht="12.75">
      <c r="A861" s="532"/>
      <c r="B861" s="532"/>
      <c r="C861" s="532"/>
      <c r="D861" s="532"/>
      <c r="E861" s="532"/>
      <c r="F861" s="532"/>
      <c r="G861" s="532"/>
      <c r="H861" s="532"/>
      <c r="I861" s="532"/>
    </row>
    <row r="862" spans="1:9" ht="12.75">
      <c r="A862" s="532"/>
      <c r="B862" s="532"/>
      <c r="C862" s="532"/>
      <c r="D862" s="532"/>
      <c r="E862" s="532"/>
      <c r="F862" s="532"/>
      <c r="G862" s="532"/>
      <c r="H862" s="532"/>
      <c r="I862" s="532"/>
    </row>
    <row r="863" spans="1:9" ht="12.75">
      <c r="A863" s="532"/>
      <c r="B863" s="532"/>
      <c r="C863" s="532"/>
      <c r="D863" s="532"/>
      <c r="E863" s="532"/>
      <c r="F863" s="532"/>
      <c r="G863" s="532"/>
      <c r="H863" s="532"/>
      <c r="I863" s="532"/>
    </row>
    <row r="864" spans="1:9" ht="12.75">
      <c r="A864" s="532"/>
      <c r="B864" s="532"/>
      <c r="C864" s="532"/>
      <c r="D864" s="532"/>
      <c r="E864" s="532"/>
      <c r="F864" s="532"/>
      <c r="G864" s="532"/>
      <c r="H864" s="532"/>
      <c r="I864" s="532"/>
    </row>
    <row r="865" spans="1:9" ht="12.75">
      <c r="A865" s="532"/>
      <c r="B865" s="532"/>
      <c r="C865" s="532"/>
      <c r="D865" s="532"/>
      <c r="E865" s="532"/>
      <c r="F865" s="532"/>
      <c r="G865" s="532"/>
      <c r="H865" s="532"/>
      <c r="I865" s="532"/>
    </row>
    <row r="866" spans="1:9" ht="12.75">
      <c r="A866" s="532"/>
      <c r="B866" s="532"/>
      <c r="C866" s="532"/>
      <c r="D866" s="532"/>
      <c r="E866" s="532"/>
      <c r="F866" s="532"/>
      <c r="G866" s="532"/>
      <c r="H866" s="532"/>
      <c r="I866" s="532"/>
    </row>
    <row r="867" spans="1:9" ht="12.75">
      <c r="A867" s="532"/>
      <c r="B867" s="532"/>
      <c r="C867" s="532"/>
      <c r="D867" s="532"/>
      <c r="E867" s="532"/>
      <c r="F867" s="532"/>
      <c r="G867" s="532"/>
      <c r="H867" s="532"/>
      <c r="I867" s="532"/>
    </row>
    <row r="868" spans="1:9" ht="12.75">
      <c r="A868" s="532"/>
      <c r="B868" s="532"/>
      <c r="C868" s="532"/>
      <c r="D868" s="532"/>
      <c r="E868" s="532"/>
      <c r="F868" s="532"/>
      <c r="G868" s="532"/>
      <c r="H868" s="532"/>
      <c r="I868" s="532"/>
    </row>
    <row r="869" spans="1:9" ht="12.75">
      <c r="A869" s="532"/>
      <c r="B869" s="532"/>
      <c r="C869" s="532"/>
      <c r="D869" s="532"/>
      <c r="E869" s="532"/>
      <c r="F869" s="532"/>
      <c r="G869" s="532"/>
      <c r="H869" s="532"/>
      <c r="I869" s="532"/>
    </row>
    <row r="870" spans="1:9" ht="12.75">
      <c r="A870" s="532"/>
      <c r="B870" s="532"/>
      <c r="C870" s="532"/>
      <c r="D870" s="532"/>
      <c r="E870" s="532"/>
      <c r="F870" s="532"/>
      <c r="G870" s="532"/>
      <c r="H870" s="532"/>
      <c r="I870" s="532"/>
    </row>
    <row r="871" spans="1:9" ht="12.75">
      <c r="A871" s="532"/>
      <c r="B871" s="532"/>
      <c r="C871" s="532"/>
      <c r="D871" s="532"/>
      <c r="E871" s="532"/>
      <c r="F871" s="532"/>
      <c r="G871" s="532"/>
      <c r="H871" s="532"/>
      <c r="I871" s="532"/>
    </row>
    <row r="872" spans="1:9" ht="12.75">
      <c r="A872" s="532"/>
      <c r="B872" s="532"/>
      <c r="C872" s="532"/>
      <c r="D872" s="532"/>
      <c r="E872" s="532"/>
      <c r="F872" s="532"/>
      <c r="G872" s="532"/>
      <c r="H872" s="532"/>
      <c r="I872" s="532"/>
    </row>
    <row r="873" spans="1:9" ht="12.75">
      <c r="A873" s="532"/>
      <c r="B873" s="532"/>
      <c r="C873" s="532"/>
      <c r="D873" s="532"/>
      <c r="E873" s="532"/>
      <c r="F873" s="532"/>
      <c r="G873" s="532"/>
      <c r="H873" s="532"/>
      <c r="I873" s="532"/>
    </row>
    <row r="874" spans="1:9" ht="12.75">
      <c r="A874" s="532"/>
      <c r="B874" s="532"/>
      <c r="C874" s="532"/>
      <c r="D874" s="532"/>
      <c r="E874" s="532"/>
      <c r="F874" s="532"/>
      <c r="G874" s="532"/>
      <c r="H874" s="532"/>
      <c r="I874" s="532"/>
    </row>
    <row r="875" spans="1:9" ht="12.75">
      <c r="A875" s="532"/>
      <c r="B875" s="532"/>
      <c r="C875" s="532"/>
      <c r="D875" s="532"/>
      <c r="E875" s="532"/>
      <c r="F875" s="532"/>
      <c r="G875" s="532"/>
      <c r="H875" s="532"/>
      <c r="I875" s="532"/>
    </row>
    <row r="876" spans="1:9" ht="12.75">
      <c r="A876" s="532"/>
      <c r="B876" s="532"/>
      <c r="C876" s="532"/>
      <c r="D876" s="532"/>
      <c r="E876" s="532"/>
      <c r="F876" s="532"/>
      <c r="G876" s="532"/>
      <c r="H876" s="532"/>
      <c r="I876" s="532"/>
    </row>
    <row r="877" spans="1:9" ht="12.75">
      <c r="A877" s="532"/>
      <c r="B877" s="532"/>
      <c r="C877" s="532"/>
      <c r="D877" s="532"/>
      <c r="E877" s="532"/>
      <c r="F877" s="532"/>
      <c r="G877" s="532"/>
      <c r="H877" s="532"/>
      <c r="I877" s="532"/>
    </row>
    <row r="878" spans="1:9" ht="12.75">
      <c r="A878" s="532"/>
      <c r="B878" s="532"/>
      <c r="C878" s="532"/>
      <c r="D878" s="532"/>
      <c r="E878" s="532"/>
      <c r="F878" s="532"/>
      <c r="G878" s="532"/>
      <c r="H878" s="532"/>
      <c r="I878" s="532"/>
    </row>
    <row r="879" spans="1:9" ht="12.75">
      <c r="A879" s="532"/>
      <c r="B879" s="532"/>
      <c r="C879" s="532"/>
      <c r="D879" s="532"/>
      <c r="E879" s="532"/>
      <c r="F879" s="532"/>
      <c r="G879" s="532"/>
      <c r="H879" s="532"/>
      <c r="I879" s="532"/>
    </row>
    <row r="880" spans="1:9" ht="12.75">
      <c r="A880" s="532"/>
      <c r="B880" s="532"/>
      <c r="C880" s="532"/>
      <c r="D880" s="532"/>
      <c r="E880" s="532"/>
      <c r="F880" s="532"/>
      <c r="G880" s="532"/>
      <c r="H880" s="532"/>
      <c r="I880" s="532"/>
    </row>
    <row r="881" spans="1:9" ht="12.75">
      <c r="A881" s="532"/>
      <c r="B881" s="532"/>
      <c r="C881" s="532"/>
      <c r="D881" s="532"/>
      <c r="E881" s="532"/>
      <c r="F881" s="532"/>
      <c r="G881" s="532"/>
      <c r="H881" s="532"/>
      <c r="I881" s="532"/>
    </row>
    <row r="882" spans="1:9" ht="12.75">
      <c r="A882" s="532"/>
      <c r="B882" s="532"/>
      <c r="C882" s="532"/>
      <c r="D882" s="532"/>
      <c r="E882" s="532"/>
      <c r="F882" s="532"/>
      <c r="G882" s="532"/>
      <c r="H882" s="532"/>
      <c r="I882" s="532"/>
    </row>
    <row r="883" spans="1:9" ht="12.75">
      <c r="A883" s="532"/>
      <c r="B883" s="532"/>
      <c r="C883" s="532"/>
      <c r="D883" s="532"/>
      <c r="E883" s="532"/>
      <c r="F883" s="532"/>
      <c r="G883" s="532"/>
      <c r="H883" s="532"/>
      <c r="I883" s="532"/>
    </row>
    <row r="884" spans="1:9" ht="12.75">
      <c r="A884" s="532"/>
      <c r="B884" s="532"/>
      <c r="C884" s="532"/>
      <c r="D884" s="532"/>
      <c r="E884" s="532"/>
      <c r="F884" s="532"/>
      <c r="G884" s="532"/>
      <c r="H884" s="532"/>
      <c r="I884" s="532"/>
    </row>
    <row r="885" spans="1:9" ht="12.75">
      <c r="A885" s="532"/>
      <c r="B885" s="532"/>
      <c r="C885" s="532"/>
      <c r="D885" s="532"/>
      <c r="E885" s="532"/>
      <c r="F885" s="532"/>
      <c r="G885" s="532"/>
      <c r="H885" s="532"/>
      <c r="I885" s="532"/>
    </row>
    <row r="886" spans="1:9" ht="12.75">
      <c r="A886" s="532"/>
      <c r="B886" s="532"/>
      <c r="C886" s="532"/>
      <c r="D886" s="532"/>
      <c r="E886" s="532"/>
      <c r="F886" s="532"/>
      <c r="G886" s="532"/>
      <c r="H886" s="532"/>
      <c r="I886" s="532"/>
    </row>
    <row r="887" spans="1:9" ht="12.75">
      <c r="A887" s="532"/>
      <c r="B887" s="532"/>
      <c r="C887" s="532"/>
      <c r="D887" s="532"/>
      <c r="E887" s="532"/>
      <c r="F887" s="532"/>
      <c r="G887" s="532"/>
      <c r="H887" s="532"/>
      <c r="I887" s="532"/>
    </row>
    <row r="888" spans="1:9" ht="12.75">
      <c r="A888" s="532"/>
      <c r="B888" s="532"/>
      <c r="C888" s="532"/>
      <c r="D888" s="532"/>
      <c r="E888" s="532"/>
      <c r="F888" s="532"/>
      <c r="G888" s="532"/>
      <c r="H888" s="532"/>
      <c r="I888" s="532"/>
    </row>
    <row r="889" spans="1:9" ht="12.75">
      <c r="A889" s="532"/>
      <c r="B889" s="532"/>
      <c r="C889" s="532"/>
      <c r="D889" s="532"/>
      <c r="E889" s="532"/>
      <c r="F889" s="532"/>
      <c r="G889" s="532"/>
      <c r="H889" s="532"/>
      <c r="I889" s="532"/>
    </row>
    <row r="890" spans="1:9" ht="12.75">
      <c r="A890" s="532"/>
      <c r="B890" s="532"/>
      <c r="C890" s="532"/>
      <c r="D890" s="532"/>
      <c r="E890" s="532"/>
      <c r="F890" s="532"/>
      <c r="G890" s="532"/>
      <c r="H890" s="532"/>
      <c r="I890" s="532"/>
    </row>
    <row r="891" spans="1:9" ht="12.75">
      <c r="A891" s="532"/>
      <c r="B891" s="532"/>
      <c r="C891" s="532"/>
      <c r="D891" s="532"/>
      <c r="E891" s="532"/>
      <c r="F891" s="532"/>
      <c r="G891" s="532"/>
      <c r="H891" s="532"/>
      <c r="I891" s="532"/>
    </row>
    <row r="892" spans="1:9" ht="12.75">
      <c r="A892" s="532"/>
      <c r="B892" s="532"/>
      <c r="C892" s="532"/>
      <c r="D892" s="532"/>
      <c r="E892" s="532"/>
      <c r="F892" s="532"/>
      <c r="G892" s="532"/>
      <c r="H892" s="532"/>
      <c r="I892" s="532"/>
    </row>
    <row r="893" spans="1:9" ht="12.75">
      <c r="A893" s="532"/>
      <c r="B893" s="532"/>
      <c r="C893" s="532"/>
      <c r="D893" s="532"/>
      <c r="E893" s="532"/>
      <c r="F893" s="532"/>
      <c r="G893" s="532"/>
      <c r="H893" s="532"/>
      <c r="I893" s="532"/>
    </row>
    <row r="894" spans="1:9" ht="12.75">
      <c r="A894" s="532"/>
      <c r="B894" s="532"/>
      <c r="C894" s="532"/>
      <c r="D894" s="532"/>
      <c r="E894" s="532"/>
      <c r="F894" s="532"/>
      <c r="G894" s="532"/>
      <c r="H894" s="532"/>
      <c r="I894" s="532"/>
    </row>
    <row r="895" spans="1:9" ht="12.75">
      <c r="A895" s="532"/>
      <c r="B895" s="532"/>
      <c r="C895" s="532"/>
      <c r="D895" s="532"/>
      <c r="E895" s="532"/>
      <c r="F895" s="532"/>
      <c r="G895" s="532"/>
      <c r="H895" s="532"/>
      <c r="I895" s="532"/>
    </row>
    <row r="896" spans="1:9" ht="12.75">
      <c r="A896" s="532"/>
      <c r="B896" s="532"/>
      <c r="C896" s="532"/>
      <c r="D896" s="532"/>
      <c r="E896" s="532"/>
      <c r="F896" s="532"/>
      <c r="G896" s="532"/>
      <c r="H896" s="532"/>
      <c r="I896" s="532"/>
    </row>
    <row r="897" spans="1:9" ht="12.75">
      <c r="A897" s="532"/>
      <c r="B897" s="532"/>
      <c r="C897" s="532"/>
      <c r="D897" s="532"/>
      <c r="E897" s="532"/>
      <c r="F897" s="532"/>
      <c r="G897" s="532"/>
      <c r="H897" s="532"/>
      <c r="I897" s="532"/>
    </row>
    <row r="898" spans="1:9" ht="12.75">
      <c r="A898" s="532"/>
      <c r="B898" s="532"/>
      <c r="C898" s="532"/>
      <c r="D898" s="532"/>
      <c r="E898" s="532"/>
      <c r="F898" s="532"/>
      <c r="G898" s="532"/>
      <c r="H898" s="532"/>
      <c r="I898" s="532"/>
    </row>
    <row r="899" spans="1:9" ht="12.75">
      <c r="A899" s="532"/>
      <c r="B899" s="532"/>
      <c r="C899" s="532"/>
      <c r="D899" s="532"/>
      <c r="E899" s="532"/>
      <c r="F899" s="532"/>
      <c r="G899" s="532"/>
      <c r="H899" s="532"/>
      <c r="I899" s="532"/>
    </row>
    <row r="900" spans="1:9" ht="12.75">
      <c r="A900" s="532"/>
      <c r="B900" s="532"/>
      <c r="C900" s="532"/>
      <c r="D900" s="532"/>
      <c r="E900" s="532"/>
      <c r="F900" s="532"/>
      <c r="G900" s="532"/>
      <c r="H900" s="532"/>
      <c r="I900" s="532"/>
    </row>
    <row r="901" spans="1:9" ht="12.75">
      <c r="A901" s="532"/>
      <c r="B901" s="532"/>
      <c r="C901" s="532"/>
      <c r="D901" s="532"/>
      <c r="E901" s="532"/>
      <c r="F901" s="532"/>
      <c r="G901" s="532"/>
      <c r="H901" s="532"/>
      <c r="I901" s="532"/>
    </row>
    <row r="902" spans="1:9" ht="12.75">
      <c r="A902" s="532"/>
      <c r="B902" s="532"/>
      <c r="C902" s="532"/>
      <c r="D902" s="532"/>
      <c r="E902" s="532"/>
      <c r="F902" s="532"/>
      <c r="G902" s="532"/>
      <c r="H902" s="532"/>
      <c r="I902" s="532"/>
    </row>
    <row r="903" spans="1:9" ht="12.75">
      <c r="A903" s="532"/>
      <c r="B903" s="532"/>
      <c r="C903" s="532"/>
      <c r="D903" s="532"/>
      <c r="E903" s="532"/>
      <c r="F903" s="532"/>
      <c r="G903" s="532"/>
      <c r="H903" s="532"/>
      <c r="I903" s="532"/>
    </row>
    <row r="904" spans="1:9" ht="12.75">
      <c r="A904" s="532"/>
      <c r="B904" s="532"/>
      <c r="C904" s="532"/>
      <c r="D904" s="532"/>
      <c r="E904" s="532"/>
      <c r="F904" s="532"/>
      <c r="G904" s="532"/>
      <c r="H904" s="532"/>
      <c r="I904" s="532"/>
    </row>
    <row r="905" spans="1:9" ht="12.75">
      <c r="A905" s="532"/>
      <c r="B905" s="532"/>
      <c r="C905" s="532"/>
      <c r="D905" s="532"/>
      <c r="E905" s="532"/>
      <c r="F905" s="532"/>
      <c r="G905" s="532"/>
      <c r="H905" s="532"/>
      <c r="I905" s="532"/>
    </row>
    <row r="906" spans="1:9" ht="12.75">
      <c r="A906" s="532"/>
      <c r="B906" s="532"/>
      <c r="C906" s="532"/>
      <c r="D906" s="532"/>
      <c r="E906" s="532"/>
      <c r="F906" s="532"/>
      <c r="G906" s="532"/>
      <c r="H906" s="532"/>
      <c r="I906" s="532"/>
    </row>
    <row r="907" spans="1:9" ht="12.75">
      <c r="A907" s="532"/>
      <c r="B907" s="532"/>
      <c r="C907" s="532"/>
      <c r="D907" s="532"/>
      <c r="E907" s="532"/>
      <c r="F907" s="532"/>
      <c r="G907" s="532"/>
      <c r="H907" s="532"/>
      <c r="I907" s="532"/>
    </row>
    <row r="908" spans="1:9" ht="12.75">
      <c r="A908" s="532"/>
      <c r="B908" s="532"/>
      <c r="C908" s="532"/>
      <c r="D908" s="532"/>
      <c r="E908" s="532"/>
      <c r="F908" s="532"/>
      <c r="G908" s="532"/>
      <c r="H908" s="532"/>
      <c r="I908" s="532"/>
    </row>
    <row r="909" spans="1:9" ht="12.75">
      <c r="A909" s="532"/>
      <c r="B909" s="532"/>
      <c r="C909" s="532"/>
      <c r="D909" s="532"/>
      <c r="E909" s="532"/>
      <c r="F909" s="532"/>
      <c r="G909" s="532"/>
      <c r="H909" s="532"/>
      <c r="I909" s="532"/>
    </row>
    <row r="910" spans="1:9" ht="12.75">
      <c r="A910" s="532"/>
      <c r="B910" s="532"/>
      <c r="C910" s="532"/>
      <c r="D910" s="532"/>
      <c r="E910" s="532"/>
      <c r="F910" s="532"/>
      <c r="G910" s="532"/>
      <c r="H910" s="532"/>
      <c r="I910" s="532"/>
    </row>
    <row r="911" spans="1:9" ht="12.75">
      <c r="A911" s="532"/>
      <c r="B911" s="532"/>
      <c r="C911" s="532"/>
      <c r="D911" s="532"/>
      <c r="E911" s="532"/>
      <c r="F911" s="532"/>
      <c r="G911" s="532"/>
      <c r="H911" s="532"/>
      <c r="I911" s="532"/>
    </row>
    <row r="912" spans="1:9" ht="12.75">
      <c r="A912" s="532"/>
      <c r="B912" s="532"/>
      <c r="C912" s="532"/>
      <c r="D912" s="532"/>
      <c r="E912" s="532"/>
      <c r="F912" s="532"/>
      <c r="G912" s="532"/>
      <c r="H912" s="532"/>
      <c r="I912" s="532"/>
    </row>
    <row r="913" spans="1:9" ht="12.75">
      <c r="A913" s="532"/>
      <c r="B913" s="532"/>
      <c r="C913" s="532"/>
      <c r="D913" s="532"/>
      <c r="E913" s="532"/>
      <c r="F913" s="532"/>
      <c r="G913" s="532"/>
      <c r="H913" s="532"/>
      <c r="I913" s="532"/>
    </row>
    <row r="914" spans="1:9" ht="12.75">
      <c r="A914" s="532"/>
      <c r="B914" s="532"/>
      <c r="C914" s="532"/>
      <c r="D914" s="532"/>
      <c r="E914" s="532"/>
      <c r="F914" s="532"/>
      <c r="G914" s="532"/>
      <c r="H914" s="532"/>
      <c r="I914" s="532"/>
    </row>
    <row r="915" spans="1:9" ht="12.75">
      <c r="A915" s="532"/>
      <c r="B915" s="532"/>
      <c r="C915" s="532"/>
      <c r="D915" s="532"/>
      <c r="E915" s="532"/>
      <c r="F915" s="532"/>
      <c r="G915" s="532"/>
      <c r="H915" s="532"/>
      <c r="I915" s="532"/>
    </row>
    <row r="916" spans="1:9" ht="12.75">
      <c r="A916" s="532"/>
      <c r="B916" s="532"/>
      <c r="C916" s="532"/>
      <c r="D916" s="532"/>
      <c r="E916" s="532"/>
      <c r="F916" s="532"/>
      <c r="G916" s="532"/>
      <c r="H916" s="532"/>
      <c r="I916" s="532"/>
    </row>
    <row r="917" spans="1:9" ht="12.75">
      <c r="A917" s="532"/>
      <c r="B917" s="532"/>
      <c r="C917" s="532"/>
      <c r="D917" s="532"/>
      <c r="E917" s="532"/>
      <c r="F917" s="532"/>
      <c r="G917" s="532"/>
      <c r="H917" s="532"/>
      <c r="I917" s="532"/>
    </row>
    <row r="918" spans="1:9" ht="12.75">
      <c r="A918" s="532"/>
      <c r="B918" s="532"/>
      <c r="C918" s="532"/>
      <c r="D918" s="532"/>
      <c r="E918" s="532"/>
      <c r="F918" s="532"/>
      <c r="G918" s="532"/>
      <c r="H918" s="532"/>
      <c r="I918" s="532"/>
    </row>
    <row r="919" spans="1:9" ht="12.75">
      <c r="A919" s="532"/>
      <c r="B919" s="532"/>
      <c r="C919" s="532"/>
      <c r="D919" s="532"/>
      <c r="E919" s="532"/>
      <c r="F919" s="532"/>
      <c r="G919" s="532"/>
      <c r="H919" s="532"/>
      <c r="I919" s="532"/>
    </row>
    <row r="920" spans="1:9" ht="12.75">
      <c r="A920" s="532"/>
      <c r="B920" s="532"/>
      <c r="C920" s="532"/>
      <c r="D920" s="532"/>
      <c r="E920" s="532"/>
      <c r="F920" s="532"/>
      <c r="G920" s="532"/>
      <c r="H920" s="532"/>
      <c r="I920" s="532"/>
    </row>
    <row r="921" spans="1:9" ht="12.75">
      <c r="A921" s="532"/>
      <c r="B921" s="532"/>
      <c r="C921" s="532"/>
      <c r="D921" s="532"/>
      <c r="E921" s="532"/>
      <c r="F921" s="532"/>
      <c r="G921" s="532"/>
      <c r="H921" s="532"/>
      <c r="I921" s="532"/>
    </row>
    <row r="922" spans="1:9" ht="12.75">
      <c r="A922" s="532"/>
      <c r="B922" s="532"/>
      <c r="C922" s="532"/>
      <c r="D922" s="532"/>
      <c r="E922" s="532"/>
      <c r="F922" s="532"/>
      <c r="G922" s="532"/>
      <c r="H922" s="532"/>
      <c r="I922" s="532"/>
    </row>
    <row r="923" spans="1:9" ht="12.75">
      <c r="A923" s="532"/>
      <c r="B923" s="532"/>
      <c r="C923" s="532"/>
      <c r="D923" s="532"/>
      <c r="E923" s="532"/>
      <c r="F923" s="532"/>
      <c r="G923" s="532"/>
      <c r="H923" s="532"/>
      <c r="I923" s="532"/>
    </row>
    <row r="924" spans="1:9" ht="12.75">
      <c r="A924" s="532"/>
      <c r="B924" s="532"/>
      <c r="C924" s="532"/>
      <c r="D924" s="532"/>
      <c r="E924" s="532"/>
      <c r="F924" s="532"/>
      <c r="G924" s="532"/>
      <c r="H924" s="532"/>
      <c r="I924" s="532"/>
    </row>
    <row r="925" spans="1:9" ht="12.75">
      <c r="A925" s="532"/>
      <c r="B925" s="532"/>
      <c r="C925" s="532"/>
      <c r="D925" s="532"/>
      <c r="E925" s="532"/>
      <c r="F925" s="532"/>
      <c r="G925" s="532"/>
      <c r="H925" s="532"/>
      <c r="I925" s="532"/>
    </row>
    <row r="926" spans="1:9" ht="12.75">
      <c r="A926" s="532"/>
      <c r="B926" s="532"/>
      <c r="C926" s="532"/>
      <c r="D926" s="532"/>
      <c r="E926" s="532"/>
      <c r="F926" s="532"/>
      <c r="G926" s="532"/>
      <c r="H926" s="532"/>
      <c r="I926" s="532"/>
    </row>
    <row r="927" spans="1:9" ht="12.75">
      <c r="A927" s="532"/>
      <c r="B927" s="532"/>
      <c r="C927" s="532"/>
      <c r="D927" s="532"/>
      <c r="E927" s="532"/>
      <c r="F927" s="532"/>
      <c r="G927" s="532"/>
      <c r="H927" s="532"/>
      <c r="I927" s="532"/>
    </row>
    <row r="928" spans="1:9" ht="12.75">
      <c r="A928" s="532"/>
      <c r="B928" s="532"/>
      <c r="C928" s="532"/>
      <c r="D928" s="532"/>
      <c r="E928" s="532"/>
      <c r="F928" s="532"/>
      <c r="G928" s="532"/>
      <c r="H928" s="532"/>
      <c r="I928" s="532"/>
    </row>
    <row r="929" spans="1:9" ht="12.75">
      <c r="A929" s="532"/>
      <c r="B929" s="532"/>
      <c r="C929" s="532"/>
      <c r="D929" s="532"/>
      <c r="E929" s="532"/>
      <c r="F929" s="532"/>
      <c r="G929" s="532"/>
      <c r="H929" s="532"/>
      <c r="I929" s="532"/>
    </row>
    <row r="930" spans="1:9" ht="12.75">
      <c r="A930" s="532"/>
      <c r="B930" s="532"/>
      <c r="C930" s="532"/>
      <c r="D930" s="532"/>
      <c r="E930" s="532"/>
      <c r="F930" s="532"/>
      <c r="G930" s="532"/>
      <c r="H930" s="532"/>
      <c r="I930" s="532"/>
    </row>
  </sheetData>
  <mergeCells count="14">
    <mergeCell ref="A66:A82"/>
    <mergeCell ref="B82:C82"/>
    <mergeCell ref="A26:A42"/>
    <mergeCell ref="B42:C42"/>
    <mergeCell ref="A45:C45"/>
    <mergeCell ref="A46:A62"/>
    <mergeCell ref="B62:C62"/>
    <mergeCell ref="A65:C65"/>
    <mergeCell ref="A3:C3"/>
    <mergeCell ref="A4:A22"/>
    <mergeCell ref="B20:C20"/>
    <mergeCell ref="B21:C21"/>
    <mergeCell ref="B22:C22"/>
    <mergeCell ref="A25:C25"/>
  </mergeCells>
  <phoneticPr fontId="63" type="noConversion"/>
  <conditionalFormatting sqref="D66:AC81">
    <cfRule type="colorScale" priority="1">
      <colorScale>
        <cfvo type="formula" val="0"/>
        <cfvo type="formula" val="3"/>
        <cfvo type="formula" val="10"/>
        <color rgb="FF6D9EEB"/>
        <color rgb="FFFFFFFF"/>
        <color rgb="FFE06666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3C47D"/>
    <outlinePr summaryBelow="0" summaryRight="0"/>
  </sheetPr>
  <dimension ref="A1:O17"/>
  <sheetViews>
    <sheetView workbookViewId="0"/>
  </sheetViews>
  <sheetFormatPr defaultColWidth="14.42578125" defaultRowHeight="15.75" customHeight="1"/>
  <cols>
    <col min="1" max="1" width="17.7109375" customWidth="1"/>
    <col min="2" max="2" width="13.28515625" customWidth="1"/>
    <col min="3" max="3" width="8.85546875" customWidth="1"/>
    <col min="4" max="4" width="34.140625" customWidth="1"/>
    <col min="14" max="14" width="35.85546875" customWidth="1"/>
  </cols>
  <sheetData>
    <row r="1" spans="1:15" ht="15.75" customHeight="1">
      <c r="A1" s="281" t="s">
        <v>30</v>
      </c>
      <c r="B1" s="282" t="s">
        <v>31</v>
      </c>
      <c r="C1" s="282" t="s">
        <v>211</v>
      </c>
      <c r="D1" s="282" t="s">
        <v>32</v>
      </c>
      <c r="E1" s="282" t="s">
        <v>33</v>
      </c>
      <c r="F1" s="283" t="s">
        <v>212</v>
      </c>
      <c r="G1" s="284" t="s">
        <v>34</v>
      </c>
      <c r="H1" s="284" t="s">
        <v>35</v>
      </c>
      <c r="M1" s="30" t="s">
        <v>211</v>
      </c>
      <c r="N1" s="30" t="s">
        <v>41</v>
      </c>
      <c r="O1" s="30" t="s">
        <v>213</v>
      </c>
    </row>
    <row r="2" spans="1:15" ht="15.75" customHeight="1">
      <c r="C2" s="30">
        <v>330851</v>
      </c>
      <c r="D2" s="30" t="s">
        <v>214</v>
      </c>
      <c r="E2" s="30">
        <v>630</v>
      </c>
      <c r="F2" s="30">
        <f t="shared" ref="F2:F13" si="0">E2/VLOOKUP(C2, M:O, 3, FALSE)</f>
        <v>105</v>
      </c>
      <c r="G2" s="30" t="s">
        <v>215</v>
      </c>
      <c r="H2" s="285">
        <v>45901</v>
      </c>
      <c r="K2" s="30" t="s">
        <v>216</v>
      </c>
      <c r="L2" s="30" t="s">
        <v>217</v>
      </c>
      <c r="M2" s="30">
        <v>343070</v>
      </c>
      <c r="N2" s="30" t="s">
        <v>218</v>
      </c>
      <c r="O2" s="30">
        <v>12</v>
      </c>
    </row>
    <row r="3" spans="1:15" ht="15.75" customHeight="1">
      <c r="C3" s="30">
        <v>330854</v>
      </c>
      <c r="D3" s="30" t="s">
        <v>219</v>
      </c>
      <c r="E3" s="30">
        <v>240</v>
      </c>
      <c r="F3" s="30">
        <f t="shared" si="0"/>
        <v>80</v>
      </c>
      <c r="G3" s="30" t="s">
        <v>215</v>
      </c>
      <c r="H3" s="285">
        <v>45901</v>
      </c>
      <c r="M3" s="30">
        <v>351434</v>
      </c>
      <c r="N3" s="30" t="s">
        <v>220</v>
      </c>
      <c r="O3" s="30">
        <v>12</v>
      </c>
    </row>
    <row r="4" spans="1:15" ht="15.75" customHeight="1">
      <c r="C4" s="30">
        <v>350473</v>
      </c>
      <c r="D4" s="30" t="s">
        <v>221</v>
      </c>
      <c r="E4" s="30">
        <v>3600</v>
      </c>
      <c r="F4" s="30">
        <f t="shared" si="0"/>
        <v>600</v>
      </c>
      <c r="G4" s="30" t="s">
        <v>215</v>
      </c>
      <c r="H4" s="286">
        <v>45931</v>
      </c>
      <c r="M4" s="30">
        <v>330851</v>
      </c>
      <c r="N4" s="30" t="s">
        <v>214</v>
      </c>
      <c r="O4" s="30">
        <v>6</v>
      </c>
    </row>
    <row r="5" spans="1:15" ht="15.75" customHeight="1">
      <c r="C5" s="30">
        <v>351460</v>
      </c>
      <c r="D5" s="30" t="s">
        <v>222</v>
      </c>
      <c r="E5" s="30">
        <v>662</v>
      </c>
      <c r="F5" s="30">
        <f t="shared" si="0"/>
        <v>66.2</v>
      </c>
      <c r="G5" s="30" t="s">
        <v>215</v>
      </c>
      <c r="H5" s="286">
        <v>45931</v>
      </c>
      <c r="M5" s="30">
        <v>330854</v>
      </c>
      <c r="N5" s="30" t="s">
        <v>219</v>
      </c>
      <c r="O5" s="30">
        <v>3</v>
      </c>
    </row>
    <row r="6" spans="1:15" ht="15.75" customHeight="1">
      <c r="C6" s="30">
        <v>351434</v>
      </c>
      <c r="D6" s="30" t="s">
        <v>220</v>
      </c>
      <c r="E6" s="30">
        <v>1260</v>
      </c>
      <c r="F6" s="30">
        <f t="shared" si="0"/>
        <v>105</v>
      </c>
      <c r="G6" s="30" t="s">
        <v>215</v>
      </c>
      <c r="H6" s="286">
        <v>45931</v>
      </c>
      <c r="M6" s="30">
        <v>330853</v>
      </c>
      <c r="N6" s="30" t="s">
        <v>223</v>
      </c>
      <c r="O6" s="30">
        <v>10</v>
      </c>
    </row>
    <row r="7" spans="1:15" ht="15.75" customHeight="1">
      <c r="C7" s="30">
        <v>330856</v>
      </c>
      <c r="D7" s="30" t="s">
        <v>224</v>
      </c>
      <c r="E7" s="30">
        <v>72</v>
      </c>
      <c r="F7" s="30">
        <f t="shared" si="0"/>
        <v>24</v>
      </c>
      <c r="H7" s="286">
        <v>45992</v>
      </c>
      <c r="M7" s="30">
        <v>351460</v>
      </c>
      <c r="N7" s="30" t="s">
        <v>225</v>
      </c>
      <c r="O7" s="30">
        <v>10</v>
      </c>
    </row>
    <row r="8" spans="1:15" ht="15.75" customHeight="1">
      <c r="C8" s="30">
        <v>351364</v>
      </c>
      <c r="D8" s="30" t="s">
        <v>226</v>
      </c>
      <c r="E8" s="30">
        <v>120</v>
      </c>
      <c r="F8" s="30">
        <f t="shared" si="0"/>
        <v>20</v>
      </c>
      <c r="H8" s="286">
        <v>45992</v>
      </c>
      <c r="M8" s="30">
        <v>350473</v>
      </c>
      <c r="N8" s="30" t="s">
        <v>221</v>
      </c>
      <c r="O8" s="30">
        <v>6</v>
      </c>
    </row>
    <row r="9" spans="1:15" ht="15.75" customHeight="1">
      <c r="C9" s="30">
        <v>351366</v>
      </c>
      <c r="D9" s="30" t="s">
        <v>227</v>
      </c>
      <c r="E9" s="30">
        <v>240</v>
      </c>
      <c r="F9" s="30">
        <f t="shared" si="0"/>
        <v>80</v>
      </c>
      <c r="H9" s="286">
        <v>45992</v>
      </c>
      <c r="M9" s="30">
        <v>330857</v>
      </c>
      <c r="N9" s="30" t="s">
        <v>228</v>
      </c>
      <c r="O9" s="30">
        <v>12</v>
      </c>
    </row>
    <row r="10" spans="1:15" ht="15.75" customHeight="1">
      <c r="C10" s="30">
        <v>351368</v>
      </c>
      <c r="D10" s="30" t="s">
        <v>229</v>
      </c>
      <c r="E10" s="30">
        <v>42</v>
      </c>
      <c r="F10" s="30">
        <f t="shared" si="0"/>
        <v>7</v>
      </c>
      <c r="H10" s="286">
        <v>45992</v>
      </c>
      <c r="M10" s="30">
        <v>330855</v>
      </c>
      <c r="N10" s="30" t="s">
        <v>230</v>
      </c>
      <c r="O10" s="30">
        <v>3</v>
      </c>
    </row>
    <row r="11" spans="1:15" ht="15.75" customHeight="1">
      <c r="C11" s="30">
        <v>351434</v>
      </c>
      <c r="D11" s="30" t="s">
        <v>220</v>
      </c>
      <c r="E11" s="30">
        <v>1500</v>
      </c>
      <c r="F11" s="30">
        <f t="shared" si="0"/>
        <v>125</v>
      </c>
      <c r="H11" s="286">
        <v>45992</v>
      </c>
      <c r="M11" s="30">
        <v>330856</v>
      </c>
      <c r="N11" s="30" t="s">
        <v>224</v>
      </c>
      <c r="O11" s="30">
        <v>3</v>
      </c>
    </row>
    <row r="12" spans="1:15" ht="15.75" customHeight="1">
      <c r="C12" s="30">
        <v>350473</v>
      </c>
      <c r="D12" s="30" t="s">
        <v>221</v>
      </c>
      <c r="E12" s="30">
        <v>3600</v>
      </c>
      <c r="F12" s="30">
        <f t="shared" si="0"/>
        <v>600</v>
      </c>
      <c r="H12" s="285">
        <v>46023</v>
      </c>
      <c r="M12" s="30">
        <v>351368</v>
      </c>
      <c r="N12" s="30" t="s">
        <v>229</v>
      </c>
      <c r="O12" s="30">
        <v>6</v>
      </c>
    </row>
    <row r="13" spans="1:15" ht="15.75" customHeight="1">
      <c r="C13" s="30">
        <v>330857</v>
      </c>
      <c r="D13" s="30" t="s">
        <v>228</v>
      </c>
      <c r="E13" s="30">
        <v>60</v>
      </c>
      <c r="F13" s="30">
        <f t="shared" si="0"/>
        <v>5</v>
      </c>
      <c r="H13" s="285">
        <v>46023</v>
      </c>
      <c r="M13" s="30">
        <v>351367</v>
      </c>
      <c r="N13" s="30" t="s">
        <v>231</v>
      </c>
      <c r="O13" s="30">
        <v>6</v>
      </c>
    </row>
    <row r="14" spans="1:15" ht="15.75" customHeight="1">
      <c r="M14" s="30">
        <v>351366</v>
      </c>
      <c r="N14" s="30" t="s">
        <v>227</v>
      </c>
      <c r="O14" s="30">
        <v>3</v>
      </c>
    </row>
    <row r="15" spans="1:15" ht="15.75" customHeight="1">
      <c r="M15" s="30">
        <v>351365</v>
      </c>
      <c r="N15" s="30" t="s">
        <v>232</v>
      </c>
      <c r="O15" s="30">
        <v>6</v>
      </c>
    </row>
    <row r="16" spans="1:15" ht="15.75" customHeight="1">
      <c r="M16" s="30">
        <v>351364</v>
      </c>
      <c r="N16" s="30" t="s">
        <v>233</v>
      </c>
      <c r="O16" s="30">
        <v>6</v>
      </c>
    </row>
    <row r="17" spans="13:15" ht="15.75" customHeight="1">
      <c r="M17" s="30">
        <v>351363</v>
      </c>
      <c r="N17" s="30" t="s">
        <v>234</v>
      </c>
      <c r="O17" s="30">
        <v>3</v>
      </c>
    </row>
  </sheetData>
  <autoFilter ref="A1:H13" xr:uid="{00000000-0009-0000-0000-00000B000000}"/>
  <phoneticPr fontId="6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6D7A8"/>
    <outlinePr summaryBelow="0" summaryRight="0"/>
  </sheetPr>
  <dimension ref="A1:D18"/>
  <sheetViews>
    <sheetView workbookViewId="0"/>
  </sheetViews>
  <sheetFormatPr defaultColWidth="14.42578125" defaultRowHeight="15.75" customHeight="1"/>
  <cols>
    <col min="2" max="2" width="41.5703125" customWidth="1"/>
  </cols>
  <sheetData>
    <row r="1" spans="1:4" ht="15.75" customHeight="1">
      <c r="C1" s="287">
        <v>45950</v>
      </c>
    </row>
    <row r="2" spans="1:4" ht="15.75" customHeight="1">
      <c r="A2" s="30" t="s">
        <v>235</v>
      </c>
      <c r="B2" s="30" t="s">
        <v>236</v>
      </c>
      <c r="C2" s="30" t="s">
        <v>136</v>
      </c>
    </row>
    <row r="3" spans="1:4" ht="15.75" customHeight="1">
      <c r="A3" s="30">
        <v>330851</v>
      </c>
      <c r="B3" s="30" t="s">
        <v>214</v>
      </c>
      <c r="C3" s="30">
        <v>477</v>
      </c>
    </row>
    <row r="4" spans="1:4" ht="15.75" customHeight="1">
      <c r="A4" s="30">
        <v>330853</v>
      </c>
      <c r="B4" s="30" t="s">
        <v>223</v>
      </c>
      <c r="C4" s="30">
        <v>12868</v>
      </c>
      <c r="D4" s="28"/>
    </row>
    <row r="5" spans="1:4" ht="15.75" customHeight="1">
      <c r="A5" s="30">
        <v>330854</v>
      </c>
      <c r="B5" s="30" t="s">
        <v>219</v>
      </c>
      <c r="C5" s="30">
        <v>332</v>
      </c>
    </row>
    <row r="6" spans="1:4" ht="15.75" customHeight="1">
      <c r="A6" s="30">
        <v>330855</v>
      </c>
      <c r="B6" s="30" t="s">
        <v>230</v>
      </c>
      <c r="C6" s="30">
        <v>110</v>
      </c>
    </row>
    <row r="7" spans="1:4" ht="15.75" customHeight="1">
      <c r="A7" s="30">
        <v>330856</v>
      </c>
      <c r="B7" s="30" t="s">
        <v>224</v>
      </c>
      <c r="C7" s="30">
        <v>51</v>
      </c>
    </row>
    <row r="8" spans="1:4" ht="15.75" customHeight="1">
      <c r="A8" s="30">
        <v>330857</v>
      </c>
      <c r="B8" s="30" t="s">
        <v>228</v>
      </c>
      <c r="C8" s="30">
        <v>32</v>
      </c>
    </row>
    <row r="9" spans="1:4" ht="15.75" customHeight="1">
      <c r="A9" s="30">
        <v>343070</v>
      </c>
      <c r="B9" s="30" t="s">
        <v>218</v>
      </c>
      <c r="C9" s="30">
        <v>10472</v>
      </c>
      <c r="D9" s="28"/>
    </row>
    <row r="10" spans="1:4" ht="15.75" customHeight="1">
      <c r="A10" s="30">
        <v>350473</v>
      </c>
      <c r="B10" s="30" t="s">
        <v>221</v>
      </c>
      <c r="C10" s="30">
        <v>4764</v>
      </c>
      <c r="D10" s="28"/>
    </row>
    <row r="11" spans="1:4" ht="15.75" customHeight="1">
      <c r="A11" s="30">
        <v>351363</v>
      </c>
      <c r="B11" s="30" t="s">
        <v>237</v>
      </c>
      <c r="C11" s="30">
        <v>137</v>
      </c>
    </row>
    <row r="12" spans="1:4" ht="15.75" customHeight="1">
      <c r="A12" s="30">
        <v>351364</v>
      </c>
      <c r="B12" s="30" t="s">
        <v>226</v>
      </c>
      <c r="C12" s="30">
        <v>42</v>
      </c>
    </row>
    <row r="13" spans="1:4" ht="15.75" customHeight="1">
      <c r="A13" s="30">
        <v>351365</v>
      </c>
      <c r="B13" s="30" t="s">
        <v>238</v>
      </c>
      <c r="C13" s="30">
        <v>197</v>
      </c>
    </row>
    <row r="14" spans="1:4" ht="15.75" customHeight="1">
      <c r="A14" s="30">
        <v>351366</v>
      </c>
      <c r="B14" s="30" t="s">
        <v>227</v>
      </c>
      <c r="C14" s="30">
        <v>2</v>
      </c>
    </row>
    <row r="15" spans="1:4" ht="15.75" customHeight="1">
      <c r="A15" s="30">
        <v>351367</v>
      </c>
      <c r="B15" s="30" t="s">
        <v>231</v>
      </c>
      <c r="C15" s="30">
        <v>149</v>
      </c>
    </row>
    <row r="16" spans="1:4" ht="15.75" customHeight="1">
      <c r="A16" s="30">
        <v>351368</v>
      </c>
      <c r="B16" s="30" t="s">
        <v>229</v>
      </c>
      <c r="C16" s="30">
        <v>108</v>
      </c>
    </row>
    <row r="17" spans="1:4" ht="15.75" customHeight="1">
      <c r="A17" s="30">
        <v>351434</v>
      </c>
      <c r="B17" s="30" t="s">
        <v>239</v>
      </c>
      <c r="C17" s="30">
        <v>891</v>
      </c>
    </row>
    <row r="18" spans="1:4" ht="15.75" customHeight="1">
      <c r="A18" s="30">
        <v>351460</v>
      </c>
      <c r="B18" s="30" t="s">
        <v>240</v>
      </c>
      <c r="C18" s="30">
        <v>658</v>
      </c>
      <c r="D18" s="28"/>
    </row>
  </sheetData>
  <phoneticPr fontId="6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8"/>
  <sheetViews>
    <sheetView workbookViewId="0">
      <selection activeCell="E3" sqref="E3:E18"/>
    </sheetView>
  </sheetViews>
  <sheetFormatPr defaultColWidth="14.42578125" defaultRowHeight="15.75" customHeight="1"/>
  <cols>
    <col min="3" max="4" width="35.85546875" customWidth="1"/>
    <col min="5" max="5" width="13.140625" customWidth="1"/>
  </cols>
  <sheetData>
    <row r="1" spans="1:8" ht="15.75" customHeight="1">
      <c r="A1" s="30"/>
      <c r="F1" s="30"/>
      <c r="G1" s="30"/>
      <c r="H1" s="30"/>
    </row>
    <row r="2" spans="1:8" ht="15.75" customHeight="1">
      <c r="A2" s="280" t="s">
        <v>241</v>
      </c>
      <c r="B2" s="280" t="s">
        <v>242</v>
      </c>
      <c r="C2" s="280" t="s">
        <v>243</v>
      </c>
      <c r="D2" s="280" t="s">
        <v>236</v>
      </c>
      <c r="E2" s="280" t="s">
        <v>244</v>
      </c>
      <c r="F2" s="280" t="s">
        <v>245</v>
      </c>
      <c r="G2" s="280" t="s">
        <v>494</v>
      </c>
      <c r="H2" s="280" t="s">
        <v>495</v>
      </c>
    </row>
    <row r="3" spans="1:8" ht="15.75" customHeight="1">
      <c r="A3" s="30">
        <v>117547</v>
      </c>
      <c r="B3" s="30">
        <v>330851</v>
      </c>
      <c r="C3" s="30" t="s">
        <v>142</v>
      </c>
      <c r="D3" s="30" t="s">
        <v>214</v>
      </c>
      <c r="E3" s="30">
        <v>6</v>
      </c>
      <c r="F3" s="30" t="s">
        <v>246</v>
      </c>
      <c r="G3" s="530">
        <v>17.5</v>
      </c>
      <c r="H3" s="30">
        <f>G3*E3</f>
        <v>105</v>
      </c>
    </row>
    <row r="4" spans="1:8" ht="15.75" customHeight="1">
      <c r="A4" s="30">
        <v>552897</v>
      </c>
      <c r="B4" s="30">
        <v>330853</v>
      </c>
      <c r="C4" s="30" t="s">
        <v>143</v>
      </c>
      <c r="D4" s="30" t="s">
        <v>223</v>
      </c>
      <c r="E4" s="30">
        <v>10</v>
      </c>
      <c r="F4" s="30" t="s">
        <v>246</v>
      </c>
      <c r="G4" s="530">
        <v>7.65</v>
      </c>
      <c r="H4" s="30">
        <f t="shared" ref="H4:H18" si="0">G4*E4</f>
        <v>76.5</v>
      </c>
    </row>
    <row r="5" spans="1:8" ht="15.75" customHeight="1">
      <c r="A5" s="30">
        <v>117771</v>
      </c>
      <c r="B5" s="30">
        <v>330854</v>
      </c>
      <c r="C5" s="30" t="s">
        <v>144</v>
      </c>
      <c r="D5" s="30" t="s">
        <v>219</v>
      </c>
      <c r="E5" s="30">
        <v>3</v>
      </c>
      <c r="F5" s="30" t="s">
        <v>246</v>
      </c>
      <c r="G5" s="530">
        <v>57</v>
      </c>
      <c r="H5" s="30">
        <f t="shared" si="0"/>
        <v>171</v>
      </c>
    </row>
    <row r="6" spans="1:8" ht="15.75" customHeight="1">
      <c r="A6" s="30">
        <v>646546</v>
      </c>
      <c r="B6" s="30">
        <v>330855</v>
      </c>
      <c r="C6" s="30" t="s">
        <v>145</v>
      </c>
      <c r="D6" s="30" t="s">
        <v>230</v>
      </c>
      <c r="E6" s="30">
        <v>3</v>
      </c>
      <c r="F6" s="30" t="s">
        <v>246</v>
      </c>
      <c r="G6" s="530">
        <v>47.833333333333336</v>
      </c>
      <c r="H6" s="30">
        <f t="shared" si="0"/>
        <v>143.5</v>
      </c>
    </row>
    <row r="7" spans="1:8" ht="15.75" customHeight="1">
      <c r="A7" s="30">
        <v>646567</v>
      </c>
      <c r="B7" s="30">
        <v>330856</v>
      </c>
      <c r="C7" s="30" t="s">
        <v>146</v>
      </c>
      <c r="D7" s="30" t="s">
        <v>224</v>
      </c>
      <c r="E7" s="30">
        <v>3</v>
      </c>
      <c r="F7" s="30" t="s">
        <v>246</v>
      </c>
      <c r="G7" s="530">
        <v>52</v>
      </c>
      <c r="H7" s="30">
        <f t="shared" si="0"/>
        <v>156</v>
      </c>
    </row>
    <row r="8" spans="1:8" ht="15.75" customHeight="1">
      <c r="A8" s="30">
        <v>691217</v>
      </c>
      <c r="B8" s="30">
        <v>330857</v>
      </c>
      <c r="C8" s="30" t="s">
        <v>147</v>
      </c>
      <c r="D8" s="30" t="s">
        <v>228</v>
      </c>
      <c r="E8" s="30">
        <v>12</v>
      </c>
      <c r="F8" s="30" t="s">
        <v>246</v>
      </c>
      <c r="G8" s="530">
        <v>102.5</v>
      </c>
      <c r="H8" s="30">
        <f t="shared" si="0"/>
        <v>1230</v>
      </c>
    </row>
    <row r="9" spans="1:8" ht="15.75" customHeight="1">
      <c r="A9" s="30">
        <v>611174</v>
      </c>
      <c r="B9" s="30">
        <v>343070</v>
      </c>
      <c r="C9" s="30" t="s">
        <v>148</v>
      </c>
      <c r="D9" s="30" t="s">
        <v>218</v>
      </c>
      <c r="E9" s="30">
        <v>12</v>
      </c>
      <c r="F9" s="30" t="s">
        <v>247</v>
      </c>
      <c r="G9" s="530">
        <v>18.599999999999998</v>
      </c>
      <c r="H9" s="30">
        <f t="shared" si="0"/>
        <v>223.2</v>
      </c>
    </row>
    <row r="10" spans="1:8" ht="15.75" customHeight="1">
      <c r="A10" s="30">
        <v>701775</v>
      </c>
      <c r="B10" s="30">
        <v>350473</v>
      </c>
      <c r="C10" s="30" t="s">
        <v>149</v>
      </c>
      <c r="D10" s="30" t="s">
        <v>221</v>
      </c>
      <c r="E10" s="30">
        <v>6</v>
      </c>
      <c r="F10" s="30" t="s">
        <v>246</v>
      </c>
      <c r="G10" s="530">
        <v>30.5</v>
      </c>
      <c r="H10" s="30">
        <f t="shared" si="0"/>
        <v>183</v>
      </c>
    </row>
    <row r="11" spans="1:8" ht="15.75" customHeight="1">
      <c r="A11" s="30">
        <v>646548</v>
      </c>
      <c r="B11" s="30">
        <v>351363</v>
      </c>
      <c r="C11" s="30" t="s">
        <v>150</v>
      </c>
      <c r="D11" s="30" t="s">
        <v>237</v>
      </c>
      <c r="E11" s="30">
        <v>3</v>
      </c>
      <c r="F11" s="30" t="s">
        <v>246</v>
      </c>
      <c r="G11" s="530">
        <v>39.733333333333334</v>
      </c>
      <c r="H11" s="30">
        <f t="shared" si="0"/>
        <v>119.2</v>
      </c>
    </row>
    <row r="12" spans="1:8" ht="15.75" customHeight="1">
      <c r="A12" s="30">
        <v>589462</v>
      </c>
      <c r="B12" s="30">
        <v>351364</v>
      </c>
      <c r="C12" s="30" t="s">
        <v>151</v>
      </c>
      <c r="D12" s="30" t="s">
        <v>226</v>
      </c>
      <c r="E12" s="30">
        <v>6</v>
      </c>
      <c r="F12" s="30" t="s">
        <v>246</v>
      </c>
      <c r="G12" s="530">
        <v>44.800000000000004</v>
      </c>
      <c r="H12" s="30">
        <f t="shared" si="0"/>
        <v>268.8</v>
      </c>
    </row>
    <row r="13" spans="1:8" ht="15.75" customHeight="1">
      <c r="A13" s="30">
        <v>589466</v>
      </c>
      <c r="B13" s="30">
        <v>351365</v>
      </c>
      <c r="C13" s="30" t="s">
        <v>152</v>
      </c>
      <c r="D13" s="30" t="s">
        <v>238</v>
      </c>
      <c r="E13" s="30">
        <v>6</v>
      </c>
      <c r="F13" s="30" t="s">
        <v>246</v>
      </c>
      <c r="G13" s="530">
        <v>45.800000000000004</v>
      </c>
      <c r="H13" s="30">
        <f t="shared" si="0"/>
        <v>274.8</v>
      </c>
    </row>
    <row r="14" spans="1:8" ht="15.75" customHeight="1">
      <c r="A14" s="30">
        <v>116180</v>
      </c>
      <c r="B14" s="30">
        <v>351366</v>
      </c>
      <c r="C14" s="30" t="s">
        <v>153</v>
      </c>
      <c r="D14" s="30" t="s">
        <v>227</v>
      </c>
      <c r="E14" s="30">
        <v>3</v>
      </c>
      <c r="F14" s="30" t="s">
        <v>246</v>
      </c>
      <c r="G14" s="530">
        <v>48.166666666666664</v>
      </c>
      <c r="H14" s="30">
        <f t="shared" si="0"/>
        <v>144.5</v>
      </c>
    </row>
    <row r="15" spans="1:8" ht="15.75" customHeight="1">
      <c r="A15" s="30">
        <v>695413</v>
      </c>
      <c r="B15" s="30">
        <v>351367</v>
      </c>
      <c r="C15" s="30" t="s">
        <v>154</v>
      </c>
      <c r="D15" s="30" t="s">
        <v>231</v>
      </c>
      <c r="E15" s="30">
        <v>6</v>
      </c>
      <c r="F15" s="30" t="s">
        <v>247</v>
      </c>
      <c r="G15" s="530">
        <v>40.75</v>
      </c>
      <c r="H15" s="30">
        <f t="shared" si="0"/>
        <v>244.5</v>
      </c>
    </row>
    <row r="16" spans="1:8" ht="15.75" customHeight="1">
      <c r="A16" s="30">
        <v>699883</v>
      </c>
      <c r="B16" s="30">
        <v>351368</v>
      </c>
      <c r="C16" s="30" t="s">
        <v>155</v>
      </c>
      <c r="D16" s="30" t="s">
        <v>229</v>
      </c>
      <c r="E16" s="30">
        <v>6</v>
      </c>
      <c r="F16" s="30" t="s">
        <v>247</v>
      </c>
      <c r="G16" s="530">
        <v>28</v>
      </c>
      <c r="H16" s="30">
        <f t="shared" si="0"/>
        <v>168</v>
      </c>
    </row>
    <row r="17" spans="1:8" ht="15.75" customHeight="1">
      <c r="A17" s="30">
        <v>645380</v>
      </c>
      <c r="B17" s="30">
        <v>351434</v>
      </c>
      <c r="C17" s="30" t="s">
        <v>156</v>
      </c>
      <c r="D17" s="30" t="s">
        <v>239</v>
      </c>
      <c r="E17" s="30">
        <v>12</v>
      </c>
      <c r="F17" s="30" t="s">
        <v>248</v>
      </c>
      <c r="G17" s="530">
        <v>20.8</v>
      </c>
      <c r="H17" s="30">
        <f t="shared" si="0"/>
        <v>249.60000000000002</v>
      </c>
    </row>
    <row r="18" spans="1:8" ht="15.75" customHeight="1">
      <c r="A18" s="30">
        <v>578785</v>
      </c>
      <c r="B18" s="30">
        <v>351460</v>
      </c>
      <c r="C18" s="30" t="s">
        <v>157</v>
      </c>
      <c r="D18" s="30" t="s">
        <v>240</v>
      </c>
      <c r="E18" s="30">
        <v>10</v>
      </c>
      <c r="F18" s="30" t="s">
        <v>246</v>
      </c>
      <c r="G18" s="530">
        <v>7.65</v>
      </c>
      <c r="H18" s="30">
        <f t="shared" si="0"/>
        <v>76.5</v>
      </c>
    </row>
  </sheetData>
  <phoneticPr fontId="6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D966"/>
    <outlinePr summaryBelow="0" summaryRight="0"/>
  </sheetPr>
  <dimension ref="A1:W56"/>
  <sheetViews>
    <sheetView topLeftCell="A25" workbookViewId="0">
      <selection activeCell="N40" sqref="N40:N55"/>
    </sheetView>
  </sheetViews>
  <sheetFormatPr defaultColWidth="14.42578125" defaultRowHeight="15.75" customHeight="1"/>
  <cols>
    <col min="3" max="3" width="13.42578125" customWidth="1"/>
    <col min="4" max="4" width="19.140625" customWidth="1"/>
  </cols>
  <sheetData>
    <row r="1" spans="1:23" ht="15">
      <c r="A1" s="1"/>
      <c r="B1" s="2"/>
      <c r="C1" s="2"/>
    </row>
    <row r="2" spans="1:23" ht="15.75" customHeight="1">
      <c r="A2" s="1"/>
      <c r="B2" s="3" t="s">
        <v>249</v>
      </c>
      <c r="C2" s="2"/>
    </row>
    <row r="3" spans="1:23" ht="15">
      <c r="A3" s="1"/>
      <c r="B3" s="647"/>
      <c r="C3" s="590"/>
      <c r="D3" s="5" t="s">
        <v>250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2</v>
      </c>
      <c r="S3" s="5" t="s">
        <v>3</v>
      </c>
      <c r="T3" s="5" t="s">
        <v>4</v>
      </c>
      <c r="U3" s="5" t="s">
        <v>5</v>
      </c>
      <c r="V3" s="5" t="s">
        <v>6</v>
      </c>
      <c r="W3" s="5" t="s">
        <v>7</v>
      </c>
    </row>
    <row r="4" spans="1:23" ht="15">
      <c r="A4" s="1"/>
      <c r="B4" s="648" t="s">
        <v>14</v>
      </c>
      <c r="C4" s="185">
        <v>1</v>
      </c>
      <c r="D4" s="288">
        <v>676366</v>
      </c>
      <c r="E4" s="289" t="e">
        <f>#REF!*VLOOKUP($D4,단가!$B:$E,4,0)</f>
        <v>#REF!</v>
      </c>
      <c r="F4" s="289" t="e">
        <f>#REF!*VLOOKUP($D4,단가!$B:$E,4,0)</f>
        <v>#REF!</v>
      </c>
      <c r="G4" s="289" t="e">
        <f>#REF!*VLOOKUP($D4,단가!$B:$E,4,0)</f>
        <v>#REF!</v>
      </c>
      <c r="H4" s="289" t="e">
        <f>#REF!*VLOOKUP($D4,단가!$B:$E,4,0)</f>
        <v>#REF!</v>
      </c>
      <c r="I4" s="289" t="e">
        <f>#REF!*VLOOKUP($D4,단가!$B:$E,4,0)</f>
        <v>#REF!</v>
      </c>
      <c r="J4" s="289" t="e">
        <f>#REF!*VLOOKUP($D4,단가!$B:$E,4,0)</f>
        <v>#REF!</v>
      </c>
      <c r="K4" s="289" t="e">
        <f>#REF!*VLOOKUP($D4,단가!$B:$E,4,0)</f>
        <v>#REF!</v>
      </c>
      <c r="L4" s="289" t="e">
        <f>#REF!*VLOOKUP($D4,단가!$B:$E,4,0)</f>
        <v>#REF!</v>
      </c>
      <c r="M4" s="289" t="e">
        <f>#REF!*VLOOKUP($D4,단가!$B:$E,4,0)</f>
        <v>#REF!</v>
      </c>
      <c r="N4" s="289" t="e">
        <f>#REF!*VLOOKUP($D4,단가!$B:$E,4,0)</f>
        <v>#REF!</v>
      </c>
      <c r="O4" s="289" t="e">
        <f>#REF!*VLOOKUP($D4,단가!$B:$E,4,0)</f>
        <v>#REF!</v>
      </c>
      <c r="P4" s="289" t="e">
        <f>#REF!*VLOOKUP($D4,단가!$B:$E,4,0)</f>
        <v>#REF!</v>
      </c>
      <c r="Q4" s="289" t="e">
        <f>#REF!*VLOOKUP($D4,단가!$B:$E,4,0)</f>
        <v>#REF!</v>
      </c>
      <c r="R4" s="289" t="e">
        <f>#REF!*VLOOKUP($D4,단가!$B:$E,4,0)</f>
        <v>#REF!</v>
      </c>
      <c r="S4" s="289" t="e">
        <f>#REF!*VLOOKUP($D4,단가!$B:$E,4,0)</f>
        <v>#REF!</v>
      </c>
      <c r="T4" s="289" t="e">
        <f>#REF!*VLOOKUP($D4,단가!$B:$E,4,0)</f>
        <v>#REF!</v>
      </c>
      <c r="U4" s="289" t="e">
        <f>#REF!*VLOOKUP($D4,단가!$B:$E,4,0)</f>
        <v>#REF!</v>
      </c>
      <c r="V4" s="289" t="e">
        <f>#REF!*VLOOKUP($D4,단가!$B:$E,4,0)</f>
        <v>#REF!</v>
      </c>
      <c r="W4" s="289" t="e">
        <f>#REF!*VLOOKUP($D4,단가!$B:$E,4,0)</f>
        <v>#REF!</v>
      </c>
    </row>
    <row r="5" spans="1:23" ht="15">
      <c r="A5" s="1"/>
      <c r="B5" s="609"/>
      <c r="C5" s="185">
        <v>2</v>
      </c>
      <c r="D5" s="288">
        <v>676367</v>
      </c>
      <c r="E5" s="289" t="e">
        <f>#REF!*VLOOKUP($D5,단가!$B:$E,4,0)</f>
        <v>#REF!</v>
      </c>
      <c r="F5" s="289" t="e">
        <f>#REF!*VLOOKUP($D5,단가!$B:$E,4,0)</f>
        <v>#REF!</v>
      </c>
      <c r="G5" s="289" t="e">
        <f>#REF!*VLOOKUP($D5,단가!$B:$E,4,0)</f>
        <v>#REF!</v>
      </c>
      <c r="H5" s="289" t="e">
        <f>#REF!*VLOOKUP($D5,단가!$B:$E,4,0)</f>
        <v>#REF!</v>
      </c>
      <c r="I5" s="289" t="e">
        <f>#REF!*VLOOKUP($D5,단가!$B:$E,4,0)</f>
        <v>#REF!</v>
      </c>
      <c r="J5" s="289" t="e">
        <f>#REF!*VLOOKUP($D5,단가!$B:$E,4,0)</f>
        <v>#REF!</v>
      </c>
      <c r="K5" s="289" t="e">
        <f>#REF!*VLOOKUP($D5,단가!$B:$E,4,0)</f>
        <v>#REF!</v>
      </c>
      <c r="L5" s="289" t="e">
        <f>#REF!*VLOOKUP($D5,단가!$B:$E,4,0)</f>
        <v>#REF!</v>
      </c>
      <c r="M5" s="289" t="e">
        <f>#REF!*VLOOKUP($D5,단가!$B:$E,4,0)</f>
        <v>#REF!</v>
      </c>
      <c r="N5" s="289" t="e">
        <f>#REF!*VLOOKUP($D5,단가!$B:$E,4,0)</f>
        <v>#REF!</v>
      </c>
      <c r="O5" s="289" t="e">
        <f>#REF!*VLOOKUP($D5,단가!$B:$E,4,0)</f>
        <v>#REF!</v>
      </c>
      <c r="P5" s="289" t="e">
        <f>#REF!*VLOOKUP($D5,단가!$B:$E,4,0)</f>
        <v>#REF!</v>
      </c>
      <c r="Q5" s="289" t="e">
        <f>#REF!*VLOOKUP($D5,단가!$B:$E,4,0)</f>
        <v>#REF!</v>
      </c>
      <c r="R5" s="289" t="e">
        <f>#REF!*VLOOKUP($D5,단가!$B:$E,4,0)</f>
        <v>#REF!</v>
      </c>
      <c r="S5" s="289" t="e">
        <f>#REF!*VLOOKUP($D5,단가!$B:$E,4,0)</f>
        <v>#REF!</v>
      </c>
      <c r="T5" s="289" t="e">
        <f>#REF!*VLOOKUP($D5,단가!$B:$E,4,0)</f>
        <v>#REF!</v>
      </c>
      <c r="U5" s="289" t="e">
        <f>#REF!*VLOOKUP($D5,단가!$B:$E,4,0)</f>
        <v>#REF!</v>
      </c>
      <c r="V5" s="289" t="e">
        <f>#REF!*VLOOKUP($D5,단가!$B:$E,4,0)</f>
        <v>#REF!</v>
      </c>
      <c r="W5" s="289" t="e">
        <f>#REF!*VLOOKUP($D5,단가!$B:$E,4,0)</f>
        <v>#REF!</v>
      </c>
    </row>
    <row r="6" spans="1:23" ht="15">
      <c r="A6" s="1"/>
      <c r="B6" s="603"/>
      <c r="C6" s="185">
        <v>3</v>
      </c>
      <c r="D6" s="288">
        <v>676369</v>
      </c>
      <c r="E6" s="289" t="e">
        <f>#REF!*VLOOKUP($D6,단가!$B:$E,4,0)</f>
        <v>#REF!</v>
      </c>
      <c r="F6" s="289" t="e">
        <f>#REF!*VLOOKUP($D6,단가!$B:$E,4,0)</f>
        <v>#REF!</v>
      </c>
      <c r="G6" s="289" t="e">
        <f>#REF!*VLOOKUP($D6,단가!$B:$E,4,0)</f>
        <v>#REF!</v>
      </c>
      <c r="H6" s="289" t="e">
        <f>#REF!*VLOOKUP($D6,단가!$B:$E,4,0)</f>
        <v>#REF!</v>
      </c>
      <c r="I6" s="289" t="e">
        <f>#REF!*VLOOKUP($D6,단가!$B:$E,4,0)</f>
        <v>#REF!</v>
      </c>
      <c r="J6" s="289" t="e">
        <f>#REF!*VLOOKUP($D6,단가!$B:$E,4,0)</f>
        <v>#REF!</v>
      </c>
      <c r="K6" s="289" t="e">
        <f>#REF!*VLOOKUP($D6,단가!$B:$E,4,0)</f>
        <v>#REF!</v>
      </c>
      <c r="L6" s="289" t="e">
        <f>#REF!*VLOOKUP($D6,단가!$B:$E,4,0)</f>
        <v>#REF!</v>
      </c>
      <c r="M6" s="289" t="e">
        <f>#REF!*VLOOKUP($D6,단가!$B:$E,4,0)</f>
        <v>#REF!</v>
      </c>
      <c r="N6" s="289" t="e">
        <f>#REF!*VLOOKUP($D6,단가!$B:$E,4,0)</f>
        <v>#REF!</v>
      </c>
      <c r="O6" s="289" t="e">
        <f>#REF!*VLOOKUP($D6,단가!$B:$E,4,0)</f>
        <v>#REF!</v>
      </c>
      <c r="P6" s="289" t="e">
        <f>#REF!*VLOOKUP($D6,단가!$B:$E,4,0)</f>
        <v>#REF!</v>
      </c>
      <c r="Q6" s="289" t="e">
        <f>#REF!*VLOOKUP($D6,단가!$B:$E,4,0)</f>
        <v>#REF!</v>
      </c>
      <c r="R6" s="289" t="e">
        <f>#REF!*VLOOKUP($D6,단가!$B:$E,4,0)</f>
        <v>#REF!</v>
      </c>
      <c r="S6" s="289" t="e">
        <f>#REF!*VLOOKUP($D6,단가!$B:$E,4,0)</f>
        <v>#REF!</v>
      </c>
      <c r="T6" s="289" t="e">
        <f>#REF!*VLOOKUP($D6,단가!$B:$E,4,0)</f>
        <v>#REF!</v>
      </c>
      <c r="U6" s="289" t="e">
        <f>#REF!*VLOOKUP($D6,단가!$B:$E,4,0)</f>
        <v>#REF!</v>
      </c>
      <c r="V6" s="289" t="e">
        <f>#REF!*VLOOKUP($D6,단가!$B:$E,4,0)</f>
        <v>#REF!</v>
      </c>
      <c r="W6" s="289" t="e">
        <f>#REF!*VLOOKUP($D6,단가!$B:$E,4,0)</f>
        <v>#REF!</v>
      </c>
    </row>
    <row r="7" spans="1:23" ht="15">
      <c r="A7" s="1"/>
      <c r="B7" s="649" t="s">
        <v>16</v>
      </c>
      <c r="C7" s="290">
        <v>1</v>
      </c>
      <c r="D7" s="288">
        <v>677211</v>
      </c>
      <c r="E7" s="289" t="e">
        <f>#REF!*VLOOKUP($D7,단가!$B:$E,4,0)</f>
        <v>#REF!</v>
      </c>
      <c r="F7" s="289" t="e">
        <f>#REF!*VLOOKUP($D7,단가!$B:$E,4,0)</f>
        <v>#REF!</v>
      </c>
      <c r="G7" s="289" t="e">
        <f>#REF!*VLOOKUP($D7,단가!$B:$E,4,0)</f>
        <v>#REF!</v>
      </c>
      <c r="H7" s="289" t="e">
        <f>#REF!*VLOOKUP($D7,단가!$B:$E,4,0)</f>
        <v>#REF!</v>
      </c>
      <c r="I7" s="289" t="e">
        <f>#REF!*VLOOKUP($D7,단가!$B:$E,4,0)</f>
        <v>#REF!</v>
      </c>
      <c r="J7" s="289" t="e">
        <f>#REF!*VLOOKUP($D7,단가!$B:$E,4,0)</f>
        <v>#REF!</v>
      </c>
      <c r="K7" s="289" t="e">
        <f>#REF!*VLOOKUP($D7,단가!$B:$E,4,0)</f>
        <v>#REF!</v>
      </c>
      <c r="L7" s="289" t="e">
        <f>#REF!*VLOOKUP($D7,단가!$B:$E,4,0)</f>
        <v>#REF!</v>
      </c>
      <c r="M7" s="289" t="e">
        <f>#REF!*VLOOKUP($D7,단가!$B:$E,4,0)</f>
        <v>#REF!</v>
      </c>
      <c r="N7" s="289" t="e">
        <f>#REF!*VLOOKUP($D7,단가!$B:$E,4,0)</f>
        <v>#REF!</v>
      </c>
      <c r="O7" s="289" t="e">
        <f>#REF!*VLOOKUP($D7,단가!$B:$E,4,0)</f>
        <v>#REF!</v>
      </c>
      <c r="P7" s="289" t="e">
        <f>#REF!*VLOOKUP($D7,단가!$B:$E,4,0)</f>
        <v>#REF!</v>
      </c>
      <c r="Q7" s="289" t="e">
        <f>#REF!*VLOOKUP($D7,단가!$B:$E,4,0)</f>
        <v>#REF!</v>
      </c>
      <c r="R7" s="289" t="e">
        <f>#REF!*VLOOKUP($D7,단가!$B:$E,4,0)</f>
        <v>#REF!</v>
      </c>
      <c r="S7" s="289" t="e">
        <f>#REF!*VLOOKUP($D7,단가!$B:$E,4,0)</f>
        <v>#REF!</v>
      </c>
      <c r="T7" s="289" t="e">
        <f>#REF!*VLOOKUP($D7,단가!$B:$E,4,0)</f>
        <v>#REF!</v>
      </c>
      <c r="U7" s="289" t="e">
        <f>#REF!*VLOOKUP($D7,단가!$B:$E,4,0)</f>
        <v>#REF!</v>
      </c>
      <c r="V7" s="289" t="e">
        <f>#REF!*VLOOKUP($D7,단가!$B:$E,4,0)</f>
        <v>#REF!</v>
      </c>
      <c r="W7" s="289" t="e">
        <f>#REF!*VLOOKUP($D7,단가!$B:$E,4,0)</f>
        <v>#REF!</v>
      </c>
    </row>
    <row r="8" spans="1:23" ht="15">
      <c r="A8" s="1"/>
      <c r="B8" s="609"/>
      <c r="C8" s="290">
        <v>2</v>
      </c>
      <c r="D8" s="288">
        <v>677200</v>
      </c>
      <c r="E8" s="289" t="e">
        <f>#REF!*VLOOKUP($D8,단가!$B:$E,4,0)</f>
        <v>#REF!</v>
      </c>
      <c r="F8" s="289" t="e">
        <f>#REF!*VLOOKUP($D8,단가!$B:$E,4,0)</f>
        <v>#REF!</v>
      </c>
      <c r="G8" s="289" t="e">
        <f>#REF!*VLOOKUP($D8,단가!$B:$E,4,0)</f>
        <v>#REF!</v>
      </c>
      <c r="H8" s="289" t="e">
        <f>#REF!*VLOOKUP($D8,단가!$B:$E,4,0)</f>
        <v>#REF!</v>
      </c>
      <c r="I8" s="289" t="e">
        <f>#REF!*VLOOKUP($D8,단가!$B:$E,4,0)</f>
        <v>#REF!</v>
      </c>
      <c r="J8" s="289" t="e">
        <f>#REF!*VLOOKUP($D8,단가!$B:$E,4,0)</f>
        <v>#REF!</v>
      </c>
      <c r="K8" s="289" t="e">
        <f>#REF!*VLOOKUP($D8,단가!$B:$E,4,0)</f>
        <v>#REF!</v>
      </c>
      <c r="L8" s="289" t="e">
        <f>#REF!*VLOOKUP($D8,단가!$B:$E,4,0)</f>
        <v>#REF!</v>
      </c>
      <c r="M8" s="289" t="e">
        <f>#REF!*VLOOKUP($D8,단가!$B:$E,4,0)</f>
        <v>#REF!</v>
      </c>
      <c r="N8" s="289" t="e">
        <f>#REF!*VLOOKUP($D8,단가!$B:$E,4,0)</f>
        <v>#REF!</v>
      </c>
      <c r="O8" s="289" t="e">
        <f>#REF!*VLOOKUP($D8,단가!$B:$E,4,0)</f>
        <v>#REF!</v>
      </c>
      <c r="P8" s="289" t="e">
        <f>#REF!*VLOOKUP($D8,단가!$B:$E,4,0)</f>
        <v>#REF!</v>
      </c>
      <c r="Q8" s="289" t="e">
        <f>#REF!*VLOOKUP($D8,단가!$B:$E,4,0)</f>
        <v>#REF!</v>
      </c>
      <c r="R8" s="289" t="e">
        <f>#REF!*VLOOKUP($D8,단가!$B:$E,4,0)</f>
        <v>#REF!</v>
      </c>
      <c r="S8" s="289" t="e">
        <f>#REF!*VLOOKUP($D8,단가!$B:$E,4,0)</f>
        <v>#REF!</v>
      </c>
      <c r="T8" s="289" t="e">
        <f>#REF!*VLOOKUP($D8,단가!$B:$E,4,0)</f>
        <v>#REF!</v>
      </c>
      <c r="U8" s="289" t="e">
        <f>#REF!*VLOOKUP($D8,단가!$B:$E,4,0)</f>
        <v>#REF!</v>
      </c>
      <c r="V8" s="289" t="e">
        <f>#REF!*VLOOKUP($D8,단가!$B:$E,4,0)</f>
        <v>#REF!</v>
      </c>
      <c r="W8" s="289" t="e">
        <f>#REF!*VLOOKUP($D8,단가!$B:$E,4,0)</f>
        <v>#REF!</v>
      </c>
    </row>
    <row r="9" spans="1:23" ht="15">
      <c r="A9" s="1"/>
      <c r="B9" s="603"/>
      <c r="C9" s="290">
        <v>3</v>
      </c>
      <c r="D9" s="288">
        <v>677281</v>
      </c>
      <c r="E9" s="289" t="e">
        <f>#REF!*VLOOKUP($D9,단가!$B:$E,4,0)</f>
        <v>#REF!</v>
      </c>
      <c r="F9" s="289" t="e">
        <f>#REF!*VLOOKUP($D9,단가!$B:$E,4,0)</f>
        <v>#REF!</v>
      </c>
      <c r="G9" s="289" t="e">
        <f>#REF!*VLOOKUP($D9,단가!$B:$E,4,0)</f>
        <v>#REF!</v>
      </c>
      <c r="H9" s="289" t="e">
        <f>#REF!*VLOOKUP($D9,단가!$B:$E,4,0)</f>
        <v>#REF!</v>
      </c>
      <c r="I9" s="289" t="e">
        <f>#REF!*VLOOKUP($D9,단가!$B:$E,4,0)</f>
        <v>#REF!</v>
      </c>
      <c r="J9" s="289" t="e">
        <f>#REF!*VLOOKUP($D9,단가!$B:$E,4,0)</f>
        <v>#REF!</v>
      </c>
      <c r="K9" s="289" t="e">
        <f>#REF!*VLOOKUP($D9,단가!$B:$E,4,0)</f>
        <v>#REF!</v>
      </c>
      <c r="L9" s="289" t="e">
        <f>#REF!*VLOOKUP($D9,단가!$B:$E,4,0)</f>
        <v>#REF!</v>
      </c>
      <c r="M9" s="289" t="e">
        <f>#REF!*VLOOKUP($D9,단가!$B:$E,4,0)</f>
        <v>#REF!</v>
      </c>
      <c r="N9" s="289" t="e">
        <f>#REF!*VLOOKUP($D9,단가!$B:$E,4,0)</f>
        <v>#REF!</v>
      </c>
      <c r="O9" s="289" t="e">
        <f>#REF!*VLOOKUP($D9,단가!$B:$E,4,0)</f>
        <v>#REF!</v>
      </c>
      <c r="P9" s="289" t="e">
        <f>#REF!*VLOOKUP($D9,단가!$B:$E,4,0)</f>
        <v>#REF!</v>
      </c>
      <c r="Q9" s="289" t="e">
        <f>#REF!*VLOOKUP($D9,단가!$B:$E,4,0)</f>
        <v>#REF!</v>
      </c>
      <c r="R9" s="289" t="e">
        <f>#REF!*VLOOKUP($D9,단가!$B:$E,4,0)</f>
        <v>#REF!</v>
      </c>
      <c r="S9" s="289" t="e">
        <f>#REF!*VLOOKUP($D9,단가!$B:$E,4,0)</f>
        <v>#REF!</v>
      </c>
      <c r="T9" s="289" t="e">
        <f>#REF!*VLOOKUP($D9,단가!$B:$E,4,0)</f>
        <v>#REF!</v>
      </c>
      <c r="U9" s="289" t="e">
        <f>#REF!*VLOOKUP($D9,단가!$B:$E,4,0)</f>
        <v>#REF!</v>
      </c>
      <c r="V9" s="289" t="e">
        <f>#REF!*VLOOKUP($D9,단가!$B:$E,4,0)</f>
        <v>#REF!</v>
      </c>
      <c r="W9" s="289" t="e">
        <f>#REF!*VLOOKUP($D9,단가!$B:$E,4,0)</f>
        <v>#REF!</v>
      </c>
    </row>
    <row r="10" spans="1:23" ht="15">
      <c r="A10" s="1"/>
      <c r="B10" s="291" t="s">
        <v>92</v>
      </c>
      <c r="C10" s="292" t="s">
        <v>17</v>
      </c>
      <c r="D10" s="288">
        <v>560277</v>
      </c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</row>
    <row r="11" spans="1:23" ht="15">
      <c r="A11" s="1"/>
      <c r="B11" s="650" t="s">
        <v>18</v>
      </c>
      <c r="C11" s="634"/>
      <c r="D11" s="590"/>
      <c r="E11" s="293" t="e">
        <f t="shared" ref="E11:W11" si="0">SUM(E4:E10)</f>
        <v>#REF!</v>
      </c>
      <c r="F11" s="293" t="e">
        <f t="shared" si="0"/>
        <v>#REF!</v>
      </c>
      <c r="G11" s="293" t="e">
        <f t="shared" si="0"/>
        <v>#REF!</v>
      </c>
      <c r="H11" s="293" t="e">
        <f t="shared" si="0"/>
        <v>#REF!</v>
      </c>
      <c r="I11" s="293" t="e">
        <f t="shared" si="0"/>
        <v>#REF!</v>
      </c>
      <c r="J11" s="293" t="e">
        <f t="shared" si="0"/>
        <v>#REF!</v>
      </c>
      <c r="K11" s="293" t="e">
        <f t="shared" si="0"/>
        <v>#REF!</v>
      </c>
      <c r="L11" s="293" t="e">
        <f t="shared" si="0"/>
        <v>#REF!</v>
      </c>
      <c r="M11" s="293" t="e">
        <f t="shared" si="0"/>
        <v>#REF!</v>
      </c>
      <c r="N11" s="293" t="e">
        <f t="shared" si="0"/>
        <v>#REF!</v>
      </c>
      <c r="O11" s="293" t="e">
        <f t="shared" si="0"/>
        <v>#REF!</v>
      </c>
      <c r="P11" s="293" t="e">
        <f t="shared" si="0"/>
        <v>#REF!</v>
      </c>
      <c r="Q11" s="293" t="e">
        <f t="shared" si="0"/>
        <v>#REF!</v>
      </c>
      <c r="R11" s="293" t="e">
        <f t="shared" si="0"/>
        <v>#REF!</v>
      </c>
      <c r="S11" s="293" t="e">
        <f t="shared" si="0"/>
        <v>#REF!</v>
      </c>
      <c r="T11" s="293" t="e">
        <f t="shared" si="0"/>
        <v>#REF!</v>
      </c>
      <c r="U11" s="293" t="e">
        <f t="shared" si="0"/>
        <v>#REF!</v>
      </c>
      <c r="V11" s="293" t="e">
        <f t="shared" si="0"/>
        <v>#REF!</v>
      </c>
      <c r="W11" s="293" t="e">
        <f t="shared" si="0"/>
        <v>#REF!</v>
      </c>
    </row>
    <row r="12" spans="1:23" ht="15">
      <c r="A12" s="1"/>
      <c r="B12" s="2"/>
      <c r="C12" s="2"/>
    </row>
    <row r="13" spans="1:23">
      <c r="A13" s="1"/>
      <c r="B13" s="60" t="s">
        <v>81</v>
      </c>
      <c r="C13" s="60"/>
    </row>
    <row r="14" spans="1:23" ht="15.75" customHeight="1">
      <c r="B14" s="651"/>
      <c r="C14" s="590"/>
      <c r="D14" s="5" t="s">
        <v>250</v>
      </c>
      <c r="E14" s="205" t="s">
        <v>1</v>
      </c>
      <c r="F14" s="205" t="s">
        <v>2</v>
      </c>
      <c r="G14" s="205" t="s">
        <v>3</v>
      </c>
      <c r="H14" s="205" t="s">
        <v>4</v>
      </c>
      <c r="I14" s="205" t="s">
        <v>4</v>
      </c>
      <c r="J14" s="205" t="s">
        <v>5</v>
      </c>
      <c r="K14" s="205" t="s">
        <v>6</v>
      </c>
      <c r="L14" s="205" t="s">
        <v>7</v>
      </c>
      <c r="M14" s="205" t="s">
        <v>8</v>
      </c>
      <c r="N14" s="205" t="s">
        <v>9</v>
      </c>
      <c r="O14" s="110" t="s">
        <v>11</v>
      </c>
      <c r="P14" s="110" t="s">
        <v>12</v>
      </c>
      <c r="Q14" s="110" t="s">
        <v>1</v>
      </c>
      <c r="R14" s="110" t="s">
        <v>2</v>
      </c>
      <c r="S14" s="110" t="s">
        <v>3</v>
      </c>
      <c r="T14" s="110" t="s">
        <v>4</v>
      </c>
      <c r="U14" s="205" t="s">
        <v>5</v>
      </c>
      <c r="V14" s="205" t="s">
        <v>6</v>
      </c>
      <c r="W14" s="205" t="s">
        <v>7</v>
      </c>
    </row>
    <row r="15" spans="1:23" ht="15.75" customHeight="1">
      <c r="B15" s="652" t="s">
        <v>14</v>
      </c>
      <c r="C15" s="63" t="s">
        <v>82</v>
      </c>
      <c r="D15" s="288">
        <v>673676</v>
      </c>
      <c r="E15" s="66" t="e">
        <f>#REF!*VLOOKUP($D15,단가!$B:$E,4,0)</f>
        <v>#REF!</v>
      </c>
      <c r="F15" s="66" t="e">
        <f>#REF!*VLOOKUP($D15,단가!$B:$E,4,0)</f>
        <v>#REF!</v>
      </c>
      <c r="G15" s="66" t="e">
        <f>#REF!*VLOOKUP($D15,단가!$B:$E,4,0)</f>
        <v>#REF!</v>
      </c>
      <c r="H15" s="66" t="e">
        <f>#REF!*VLOOKUP($D15,단가!$B:$E,4,0)</f>
        <v>#REF!</v>
      </c>
      <c r="I15" s="66" t="e">
        <f>#REF!*VLOOKUP($D15,단가!$B:$E,4,0)</f>
        <v>#REF!</v>
      </c>
      <c r="J15" s="66" t="e">
        <f>#REF!*VLOOKUP($D15,단가!$B:$E,4,0)</f>
        <v>#REF!</v>
      </c>
      <c r="K15" s="66" t="e">
        <f>#REF!*VLOOKUP($D15,단가!$B:$E,4,0)</f>
        <v>#REF!</v>
      </c>
      <c r="L15" s="66" t="e">
        <f>#REF!*VLOOKUP($D15,단가!$B:$E,4,0)</f>
        <v>#REF!</v>
      </c>
      <c r="M15" s="66" t="e">
        <f>#REF!*VLOOKUP($D15,단가!$B:$E,4,0)</f>
        <v>#REF!</v>
      </c>
      <c r="N15" s="66" t="e">
        <f>#REF!*VLOOKUP($D15,단가!$B:$E,4,0)</f>
        <v>#REF!</v>
      </c>
      <c r="O15" s="66" t="e">
        <f>#REF!*VLOOKUP($D15,단가!$B:$E,4,0)</f>
        <v>#REF!</v>
      </c>
      <c r="P15" s="66" t="e">
        <f>#REF!*VLOOKUP($D15,단가!$B:$E,4,0)</f>
        <v>#REF!</v>
      </c>
      <c r="Q15" s="66" t="e">
        <f>#REF!*VLOOKUP($D15,단가!$B:$E,4,0)</f>
        <v>#REF!</v>
      </c>
      <c r="R15" s="66" t="e">
        <f>#REF!*VLOOKUP($D15,단가!$B:$E,4,0)</f>
        <v>#REF!</v>
      </c>
      <c r="S15" s="66" t="e">
        <f>#REF!*VLOOKUP($D15,단가!$B:$E,4,0)</f>
        <v>#REF!</v>
      </c>
      <c r="T15" s="66" t="e">
        <f>#REF!*VLOOKUP($D15,단가!$B:$E,4,0)</f>
        <v>#REF!</v>
      </c>
      <c r="U15" s="66" t="e">
        <f>#REF!*VLOOKUP($D15,단가!$B:$E,4,0)</f>
        <v>#REF!</v>
      </c>
      <c r="V15" s="66" t="e">
        <f>#REF!*VLOOKUP($D15,단가!$B:$E,4,0)</f>
        <v>#REF!</v>
      </c>
      <c r="W15" s="66" t="e">
        <f>#REF!*VLOOKUP($D15,단가!$B:$E,4,0)</f>
        <v>#REF!</v>
      </c>
    </row>
    <row r="16" spans="1:23" ht="15.75" customHeight="1">
      <c r="B16" s="609"/>
      <c r="C16" s="63">
        <v>1</v>
      </c>
      <c r="D16" s="288">
        <v>673674</v>
      </c>
      <c r="E16" s="66" t="e">
        <f>#REF!*VLOOKUP($D16,단가!$B:$E,4,0)</f>
        <v>#REF!</v>
      </c>
      <c r="F16" s="66" t="e">
        <f>#REF!*VLOOKUP($D16,단가!$B:$E,4,0)</f>
        <v>#REF!</v>
      </c>
      <c r="G16" s="66" t="e">
        <f>#REF!*VLOOKUP($D16,단가!$B:$E,4,0)</f>
        <v>#REF!</v>
      </c>
      <c r="H16" s="66" t="e">
        <f>#REF!*VLOOKUP($D16,단가!$B:$E,4,0)</f>
        <v>#REF!</v>
      </c>
      <c r="I16" s="66" t="e">
        <f>#REF!*VLOOKUP($D16,단가!$B:$E,4,0)</f>
        <v>#REF!</v>
      </c>
      <c r="J16" s="66" t="e">
        <f>#REF!*VLOOKUP($D16,단가!$B:$E,4,0)</f>
        <v>#REF!</v>
      </c>
      <c r="K16" s="66" t="e">
        <f>#REF!*VLOOKUP($D16,단가!$B:$E,4,0)</f>
        <v>#REF!</v>
      </c>
      <c r="L16" s="66" t="e">
        <f>#REF!*VLOOKUP($D16,단가!$B:$E,4,0)</f>
        <v>#REF!</v>
      </c>
      <c r="M16" s="66" t="e">
        <f>#REF!*VLOOKUP($D16,단가!$B:$E,4,0)</f>
        <v>#REF!</v>
      </c>
      <c r="N16" s="66" t="e">
        <f>#REF!*VLOOKUP($D16,단가!$B:$E,4,0)</f>
        <v>#REF!</v>
      </c>
      <c r="O16" s="66" t="e">
        <f>#REF!*VLOOKUP($D16,단가!$B:$E,4,0)</f>
        <v>#REF!</v>
      </c>
      <c r="P16" s="66" t="e">
        <f>#REF!*VLOOKUP($D16,단가!$B:$E,4,0)</f>
        <v>#REF!</v>
      </c>
      <c r="Q16" s="66" t="e">
        <f>#REF!*VLOOKUP($D16,단가!$B:$E,4,0)</f>
        <v>#REF!</v>
      </c>
      <c r="R16" s="66" t="e">
        <f>#REF!*VLOOKUP($D16,단가!$B:$E,4,0)</f>
        <v>#REF!</v>
      </c>
      <c r="S16" s="66" t="e">
        <f>#REF!*VLOOKUP($D16,단가!$B:$E,4,0)</f>
        <v>#REF!</v>
      </c>
      <c r="T16" s="66" t="e">
        <f>#REF!*VLOOKUP($D16,단가!$B:$E,4,0)</f>
        <v>#REF!</v>
      </c>
      <c r="U16" s="66" t="e">
        <f>#REF!*VLOOKUP($D16,단가!$B:$E,4,0)</f>
        <v>#REF!</v>
      </c>
      <c r="V16" s="66" t="e">
        <f>#REF!*VLOOKUP($D16,단가!$B:$E,4,0)</f>
        <v>#REF!</v>
      </c>
      <c r="W16" s="66" t="e">
        <f>#REF!*VLOOKUP($D16,단가!$B:$E,4,0)</f>
        <v>#REF!</v>
      </c>
    </row>
    <row r="17" spans="2:23" ht="15.75" customHeight="1">
      <c r="B17" s="609"/>
      <c r="C17" s="63" t="s">
        <v>83</v>
      </c>
      <c r="D17" s="288">
        <v>703819</v>
      </c>
      <c r="E17" s="66" t="e">
        <f>#REF!*VLOOKUP($D17,단가!$B:$E,4,0)</f>
        <v>#REF!</v>
      </c>
      <c r="F17" s="66" t="e">
        <f>#REF!*VLOOKUP($D17,단가!$B:$E,4,0)</f>
        <v>#REF!</v>
      </c>
      <c r="G17" s="66" t="e">
        <f>#REF!*VLOOKUP($D17,단가!$B:$E,4,0)</f>
        <v>#REF!</v>
      </c>
      <c r="H17" s="66" t="e">
        <f>#REF!*VLOOKUP($D17,단가!$B:$E,4,0)</f>
        <v>#REF!</v>
      </c>
      <c r="I17" s="66" t="e">
        <f>#REF!*VLOOKUP($D17,단가!$B:$E,4,0)</f>
        <v>#REF!</v>
      </c>
      <c r="J17" s="66" t="e">
        <f>#REF!*VLOOKUP($D17,단가!$B:$E,4,0)</f>
        <v>#REF!</v>
      </c>
      <c r="K17" s="66" t="e">
        <f>#REF!*VLOOKUP($D17,단가!$B:$E,4,0)</f>
        <v>#REF!</v>
      </c>
      <c r="L17" s="66" t="e">
        <f>#REF!*VLOOKUP($D17,단가!$B:$E,4,0)</f>
        <v>#REF!</v>
      </c>
      <c r="M17" s="66" t="e">
        <f>#REF!*VLOOKUP($D17,단가!$B:$E,4,0)</f>
        <v>#REF!</v>
      </c>
      <c r="N17" s="66" t="e">
        <f>#REF!*VLOOKUP($D17,단가!$B:$E,4,0)</f>
        <v>#REF!</v>
      </c>
      <c r="O17" s="66" t="e">
        <f>#REF!*VLOOKUP($D17,단가!$B:$E,4,0)</f>
        <v>#REF!</v>
      </c>
      <c r="P17" s="66" t="e">
        <f>#REF!*VLOOKUP($D17,단가!$B:$E,4,0)</f>
        <v>#REF!</v>
      </c>
      <c r="Q17" s="66" t="e">
        <f>#REF!*VLOOKUP($D17,단가!$B:$E,4,0)</f>
        <v>#REF!</v>
      </c>
      <c r="R17" s="66" t="e">
        <f>#REF!*VLOOKUP($D17,단가!$B:$E,4,0)</f>
        <v>#REF!</v>
      </c>
      <c r="S17" s="66" t="e">
        <f>#REF!*VLOOKUP($D17,단가!$B:$E,4,0)</f>
        <v>#REF!</v>
      </c>
      <c r="T17" s="66" t="e">
        <f>#REF!*VLOOKUP($D17,단가!$B:$E,4,0)</f>
        <v>#REF!</v>
      </c>
      <c r="U17" s="66" t="e">
        <f>#REF!*VLOOKUP($D17,단가!$B:$E,4,0)</f>
        <v>#REF!</v>
      </c>
      <c r="V17" s="66" t="e">
        <f>#REF!*VLOOKUP($D17,단가!$B:$E,4,0)</f>
        <v>#REF!</v>
      </c>
      <c r="W17" s="66" t="e">
        <f>#REF!*VLOOKUP($D17,단가!$B:$E,4,0)</f>
        <v>#REF!</v>
      </c>
    </row>
    <row r="18" spans="2:23" ht="15.75" customHeight="1">
      <c r="B18" s="609"/>
      <c r="C18" s="63" t="s">
        <v>84</v>
      </c>
      <c r="D18" s="288">
        <v>704052</v>
      </c>
      <c r="E18" s="66" t="e">
        <f>#REF!*VLOOKUP($D18,단가!$B:$E,4,0)</f>
        <v>#REF!</v>
      </c>
      <c r="F18" s="66" t="e">
        <f>#REF!*VLOOKUP($D18,단가!$B:$E,4,0)</f>
        <v>#REF!</v>
      </c>
      <c r="G18" s="66" t="e">
        <f>#REF!*VLOOKUP($D18,단가!$B:$E,4,0)</f>
        <v>#REF!</v>
      </c>
      <c r="H18" s="66" t="e">
        <f>#REF!*VLOOKUP($D18,단가!$B:$E,4,0)</f>
        <v>#REF!</v>
      </c>
      <c r="I18" s="66" t="e">
        <f>#REF!*VLOOKUP($D18,단가!$B:$E,4,0)</f>
        <v>#REF!</v>
      </c>
      <c r="J18" s="66" t="e">
        <f>#REF!*VLOOKUP($D18,단가!$B:$E,4,0)</f>
        <v>#REF!</v>
      </c>
      <c r="K18" s="66" t="e">
        <f>#REF!*VLOOKUP($D18,단가!$B:$E,4,0)</f>
        <v>#REF!</v>
      </c>
      <c r="L18" s="66" t="e">
        <f>#REF!*VLOOKUP($D18,단가!$B:$E,4,0)</f>
        <v>#REF!</v>
      </c>
      <c r="M18" s="66" t="e">
        <f>#REF!*VLOOKUP($D18,단가!$B:$E,4,0)</f>
        <v>#REF!</v>
      </c>
      <c r="N18" s="66" t="e">
        <f>#REF!*VLOOKUP($D18,단가!$B:$E,4,0)</f>
        <v>#REF!</v>
      </c>
      <c r="O18" s="66" t="e">
        <f>#REF!*VLOOKUP($D18,단가!$B:$E,4,0)</f>
        <v>#REF!</v>
      </c>
      <c r="P18" s="66" t="e">
        <f>#REF!*VLOOKUP($D18,단가!$B:$E,4,0)</f>
        <v>#REF!</v>
      </c>
      <c r="Q18" s="66" t="e">
        <f>#REF!*VLOOKUP($D18,단가!$B:$E,4,0)</f>
        <v>#REF!</v>
      </c>
      <c r="R18" s="66" t="e">
        <f>#REF!*VLOOKUP($D18,단가!$B:$E,4,0)</f>
        <v>#REF!</v>
      </c>
      <c r="S18" s="66" t="e">
        <f>#REF!*VLOOKUP($D18,단가!$B:$E,4,0)</f>
        <v>#REF!</v>
      </c>
      <c r="T18" s="66" t="e">
        <f>#REF!*VLOOKUP($D18,단가!$B:$E,4,0)</f>
        <v>#REF!</v>
      </c>
      <c r="U18" s="66" t="e">
        <f>#REF!*VLOOKUP($D18,단가!$B:$E,4,0)</f>
        <v>#REF!</v>
      </c>
      <c r="V18" s="66" t="e">
        <f>#REF!*VLOOKUP($D18,단가!$B:$E,4,0)</f>
        <v>#REF!</v>
      </c>
      <c r="W18" s="66" t="e">
        <f>#REF!*VLOOKUP($D18,단가!$B:$E,4,0)</f>
        <v>#REF!</v>
      </c>
    </row>
    <row r="19" spans="2:23" ht="15.75" customHeight="1">
      <c r="B19" s="609"/>
      <c r="C19" s="63">
        <v>2</v>
      </c>
      <c r="D19" s="288">
        <v>673672</v>
      </c>
      <c r="E19" s="66" t="e">
        <f>#REF!*VLOOKUP($D19,단가!$B:$E,4,0)</f>
        <v>#REF!</v>
      </c>
      <c r="F19" s="66" t="e">
        <f>#REF!*VLOOKUP($D19,단가!$B:$E,4,0)</f>
        <v>#REF!</v>
      </c>
      <c r="G19" s="66" t="e">
        <f>#REF!*VLOOKUP($D19,단가!$B:$E,4,0)</f>
        <v>#REF!</v>
      </c>
      <c r="H19" s="66" t="e">
        <f>#REF!*VLOOKUP($D19,단가!$B:$E,4,0)</f>
        <v>#REF!</v>
      </c>
      <c r="I19" s="66" t="e">
        <f>#REF!*VLOOKUP($D19,단가!$B:$E,4,0)</f>
        <v>#REF!</v>
      </c>
      <c r="J19" s="66" t="e">
        <f>#REF!*VLOOKUP($D19,단가!$B:$E,4,0)</f>
        <v>#REF!</v>
      </c>
      <c r="K19" s="66" t="e">
        <f>#REF!*VLOOKUP($D19,단가!$B:$E,4,0)</f>
        <v>#REF!</v>
      </c>
      <c r="L19" s="66" t="e">
        <f>#REF!*VLOOKUP($D19,단가!$B:$E,4,0)</f>
        <v>#REF!</v>
      </c>
      <c r="M19" s="66" t="e">
        <f>#REF!*VLOOKUP($D19,단가!$B:$E,4,0)</f>
        <v>#REF!</v>
      </c>
      <c r="N19" s="66" t="e">
        <f>#REF!*VLOOKUP($D19,단가!$B:$E,4,0)</f>
        <v>#REF!</v>
      </c>
      <c r="O19" s="66" t="e">
        <f>#REF!*VLOOKUP($D19,단가!$B:$E,4,0)</f>
        <v>#REF!</v>
      </c>
      <c r="P19" s="66" t="e">
        <f>#REF!*VLOOKUP($D19,단가!$B:$E,4,0)</f>
        <v>#REF!</v>
      </c>
      <c r="Q19" s="66" t="e">
        <f>#REF!*VLOOKUP($D19,단가!$B:$E,4,0)</f>
        <v>#REF!</v>
      </c>
      <c r="R19" s="66" t="e">
        <f>#REF!*VLOOKUP($D19,단가!$B:$E,4,0)</f>
        <v>#REF!</v>
      </c>
      <c r="S19" s="66" t="e">
        <f>#REF!*VLOOKUP($D19,단가!$B:$E,4,0)</f>
        <v>#REF!</v>
      </c>
      <c r="T19" s="66" t="e">
        <f>#REF!*VLOOKUP($D19,단가!$B:$E,4,0)</f>
        <v>#REF!</v>
      </c>
      <c r="U19" s="66" t="e">
        <f>#REF!*VLOOKUP($D19,단가!$B:$E,4,0)</f>
        <v>#REF!</v>
      </c>
      <c r="V19" s="66" t="e">
        <f>#REF!*VLOOKUP($D19,단가!$B:$E,4,0)</f>
        <v>#REF!</v>
      </c>
      <c r="W19" s="66" t="e">
        <f>#REF!*VLOOKUP($D19,단가!$B:$E,4,0)</f>
        <v>#REF!</v>
      </c>
    </row>
    <row r="20" spans="2:23" ht="15.75" customHeight="1">
      <c r="B20" s="609"/>
      <c r="C20" s="63" t="s">
        <v>85</v>
      </c>
      <c r="D20" s="288">
        <v>703818</v>
      </c>
      <c r="E20" s="66" t="e">
        <f>#REF!*VLOOKUP($D20,단가!$B:$E,4,0)</f>
        <v>#REF!</v>
      </c>
      <c r="F20" s="66" t="e">
        <f>#REF!*VLOOKUP($D20,단가!$B:$E,4,0)</f>
        <v>#REF!</v>
      </c>
      <c r="G20" s="66" t="e">
        <f>#REF!*VLOOKUP($D20,단가!$B:$E,4,0)</f>
        <v>#REF!</v>
      </c>
      <c r="H20" s="66" t="e">
        <f>#REF!*VLOOKUP($D20,단가!$B:$E,4,0)</f>
        <v>#REF!</v>
      </c>
      <c r="I20" s="66" t="e">
        <f>#REF!*VLOOKUP($D20,단가!$B:$E,4,0)</f>
        <v>#REF!</v>
      </c>
      <c r="J20" s="66" t="e">
        <f>#REF!*VLOOKUP($D20,단가!$B:$E,4,0)</f>
        <v>#REF!</v>
      </c>
      <c r="K20" s="66" t="e">
        <f>#REF!*VLOOKUP($D20,단가!$B:$E,4,0)</f>
        <v>#REF!</v>
      </c>
      <c r="L20" s="66" t="e">
        <f>#REF!*VLOOKUP($D20,단가!$B:$E,4,0)</f>
        <v>#REF!</v>
      </c>
      <c r="M20" s="66" t="e">
        <f>#REF!*VLOOKUP($D20,단가!$B:$E,4,0)</f>
        <v>#REF!</v>
      </c>
      <c r="N20" s="66" t="e">
        <f>#REF!*VLOOKUP($D20,단가!$B:$E,4,0)</f>
        <v>#REF!</v>
      </c>
      <c r="O20" s="66" t="e">
        <f>#REF!*VLOOKUP($D20,단가!$B:$E,4,0)</f>
        <v>#REF!</v>
      </c>
      <c r="P20" s="66" t="e">
        <f>#REF!*VLOOKUP($D20,단가!$B:$E,4,0)</f>
        <v>#REF!</v>
      </c>
      <c r="Q20" s="66" t="e">
        <f>#REF!*VLOOKUP($D20,단가!$B:$E,4,0)</f>
        <v>#REF!</v>
      </c>
      <c r="R20" s="66" t="e">
        <f>#REF!*VLOOKUP($D20,단가!$B:$E,4,0)</f>
        <v>#REF!</v>
      </c>
      <c r="S20" s="66" t="e">
        <f>#REF!*VLOOKUP($D20,단가!$B:$E,4,0)</f>
        <v>#REF!</v>
      </c>
      <c r="T20" s="66" t="e">
        <f>#REF!*VLOOKUP($D20,단가!$B:$E,4,0)</f>
        <v>#REF!</v>
      </c>
      <c r="U20" s="66" t="e">
        <f>#REF!*VLOOKUP($D20,단가!$B:$E,4,0)</f>
        <v>#REF!</v>
      </c>
      <c r="V20" s="66" t="e">
        <f>#REF!*VLOOKUP($D20,단가!$B:$E,4,0)</f>
        <v>#REF!</v>
      </c>
      <c r="W20" s="66" t="e">
        <f>#REF!*VLOOKUP($D20,단가!$B:$E,4,0)</f>
        <v>#REF!</v>
      </c>
    </row>
    <row r="21" spans="2:23" ht="15.75" customHeight="1">
      <c r="B21" s="609"/>
      <c r="C21" s="63" t="s">
        <v>86</v>
      </c>
      <c r="D21" s="288">
        <v>704054</v>
      </c>
      <c r="E21" s="66" t="e">
        <f>#REF!*VLOOKUP($D21,단가!$B:$E,4,0)</f>
        <v>#REF!</v>
      </c>
      <c r="F21" s="66" t="e">
        <f>#REF!*VLOOKUP($D21,단가!$B:$E,4,0)</f>
        <v>#REF!</v>
      </c>
      <c r="G21" s="66" t="e">
        <f>#REF!*VLOOKUP($D21,단가!$B:$E,4,0)</f>
        <v>#REF!</v>
      </c>
      <c r="H21" s="66" t="e">
        <f>#REF!*VLOOKUP($D21,단가!$B:$E,4,0)</f>
        <v>#REF!</v>
      </c>
      <c r="I21" s="66" t="e">
        <f>#REF!*VLOOKUP($D21,단가!$B:$E,4,0)</f>
        <v>#REF!</v>
      </c>
      <c r="J21" s="66" t="e">
        <f>#REF!*VLOOKUP($D21,단가!$B:$E,4,0)</f>
        <v>#REF!</v>
      </c>
      <c r="K21" s="66" t="e">
        <f>#REF!*VLOOKUP($D21,단가!$B:$E,4,0)</f>
        <v>#REF!</v>
      </c>
      <c r="L21" s="66" t="e">
        <f>#REF!*VLOOKUP($D21,단가!$B:$E,4,0)</f>
        <v>#REF!</v>
      </c>
      <c r="M21" s="66" t="e">
        <f>#REF!*VLOOKUP($D21,단가!$B:$E,4,0)</f>
        <v>#REF!</v>
      </c>
      <c r="N21" s="66" t="e">
        <f>#REF!*VLOOKUP($D21,단가!$B:$E,4,0)</f>
        <v>#REF!</v>
      </c>
      <c r="O21" s="66" t="e">
        <f>#REF!*VLOOKUP($D21,단가!$B:$E,4,0)</f>
        <v>#REF!</v>
      </c>
      <c r="P21" s="66" t="e">
        <f>#REF!*VLOOKUP($D21,단가!$B:$E,4,0)</f>
        <v>#REF!</v>
      </c>
      <c r="Q21" s="66" t="e">
        <f>#REF!*VLOOKUP($D21,단가!$B:$E,4,0)</f>
        <v>#REF!</v>
      </c>
      <c r="R21" s="66" t="e">
        <f>#REF!*VLOOKUP($D21,단가!$B:$E,4,0)</f>
        <v>#REF!</v>
      </c>
      <c r="S21" s="66" t="e">
        <f>#REF!*VLOOKUP($D21,단가!$B:$E,4,0)</f>
        <v>#REF!</v>
      </c>
      <c r="T21" s="66" t="e">
        <f>#REF!*VLOOKUP($D21,단가!$B:$E,4,0)</f>
        <v>#REF!</v>
      </c>
      <c r="U21" s="66" t="e">
        <f>#REF!*VLOOKUP($D21,단가!$B:$E,4,0)</f>
        <v>#REF!</v>
      </c>
      <c r="V21" s="66" t="e">
        <f>#REF!*VLOOKUP($D21,단가!$B:$E,4,0)</f>
        <v>#REF!</v>
      </c>
      <c r="W21" s="66" t="e">
        <f>#REF!*VLOOKUP($D21,단가!$B:$E,4,0)</f>
        <v>#REF!</v>
      </c>
    </row>
    <row r="22" spans="2:23" ht="15.75" customHeight="1">
      <c r="B22" s="603"/>
      <c r="C22" s="63">
        <v>3</v>
      </c>
      <c r="D22" s="288">
        <v>673641</v>
      </c>
      <c r="E22" s="66" t="e">
        <f>#REF!*VLOOKUP($D22,단가!$B:$E,4,0)</f>
        <v>#REF!</v>
      </c>
      <c r="F22" s="66" t="e">
        <f>#REF!*VLOOKUP($D22,단가!$B:$E,4,0)</f>
        <v>#REF!</v>
      </c>
      <c r="G22" s="66" t="e">
        <f>#REF!*VLOOKUP($D22,단가!$B:$E,4,0)</f>
        <v>#REF!</v>
      </c>
      <c r="H22" s="66" t="e">
        <f>#REF!*VLOOKUP($D22,단가!$B:$E,4,0)</f>
        <v>#REF!</v>
      </c>
      <c r="I22" s="66" t="e">
        <f>#REF!*VLOOKUP($D22,단가!$B:$E,4,0)</f>
        <v>#REF!</v>
      </c>
      <c r="J22" s="66" t="e">
        <f>#REF!*VLOOKUP($D22,단가!$B:$E,4,0)</f>
        <v>#REF!</v>
      </c>
      <c r="K22" s="66" t="e">
        <f>#REF!*VLOOKUP($D22,단가!$B:$E,4,0)</f>
        <v>#REF!</v>
      </c>
      <c r="L22" s="66" t="e">
        <f>#REF!*VLOOKUP($D22,단가!$B:$E,4,0)</f>
        <v>#REF!</v>
      </c>
      <c r="M22" s="66" t="e">
        <f>#REF!*VLOOKUP($D22,단가!$B:$E,4,0)</f>
        <v>#REF!</v>
      </c>
      <c r="N22" s="66" t="e">
        <f>#REF!*VLOOKUP($D22,단가!$B:$E,4,0)</f>
        <v>#REF!</v>
      </c>
      <c r="O22" s="66" t="e">
        <f>#REF!*VLOOKUP($D22,단가!$B:$E,4,0)</f>
        <v>#REF!</v>
      </c>
      <c r="P22" s="66" t="e">
        <f>#REF!*VLOOKUP($D22,단가!$B:$E,4,0)</f>
        <v>#REF!</v>
      </c>
      <c r="Q22" s="66" t="e">
        <f>#REF!*VLOOKUP($D22,단가!$B:$E,4,0)</f>
        <v>#REF!</v>
      </c>
      <c r="R22" s="66" t="e">
        <f>#REF!*VLOOKUP($D22,단가!$B:$E,4,0)</f>
        <v>#REF!</v>
      </c>
      <c r="S22" s="66" t="e">
        <f>#REF!*VLOOKUP($D22,단가!$B:$E,4,0)</f>
        <v>#REF!</v>
      </c>
      <c r="T22" s="66" t="e">
        <f>#REF!*VLOOKUP($D22,단가!$B:$E,4,0)</f>
        <v>#REF!</v>
      </c>
      <c r="U22" s="66" t="e">
        <f>#REF!*VLOOKUP($D22,단가!$B:$E,4,0)</f>
        <v>#REF!</v>
      </c>
      <c r="V22" s="66" t="e">
        <f>#REF!*VLOOKUP($D22,단가!$B:$E,4,0)</f>
        <v>#REF!</v>
      </c>
      <c r="W22" s="66" t="e">
        <f>#REF!*VLOOKUP($D22,단가!$B:$E,4,0)</f>
        <v>#REF!</v>
      </c>
    </row>
    <row r="23" spans="2:23" ht="15.75" customHeight="1">
      <c r="B23" s="653" t="s">
        <v>16</v>
      </c>
      <c r="C23" s="68" t="s">
        <v>82</v>
      </c>
      <c r="D23" s="288">
        <v>677044</v>
      </c>
      <c r="E23" s="66" t="e">
        <f>#REF!*VLOOKUP($D23,단가!$B:$E,4,0)</f>
        <v>#REF!</v>
      </c>
      <c r="F23" s="66" t="e">
        <f>#REF!*VLOOKUP($D23,단가!$B:$E,4,0)</f>
        <v>#REF!</v>
      </c>
      <c r="G23" s="66" t="e">
        <f>#REF!*VLOOKUP($D23,단가!$B:$E,4,0)</f>
        <v>#REF!</v>
      </c>
      <c r="H23" s="66" t="e">
        <f>#REF!*VLOOKUP($D23,단가!$B:$E,4,0)</f>
        <v>#REF!</v>
      </c>
      <c r="I23" s="66" t="e">
        <f>#REF!*VLOOKUP($D23,단가!$B:$E,4,0)</f>
        <v>#REF!</v>
      </c>
      <c r="J23" s="66" t="e">
        <f>#REF!*VLOOKUP($D23,단가!$B:$E,4,0)</f>
        <v>#REF!</v>
      </c>
      <c r="K23" s="66" t="e">
        <f>#REF!*VLOOKUP($D23,단가!$B:$E,4,0)</f>
        <v>#REF!</v>
      </c>
      <c r="L23" s="66" t="e">
        <f>#REF!*VLOOKUP($D23,단가!$B:$E,4,0)</f>
        <v>#REF!</v>
      </c>
      <c r="M23" s="66" t="e">
        <f>#REF!*VLOOKUP($D23,단가!$B:$E,4,0)</f>
        <v>#REF!</v>
      </c>
      <c r="N23" s="66" t="e">
        <f>#REF!*VLOOKUP($D23,단가!$B:$E,4,0)</f>
        <v>#REF!</v>
      </c>
      <c r="O23" s="66" t="e">
        <f>#REF!*VLOOKUP($D23,단가!$B:$E,4,0)</f>
        <v>#REF!</v>
      </c>
      <c r="P23" s="66" t="e">
        <f>#REF!*VLOOKUP($D23,단가!$B:$E,4,0)</f>
        <v>#REF!</v>
      </c>
      <c r="Q23" s="66" t="e">
        <f>#REF!*VLOOKUP($D23,단가!$B:$E,4,0)</f>
        <v>#REF!</v>
      </c>
      <c r="R23" s="66" t="e">
        <f>#REF!*VLOOKUP($D23,단가!$B:$E,4,0)</f>
        <v>#REF!</v>
      </c>
      <c r="S23" s="66" t="e">
        <f>#REF!*VLOOKUP($D23,단가!$B:$E,4,0)</f>
        <v>#REF!</v>
      </c>
      <c r="T23" s="66" t="e">
        <f>#REF!*VLOOKUP($D23,단가!$B:$E,4,0)</f>
        <v>#REF!</v>
      </c>
      <c r="U23" s="66" t="e">
        <f>#REF!*VLOOKUP($D23,단가!$B:$E,4,0)</f>
        <v>#REF!</v>
      </c>
      <c r="V23" s="66" t="e">
        <f>#REF!*VLOOKUP($D23,단가!$B:$E,4,0)</f>
        <v>#REF!</v>
      </c>
      <c r="W23" s="66" t="e">
        <f>#REF!*VLOOKUP($D23,단가!$B:$E,4,0)</f>
        <v>#REF!</v>
      </c>
    </row>
    <row r="24" spans="2:23" ht="15.75" customHeight="1">
      <c r="B24" s="609"/>
      <c r="C24" s="68">
        <v>1</v>
      </c>
      <c r="D24" s="288">
        <v>677045</v>
      </c>
      <c r="E24" s="66" t="e">
        <f>#REF!*VLOOKUP($D24,단가!$B:$E,4,0)</f>
        <v>#REF!</v>
      </c>
      <c r="F24" s="66" t="e">
        <f>#REF!*VLOOKUP($D24,단가!$B:$E,4,0)</f>
        <v>#REF!</v>
      </c>
      <c r="G24" s="66" t="e">
        <f>#REF!*VLOOKUP($D24,단가!$B:$E,4,0)</f>
        <v>#REF!</v>
      </c>
      <c r="H24" s="66" t="e">
        <f>#REF!*VLOOKUP($D24,단가!$B:$E,4,0)</f>
        <v>#REF!</v>
      </c>
      <c r="I24" s="66" t="e">
        <f>#REF!*VLOOKUP($D24,단가!$B:$E,4,0)</f>
        <v>#REF!</v>
      </c>
      <c r="J24" s="66" t="e">
        <f>#REF!*VLOOKUP($D24,단가!$B:$E,4,0)</f>
        <v>#REF!</v>
      </c>
      <c r="K24" s="66" t="e">
        <f>#REF!*VLOOKUP($D24,단가!$B:$E,4,0)</f>
        <v>#REF!</v>
      </c>
      <c r="L24" s="66" t="e">
        <f>#REF!*VLOOKUP($D24,단가!$B:$E,4,0)</f>
        <v>#REF!</v>
      </c>
      <c r="M24" s="66" t="e">
        <f>#REF!*VLOOKUP($D24,단가!$B:$E,4,0)</f>
        <v>#REF!</v>
      </c>
      <c r="N24" s="66" t="e">
        <f>#REF!*VLOOKUP($D24,단가!$B:$E,4,0)</f>
        <v>#REF!</v>
      </c>
      <c r="O24" s="66" t="e">
        <f>#REF!*VLOOKUP($D24,단가!$B:$E,4,0)</f>
        <v>#REF!</v>
      </c>
      <c r="P24" s="66" t="e">
        <f>#REF!*VLOOKUP($D24,단가!$B:$E,4,0)</f>
        <v>#REF!</v>
      </c>
      <c r="Q24" s="66" t="e">
        <f>#REF!*VLOOKUP($D24,단가!$B:$E,4,0)</f>
        <v>#REF!</v>
      </c>
      <c r="R24" s="66" t="e">
        <f>#REF!*VLOOKUP($D24,단가!$B:$E,4,0)</f>
        <v>#REF!</v>
      </c>
      <c r="S24" s="66" t="e">
        <f>#REF!*VLOOKUP($D24,단가!$B:$E,4,0)</f>
        <v>#REF!</v>
      </c>
      <c r="T24" s="66" t="e">
        <f>#REF!*VLOOKUP($D24,단가!$B:$E,4,0)</f>
        <v>#REF!</v>
      </c>
      <c r="U24" s="66" t="e">
        <f>#REF!*VLOOKUP($D24,단가!$B:$E,4,0)</f>
        <v>#REF!</v>
      </c>
      <c r="V24" s="66" t="e">
        <f>#REF!*VLOOKUP($D24,단가!$B:$E,4,0)</f>
        <v>#REF!</v>
      </c>
      <c r="W24" s="66" t="e">
        <f>#REF!*VLOOKUP($D24,단가!$B:$E,4,0)</f>
        <v>#REF!</v>
      </c>
    </row>
    <row r="25" spans="2:23" ht="15.75" customHeight="1">
      <c r="B25" s="609"/>
      <c r="C25" s="68">
        <v>2</v>
      </c>
      <c r="D25" s="288">
        <v>677047</v>
      </c>
      <c r="E25" s="66" t="e">
        <f>#REF!*VLOOKUP($D25,단가!$B:$E,4,0)</f>
        <v>#REF!</v>
      </c>
      <c r="F25" s="66" t="e">
        <f>#REF!*VLOOKUP($D25,단가!$B:$E,4,0)</f>
        <v>#REF!</v>
      </c>
      <c r="G25" s="66" t="e">
        <f>#REF!*VLOOKUP($D25,단가!$B:$E,4,0)</f>
        <v>#REF!</v>
      </c>
      <c r="H25" s="66" t="e">
        <f>#REF!*VLOOKUP($D25,단가!$B:$E,4,0)</f>
        <v>#REF!</v>
      </c>
      <c r="I25" s="66" t="e">
        <f>#REF!*VLOOKUP($D25,단가!$B:$E,4,0)</f>
        <v>#REF!</v>
      </c>
      <c r="J25" s="66" t="e">
        <f>#REF!*VLOOKUP($D25,단가!$B:$E,4,0)</f>
        <v>#REF!</v>
      </c>
      <c r="K25" s="66" t="e">
        <f>#REF!*VLOOKUP($D25,단가!$B:$E,4,0)</f>
        <v>#REF!</v>
      </c>
      <c r="L25" s="66" t="e">
        <f>#REF!*VLOOKUP($D25,단가!$B:$E,4,0)</f>
        <v>#REF!</v>
      </c>
      <c r="M25" s="66" t="e">
        <f>#REF!*VLOOKUP($D25,단가!$B:$E,4,0)</f>
        <v>#REF!</v>
      </c>
      <c r="N25" s="66" t="e">
        <f>#REF!*VLOOKUP($D25,단가!$B:$E,4,0)</f>
        <v>#REF!</v>
      </c>
      <c r="O25" s="66" t="e">
        <f>#REF!*VLOOKUP($D25,단가!$B:$E,4,0)</f>
        <v>#REF!</v>
      </c>
      <c r="P25" s="66" t="e">
        <f>#REF!*VLOOKUP($D25,단가!$B:$E,4,0)</f>
        <v>#REF!</v>
      </c>
      <c r="Q25" s="66" t="e">
        <f>#REF!*VLOOKUP($D25,단가!$B:$E,4,0)</f>
        <v>#REF!</v>
      </c>
      <c r="R25" s="66" t="e">
        <f>#REF!*VLOOKUP($D25,단가!$B:$E,4,0)</f>
        <v>#REF!</v>
      </c>
      <c r="S25" s="66" t="e">
        <f>#REF!*VLOOKUP($D25,단가!$B:$E,4,0)</f>
        <v>#REF!</v>
      </c>
      <c r="T25" s="66" t="e">
        <f>#REF!*VLOOKUP($D25,단가!$B:$E,4,0)</f>
        <v>#REF!</v>
      </c>
      <c r="U25" s="66" t="e">
        <f>#REF!*VLOOKUP($D25,단가!$B:$E,4,0)</f>
        <v>#REF!</v>
      </c>
      <c r="V25" s="66" t="e">
        <f>#REF!*VLOOKUP($D25,단가!$B:$E,4,0)</f>
        <v>#REF!</v>
      </c>
      <c r="W25" s="66" t="e">
        <f>#REF!*VLOOKUP($D25,단가!$B:$E,4,0)</f>
        <v>#REF!</v>
      </c>
    </row>
    <row r="26" spans="2:23" ht="15.75" customHeight="1">
      <c r="B26" s="609"/>
      <c r="C26" s="68" t="s">
        <v>87</v>
      </c>
      <c r="D26" s="288">
        <v>698408</v>
      </c>
      <c r="E26" s="66" t="e">
        <f>#REF!*VLOOKUP($D26,단가!$B:$E,4,0)</f>
        <v>#REF!</v>
      </c>
      <c r="F26" s="66" t="e">
        <f>#REF!*VLOOKUP($D26,단가!$B:$E,4,0)</f>
        <v>#REF!</v>
      </c>
      <c r="G26" s="66" t="e">
        <f>#REF!*VLOOKUP($D26,단가!$B:$E,4,0)</f>
        <v>#REF!</v>
      </c>
      <c r="H26" s="66" t="e">
        <f>#REF!*VLOOKUP($D26,단가!$B:$E,4,0)</f>
        <v>#REF!</v>
      </c>
      <c r="I26" s="66" t="e">
        <f>#REF!*VLOOKUP($D26,단가!$B:$E,4,0)</f>
        <v>#REF!</v>
      </c>
      <c r="J26" s="66" t="e">
        <f>#REF!*VLOOKUP($D26,단가!$B:$E,4,0)</f>
        <v>#REF!</v>
      </c>
      <c r="K26" s="66" t="e">
        <f>#REF!*VLOOKUP($D26,단가!$B:$E,4,0)</f>
        <v>#REF!</v>
      </c>
      <c r="L26" s="66" t="e">
        <f>#REF!*VLOOKUP($D26,단가!$B:$E,4,0)</f>
        <v>#REF!</v>
      </c>
      <c r="M26" s="66" t="e">
        <f>#REF!*VLOOKUP($D26,단가!$B:$E,4,0)</f>
        <v>#REF!</v>
      </c>
      <c r="N26" s="66" t="e">
        <f>#REF!*VLOOKUP($D26,단가!$B:$E,4,0)</f>
        <v>#REF!</v>
      </c>
      <c r="O26" s="66" t="e">
        <f>#REF!*VLOOKUP($D26,단가!$B:$E,4,0)</f>
        <v>#REF!</v>
      </c>
      <c r="P26" s="66" t="e">
        <f>#REF!*VLOOKUP($D26,단가!$B:$E,4,0)</f>
        <v>#REF!</v>
      </c>
      <c r="Q26" s="66" t="e">
        <f>#REF!*VLOOKUP($D26,단가!$B:$E,4,0)</f>
        <v>#REF!</v>
      </c>
      <c r="R26" s="66" t="e">
        <f>#REF!*VLOOKUP($D26,단가!$B:$E,4,0)</f>
        <v>#REF!</v>
      </c>
      <c r="S26" s="66" t="e">
        <f>#REF!*VLOOKUP($D26,단가!$B:$E,4,0)</f>
        <v>#REF!</v>
      </c>
      <c r="T26" s="66" t="e">
        <f>#REF!*VLOOKUP($D26,단가!$B:$E,4,0)</f>
        <v>#REF!</v>
      </c>
      <c r="U26" s="66" t="e">
        <f>#REF!*VLOOKUP($D26,단가!$B:$E,4,0)</f>
        <v>#REF!</v>
      </c>
      <c r="V26" s="66" t="e">
        <f>#REF!*VLOOKUP($D26,단가!$B:$E,4,0)</f>
        <v>#REF!</v>
      </c>
      <c r="W26" s="66" t="e">
        <f>#REF!*VLOOKUP($D26,단가!$B:$E,4,0)</f>
        <v>#REF!</v>
      </c>
    </row>
    <row r="27" spans="2:23" ht="15.75" customHeight="1">
      <c r="B27" s="603"/>
      <c r="C27" s="68" t="s">
        <v>88</v>
      </c>
      <c r="D27" s="288">
        <v>698409</v>
      </c>
      <c r="E27" s="66" t="e">
        <f>#REF!*VLOOKUP($D27,단가!$B:$E,4,0)</f>
        <v>#REF!</v>
      </c>
      <c r="F27" s="66" t="e">
        <f>#REF!*VLOOKUP($D27,단가!$B:$E,4,0)</f>
        <v>#REF!</v>
      </c>
      <c r="G27" s="66" t="e">
        <f>#REF!*VLOOKUP($D27,단가!$B:$E,4,0)</f>
        <v>#REF!</v>
      </c>
      <c r="H27" s="66" t="e">
        <f>#REF!*VLOOKUP($D27,단가!$B:$E,4,0)</f>
        <v>#REF!</v>
      </c>
      <c r="I27" s="66" t="e">
        <f>#REF!*VLOOKUP($D27,단가!$B:$E,4,0)</f>
        <v>#REF!</v>
      </c>
      <c r="J27" s="66" t="e">
        <f>#REF!*VLOOKUP($D27,단가!$B:$E,4,0)</f>
        <v>#REF!</v>
      </c>
      <c r="K27" s="66" t="e">
        <f>#REF!*VLOOKUP($D27,단가!$B:$E,4,0)</f>
        <v>#REF!</v>
      </c>
      <c r="L27" s="66" t="e">
        <f>#REF!*VLOOKUP($D27,단가!$B:$E,4,0)</f>
        <v>#REF!</v>
      </c>
      <c r="M27" s="66" t="e">
        <f>#REF!*VLOOKUP($D27,단가!$B:$E,4,0)</f>
        <v>#REF!</v>
      </c>
      <c r="N27" s="66" t="e">
        <f>#REF!*VLOOKUP($D27,단가!$B:$E,4,0)</f>
        <v>#REF!</v>
      </c>
      <c r="O27" s="66" t="e">
        <f>#REF!*VLOOKUP($D27,단가!$B:$E,4,0)</f>
        <v>#REF!</v>
      </c>
      <c r="P27" s="66" t="e">
        <f>#REF!*VLOOKUP($D27,단가!$B:$E,4,0)</f>
        <v>#REF!</v>
      </c>
      <c r="Q27" s="66" t="e">
        <f>#REF!*VLOOKUP($D27,단가!$B:$E,4,0)</f>
        <v>#REF!</v>
      </c>
      <c r="R27" s="66" t="e">
        <f>#REF!*VLOOKUP($D27,단가!$B:$E,4,0)</f>
        <v>#REF!</v>
      </c>
      <c r="S27" s="66" t="e">
        <f>#REF!*VLOOKUP($D27,단가!$B:$E,4,0)</f>
        <v>#REF!</v>
      </c>
      <c r="T27" s="66" t="e">
        <f>#REF!*VLOOKUP($D27,단가!$B:$E,4,0)</f>
        <v>#REF!</v>
      </c>
      <c r="U27" s="66" t="e">
        <f>#REF!*VLOOKUP($D27,단가!$B:$E,4,0)</f>
        <v>#REF!</v>
      </c>
      <c r="V27" s="66" t="e">
        <f>#REF!*VLOOKUP($D27,단가!$B:$E,4,0)</f>
        <v>#REF!</v>
      </c>
      <c r="W27" s="66" t="e">
        <f>#REF!*VLOOKUP($D27,단가!$B:$E,4,0)</f>
        <v>#REF!</v>
      </c>
    </row>
    <row r="28" spans="2:23" ht="15.75" customHeight="1">
      <c r="B28" s="654" t="s">
        <v>89</v>
      </c>
      <c r="C28" s="74" t="s">
        <v>90</v>
      </c>
      <c r="D28" s="288">
        <v>653156</v>
      </c>
      <c r="E28" s="66" t="e">
        <f>#REF!*VLOOKUP($D28,단가!$B:$E,4,0)</f>
        <v>#REF!</v>
      </c>
      <c r="F28" s="66" t="e">
        <f>#REF!*VLOOKUP($D28,단가!$B:$E,4,0)</f>
        <v>#REF!</v>
      </c>
      <c r="G28" s="66" t="e">
        <f>#REF!*VLOOKUP($D28,단가!$B:$E,4,0)</f>
        <v>#REF!</v>
      </c>
      <c r="H28" s="66" t="e">
        <f>#REF!*VLOOKUP($D28,단가!$B:$E,4,0)</f>
        <v>#REF!</v>
      </c>
      <c r="I28" s="66" t="e">
        <f>#REF!*VLOOKUP($D28,단가!$B:$E,4,0)</f>
        <v>#REF!</v>
      </c>
      <c r="J28" s="66" t="e">
        <f>#REF!*VLOOKUP($D28,단가!$B:$E,4,0)</f>
        <v>#REF!</v>
      </c>
      <c r="K28" s="66" t="e">
        <f>#REF!*VLOOKUP($D28,단가!$B:$E,4,0)</f>
        <v>#REF!</v>
      </c>
      <c r="L28" s="66" t="e">
        <f>#REF!*VLOOKUP($D28,단가!$B:$E,4,0)</f>
        <v>#REF!</v>
      </c>
      <c r="M28" s="66" t="e">
        <f>#REF!*VLOOKUP($D28,단가!$B:$E,4,0)</f>
        <v>#REF!</v>
      </c>
      <c r="N28" s="66" t="e">
        <f>#REF!*VLOOKUP($D28,단가!$B:$E,4,0)</f>
        <v>#REF!</v>
      </c>
      <c r="O28" s="66" t="e">
        <f>#REF!*VLOOKUP($D28,단가!$B:$E,4,0)</f>
        <v>#REF!</v>
      </c>
      <c r="P28" s="66" t="e">
        <f>#REF!*VLOOKUP($D28,단가!$B:$E,4,0)</f>
        <v>#REF!</v>
      </c>
      <c r="Q28" s="66" t="e">
        <f>#REF!*VLOOKUP($D28,단가!$B:$E,4,0)</f>
        <v>#REF!</v>
      </c>
      <c r="R28" s="66" t="e">
        <f>#REF!*VLOOKUP($D28,단가!$B:$E,4,0)</f>
        <v>#REF!</v>
      </c>
      <c r="S28" s="66" t="e">
        <f>#REF!*VLOOKUP($D28,단가!$B:$E,4,0)</f>
        <v>#REF!</v>
      </c>
      <c r="T28" s="66" t="e">
        <f>#REF!*VLOOKUP($D28,단가!$B:$E,4,0)</f>
        <v>#REF!</v>
      </c>
      <c r="U28" s="66" t="e">
        <f>#REF!*VLOOKUP($D28,단가!$B:$E,4,0)</f>
        <v>#REF!</v>
      </c>
      <c r="V28" s="66" t="e">
        <f>#REF!*VLOOKUP($D28,단가!$B:$E,4,0)</f>
        <v>#REF!</v>
      </c>
      <c r="W28" s="66" t="e">
        <f>#REF!*VLOOKUP($D28,단가!$B:$E,4,0)</f>
        <v>#REF!</v>
      </c>
    </row>
    <row r="29" spans="2:23" ht="15.75" customHeight="1">
      <c r="B29" s="603"/>
      <c r="C29" s="74" t="s">
        <v>91</v>
      </c>
      <c r="D29" s="288">
        <v>653299</v>
      </c>
      <c r="E29" s="66" t="e">
        <f>#REF!*VLOOKUP($D29,단가!$B:$E,4,0)</f>
        <v>#REF!</v>
      </c>
      <c r="F29" s="66" t="e">
        <f>#REF!*VLOOKUP($D29,단가!$B:$E,4,0)</f>
        <v>#REF!</v>
      </c>
      <c r="G29" s="66" t="e">
        <f>#REF!*VLOOKUP($D29,단가!$B:$E,4,0)</f>
        <v>#REF!</v>
      </c>
      <c r="H29" s="66" t="e">
        <f>#REF!*VLOOKUP($D29,단가!$B:$E,4,0)</f>
        <v>#REF!</v>
      </c>
      <c r="I29" s="66" t="e">
        <f>#REF!*VLOOKUP($D29,단가!$B:$E,4,0)</f>
        <v>#REF!</v>
      </c>
      <c r="J29" s="66" t="e">
        <f>#REF!*VLOOKUP($D29,단가!$B:$E,4,0)</f>
        <v>#REF!</v>
      </c>
      <c r="K29" s="66" t="e">
        <f>#REF!*VLOOKUP($D29,단가!$B:$E,4,0)</f>
        <v>#REF!</v>
      </c>
      <c r="L29" s="66" t="e">
        <f>#REF!*VLOOKUP($D29,단가!$B:$E,4,0)</f>
        <v>#REF!</v>
      </c>
      <c r="M29" s="66" t="e">
        <f>#REF!*VLOOKUP($D29,단가!$B:$E,4,0)</f>
        <v>#REF!</v>
      </c>
      <c r="N29" s="66" t="e">
        <f>#REF!*VLOOKUP($D29,단가!$B:$E,4,0)</f>
        <v>#REF!</v>
      </c>
      <c r="O29" s="66" t="e">
        <f>#REF!*VLOOKUP($D29,단가!$B:$E,4,0)</f>
        <v>#REF!</v>
      </c>
      <c r="P29" s="66" t="e">
        <f>#REF!*VLOOKUP($D29,단가!$B:$E,4,0)</f>
        <v>#REF!</v>
      </c>
      <c r="Q29" s="66" t="e">
        <f>#REF!*VLOOKUP($D29,단가!$B:$E,4,0)</f>
        <v>#REF!</v>
      </c>
      <c r="R29" s="66" t="e">
        <f>#REF!*VLOOKUP($D29,단가!$B:$E,4,0)</f>
        <v>#REF!</v>
      </c>
      <c r="S29" s="66" t="e">
        <f>#REF!*VLOOKUP($D29,단가!$B:$E,4,0)</f>
        <v>#REF!</v>
      </c>
      <c r="T29" s="66" t="e">
        <f>#REF!*VLOOKUP($D29,단가!$B:$E,4,0)</f>
        <v>#REF!</v>
      </c>
      <c r="U29" s="66" t="e">
        <f>#REF!*VLOOKUP($D29,단가!$B:$E,4,0)</f>
        <v>#REF!</v>
      </c>
      <c r="V29" s="66" t="e">
        <f>#REF!*VLOOKUP($D29,단가!$B:$E,4,0)</f>
        <v>#REF!</v>
      </c>
      <c r="W29" s="66" t="e">
        <f>#REF!*VLOOKUP($D29,단가!$B:$E,4,0)</f>
        <v>#REF!</v>
      </c>
    </row>
    <row r="30" spans="2:23" ht="15.75" customHeight="1">
      <c r="B30" s="655" t="s">
        <v>92</v>
      </c>
      <c r="C30" s="75" t="s">
        <v>93</v>
      </c>
      <c r="D30" s="288">
        <v>663243</v>
      </c>
      <c r="E30" s="66" t="e">
        <f>#REF!*VLOOKUP($D30,단가!$B:$E,4,0)</f>
        <v>#REF!</v>
      </c>
      <c r="F30" s="66" t="e">
        <f>#REF!*VLOOKUP($D30,단가!$B:$E,4,0)</f>
        <v>#REF!</v>
      </c>
      <c r="G30" s="66" t="e">
        <f>#REF!*VLOOKUP($D30,단가!$B:$E,4,0)</f>
        <v>#REF!</v>
      </c>
      <c r="H30" s="66" t="e">
        <f>#REF!*VLOOKUP($D30,단가!$B:$E,4,0)</f>
        <v>#REF!</v>
      </c>
      <c r="I30" s="66" t="e">
        <f>#REF!*VLOOKUP($D30,단가!$B:$E,4,0)</f>
        <v>#REF!</v>
      </c>
      <c r="J30" s="66" t="e">
        <f>#REF!*VLOOKUP($D30,단가!$B:$E,4,0)</f>
        <v>#REF!</v>
      </c>
      <c r="K30" s="66" t="e">
        <f>#REF!*VLOOKUP($D30,단가!$B:$E,4,0)</f>
        <v>#REF!</v>
      </c>
      <c r="L30" s="66" t="e">
        <f>#REF!*VLOOKUP($D30,단가!$B:$E,4,0)</f>
        <v>#REF!</v>
      </c>
      <c r="M30" s="66" t="e">
        <f>#REF!*VLOOKUP($D30,단가!$B:$E,4,0)</f>
        <v>#REF!</v>
      </c>
      <c r="N30" s="66" t="e">
        <f>#REF!*VLOOKUP($D30,단가!$B:$E,4,0)</f>
        <v>#REF!</v>
      </c>
      <c r="O30" s="66" t="e">
        <f>#REF!*VLOOKUP($D30,단가!$B:$E,4,0)</f>
        <v>#REF!</v>
      </c>
      <c r="P30" s="66" t="e">
        <f>#REF!*VLOOKUP($D30,단가!$B:$E,4,0)</f>
        <v>#REF!</v>
      </c>
      <c r="Q30" s="66" t="e">
        <f>#REF!*VLOOKUP($D30,단가!$B:$E,4,0)</f>
        <v>#REF!</v>
      </c>
      <c r="R30" s="66" t="e">
        <f>#REF!*VLOOKUP($D30,단가!$B:$E,4,0)</f>
        <v>#REF!</v>
      </c>
      <c r="S30" s="66" t="e">
        <f>#REF!*VLOOKUP($D30,단가!$B:$E,4,0)</f>
        <v>#REF!</v>
      </c>
      <c r="T30" s="66" t="e">
        <f>#REF!*VLOOKUP($D30,단가!$B:$E,4,0)</f>
        <v>#REF!</v>
      </c>
      <c r="U30" s="66" t="e">
        <f>#REF!*VLOOKUP($D30,단가!$B:$E,4,0)</f>
        <v>#REF!</v>
      </c>
      <c r="V30" s="66" t="e">
        <f>#REF!*VLOOKUP($D30,단가!$B:$E,4,0)</f>
        <v>#REF!</v>
      </c>
      <c r="W30" s="66" t="e">
        <f>#REF!*VLOOKUP($D30,단가!$B:$E,4,0)</f>
        <v>#REF!</v>
      </c>
    </row>
    <row r="31" spans="2:23" ht="15.75" customHeight="1">
      <c r="B31" s="609"/>
      <c r="C31" s="75" t="s">
        <v>94</v>
      </c>
      <c r="D31" s="288">
        <v>672129</v>
      </c>
      <c r="E31" s="66" t="e">
        <f>#REF!*VLOOKUP($D31,단가!$B:$E,4,0)</f>
        <v>#REF!</v>
      </c>
      <c r="F31" s="66" t="e">
        <f>#REF!*VLOOKUP($D31,단가!$B:$E,4,0)</f>
        <v>#REF!</v>
      </c>
      <c r="G31" s="66" t="e">
        <f>#REF!*VLOOKUP($D31,단가!$B:$E,4,0)</f>
        <v>#REF!</v>
      </c>
      <c r="H31" s="66" t="e">
        <f>#REF!*VLOOKUP($D31,단가!$B:$E,4,0)</f>
        <v>#REF!</v>
      </c>
      <c r="I31" s="66" t="e">
        <f>#REF!*VLOOKUP($D31,단가!$B:$E,4,0)</f>
        <v>#REF!</v>
      </c>
      <c r="J31" s="66" t="e">
        <f>#REF!*VLOOKUP($D31,단가!$B:$E,4,0)</f>
        <v>#REF!</v>
      </c>
      <c r="K31" s="66" t="e">
        <f>#REF!*VLOOKUP($D31,단가!$B:$E,4,0)</f>
        <v>#REF!</v>
      </c>
      <c r="L31" s="66" t="e">
        <f>#REF!*VLOOKUP($D31,단가!$B:$E,4,0)</f>
        <v>#REF!</v>
      </c>
      <c r="M31" s="66" t="e">
        <f>#REF!*VLOOKUP($D31,단가!$B:$E,4,0)</f>
        <v>#REF!</v>
      </c>
      <c r="N31" s="66" t="e">
        <f>#REF!*VLOOKUP($D31,단가!$B:$E,4,0)</f>
        <v>#REF!</v>
      </c>
      <c r="O31" s="66" t="e">
        <f>#REF!*VLOOKUP($D31,단가!$B:$E,4,0)</f>
        <v>#REF!</v>
      </c>
      <c r="P31" s="66" t="e">
        <f>#REF!*VLOOKUP($D31,단가!$B:$E,4,0)</f>
        <v>#REF!</v>
      </c>
      <c r="Q31" s="66" t="e">
        <f>#REF!*VLOOKUP($D31,단가!$B:$E,4,0)</f>
        <v>#REF!</v>
      </c>
      <c r="R31" s="66" t="e">
        <f>#REF!*VLOOKUP($D31,단가!$B:$E,4,0)</f>
        <v>#REF!</v>
      </c>
      <c r="S31" s="66" t="e">
        <f>#REF!*VLOOKUP($D31,단가!$B:$E,4,0)</f>
        <v>#REF!</v>
      </c>
      <c r="T31" s="66" t="e">
        <f>#REF!*VLOOKUP($D31,단가!$B:$E,4,0)</f>
        <v>#REF!</v>
      </c>
      <c r="U31" s="66" t="e">
        <f>#REF!*VLOOKUP($D31,단가!$B:$E,4,0)</f>
        <v>#REF!</v>
      </c>
      <c r="V31" s="66" t="e">
        <f>#REF!*VLOOKUP($D31,단가!$B:$E,4,0)</f>
        <v>#REF!</v>
      </c>
      <c r="W31" s="66" t="e">
        <f>#REF!*VLOOKUP($D31,단가!$B:$E,4,0)</f>
        <v>#REF!</v>
      </c>
    </row>
    <row r="32" spans="2:23" ht="15.75" customHeight="1">
      <c r="B32" s="609"/>
      <c r="C32" s="75" t="s">
        <v>95</v>
      </c>
      <c r="D32" s="288">
        <v>672127</v>
      </c>
      <c r="E32" s="66" t="e">
        <f>#REF!*VLOOKUP($D32,단가!$B:$E,4,0)</f>
        <v>#REF!</v>
      </c>
      <c r="F32" s="66" t="e">
        <f>#REF!*VLOOKUP($D32,단가!$B:$E,4,0)</f>
        <v>#REF!</v>
      </c>
      <c r="G32" s="66" t="e">
        <f>#REF!*VLOOKUP($D32,단가!$B:$E,4,0)</f>
        <v>#REF!</v>
      </c>
      <c r="H32" s="66" t="e">
        <f>#REF!*VLOOKUP($D32,단가!$B:$E,4,0)</f>
        <v>#REF!</v>
      </c>
      <c r="I32" s="66" t="e">
        <f>#REF!*VLOOKUP($D32,단가!$B:$E,4,0)</f>
        <v>#REF!</v>
      </c>
      <c r="J32" s="66" t="e">
        <f>#REF!*VLOOKUP($D32,단가!$B:$E,4,0)</f>
        <v>#REF!</v>
      </c>
      <c r="K32" s="66" t="e">
        <f>#REF!*VLOOKUP($D32,단가!$B:$E,4,0)</f>
        <v>#REF!</v>
      </c>
      <c r="L32" s="66" t="e">
        <f>#REF!*VLOOKUP($D32,단가!$B:$E,4,0)</f>
        <v>#REF!</v>
      </c>
      <c r="M32" s="66" t="e">
        <f>#REF!*VLOOKUP($D32,단가!$B:$E,4,0)</f>
        <v>#REF!</v>
      </c>
      <c r="N32" s="66" t="e">
        <f>#REF!*VLOOKUP($D32,단가!$B:$E,4,0)</f>
        <v>#REF!</v>
      </c>
      <c r="O32" s="66" t="e">
        <f>#REF!*VLOOKUP($D32,단가!$B:$E,4,0)</f>
        <v>#REF!</v>
      </c>
      <c r="P32" s="66" t="e">
        <f>#REF!*VLOOKUP($D32,단가!$B:$E,4,0)</f>
        <v>#REF!</v>
      </c>
      <c r="Q32" s="66" t="e">
        <f>#REF!*VLOOKUP($D32,단가!$B:$E,4,0)</f>
        <v>#REF!</v>
      </c>
      <c r="R32" s="66" t="e">
        <f>#REF!*VLOOKUP($D32,단가!$B:$E,4,0)</f>
        <v>#REF!</v>
      </c>
      <c r="S32" s="66" t="e">
        <f>#REF!*VLOOKUP($D32,단가!$B:$E,4,0)</f>
        <v>#REF!</v>
      </c>
      <c r="T32" s="66" t="e">
        <f>#REF!*VLOOKUP($D32,단가!$B:$E,4,0)</f>
        <v>#REF!</v>
      </c>
      <c r="U32" s="66" t="e">
        <f>#REF!*VLOOKUP($D32,단가!$B:$E,4,0)</f>
        <v>#REF!</v>
      </c>
      <c r="V32" s="66" t="e">
        <f>#REF!*VLOOKUP($D32,단가!$B:$E,4,0)</f>
        <v>#REF!</v>
      </c>
      <c r="W32" s="66" t="e">
        <f>#REF!*VLOOKUP($D32,단가!$B:$E,4,0)</f>
        <v>#REF!</v>
      </c>
    </row>
    <row r="33" spans="2:23" ht="15.75" customHeight="1">
      <c r="B33" s="603"/>
      <c r="C33" s="75" t="s">
        <v>96</v>
      </c>
      <c r="D33" s="288">
        <v>671574</v>
      </c>
      <c r="E33" s="66" t="e">
        <f>#REF!*VLOOKUP($D33,단가!$B:$E,4,0)</f>
        <v>#REF!</v>
      </c>
      <c r="F33" s="66" t="e">
        <f>#REF!*VLOOKUP($D33,단가!$B:$E,4,0)</f>
        <v>#REF!</v>
      </c>
      <c r="G33" s="66" t="e">
        <f>#REF!*VLOOKUP($D33,단가!$B:$E,4,0)</f>
        <v>#REF!</v>
      </c>
      <c r="H33" s="66" t="e">
        <f>#REF!*VLOOKUP($D33,단가!$B:$E,4,0)</f>
        <v>#REF!</v>
      </c>
      <c r="I33" s="66" t="e">
        <f>#REF!*VLOOKUP($D33,단가!$B:$E,4,0)</f>
        <v>#REF!</v>
      </c>
      <c r="J33" s="66" t="e">
        <f>#REF!*VLOOKUP($D33,단가!$B:$E,4,0)</f>
        <v>#REF!</v>
      </c>
      <c r="K33" s="66" t="e">
        <f>#REF!*VLOOKUP($D33,단가!$B:$E,4,0)</f>
        <v>#REF!</v>
      </c>
      <c r="L33" s="66" t="e">
        <f>#REF!*VLOOKUP($D33,단가!$B:$E,4,0)</f>
        <v>#REF!</v>
      </c>
      <c r="M33" s="66" t="e">
        <f>#REF!*VLOOKUP($D33,단가!$B:$E,4,0)</f>
        <v>#REF!</v>
      </c>
      <c r="N33" s="66" t="e">
        <f>#REF!*VLOOKUP($D33,단가!$B:$E,4,0)</f>
        <v>#REF!</v>
      </c>
      <c r="O33" s="66" t="e">
        <f>#REF!*VLOOKUP($D33,단가!$B:$E,4,0)</f>
        <v>#REF!</v>
      </c>
      <c r="P33" s="66" t="e">
        <f>#REF!*VLOOKUP($D33,단가!$B:$E,4,0)</f>
        <v>#REF!</v>
      </c>
      <c r="Q33" s="66" t="e">
        <f>#REF!*VLOOKUP($D33,단가!$B:$E,4,0)</f>
        <v>#REF!</v>
      </c>
      <c r="R33" s="66" t="e">
        <f>#REF!*VLOOKUP($D33,단가!$B:$E,4,0)</f>
        <v>#REF!</v>
      </c>
      <c r="S33" s="66" t="e">
        <f>#REF!*VLOOKUP($D33,단가!$B:$E,4,0)</f>
        <v>#REF!</v>
      </c>
      <c r="T33" s="66" t="e">
        <f>#REF!*VLOOKUP($D33,단가!$B:$E,4,0)</f>
        <v>#REF!</v>
      </c>
      <c r="U33" s="66" t="e">
        <f>#REF!*VLOOKUP($D33,단가!$B:$E,4,0)</f>
        <v>#REF!</v>
      </c>
      <c r="V33" s="66" t="e">
        <f>#REF!*VLOOKUP($D33,단가!$B:$E,4,0)</f>
        <v>#REF!</v>
      </c>
      <c r="W33" s="66" t="e">
        <f>#REF!*VLOOKUP($D33,단가!$B:$E,4,0)</f>
        <v>#REF!</v>
      </c>
    </row>
    <row r="34" spans="2:23" ht="15.75" customHeight="1">
      <c r="B34" s="650" t="s">
        <v>18</v>
      </c>
      <c r="C34" s="634"/>
      <c r="D34" s="590"/>
      <c r="E34" s="79" t="e">
        <f t="shared" ref="E34:W34" si="1">SUM(E15:E33)</f>
        <v>#REF!</v>
      </c>
      <c r="F34" s="79" t="e">
        <f t="shared" si="1"/>
        <v>#REF!</v>
      </c>
      <c r="G34" s="79" t="e">
        <f t="shared" si="1"/>
        <v>#REF!</v>
      </c>
      <c r="H34" s="79" t="e">
        <f t="shared" si="1"/>
        <v>#REF!</v>
      </c>
      <c r="I34" s="79" t="e">
        <f t="shared" si="1"/>
        <v>#REF!</v>
      </c>
      <c r="J34" s="79" t="e">
        <f t="shared" si="1"/>
        <v>#REF!</v>
      </c>
      <c r="K34" s="79" t="e">
        <f t="shared" si="1"/>
        <v>#REF!</v>
      </c>
      <c r="L34" s="79" t="e">
        <f t="shared" si="1"/>
        <v>#REF!</v>
      </c>
      <c r="M34" s="79" t="e">
        <f t="shared" si="1"/>
        <v>#REF!</v>
      </c>
      <c r="N34" s="79" t="e">
        <f t="shared" si="1"/>
        <v>#REF!</v>
      </c>
      <c r="O34" s="79" t="e">
        <f t="shared" si="1"/>
        <v>#REF!</v>
      </c>
      <c r="P34" s="79" t="e">
        <f t="shared" si="1"/>
        <v>#REF!</v>
      </c>
      <c r="Q34" s="79" t="e">
        <f t="shared" si="1"/>
        <v>#REF!</v>
      </c>
      <c r="R34" s="79" t="e">
        <f t="shared" si="1"/>
        <v>#REF!</v>
      </c>
      <c r="S34" s="79" t="e">
        <f t="shared" si="1"/>
        <v>#REF!</v>
      </c>
      <c r="T34" s="79" t="e">
        <f t="shared" si="1"/>
        <v>#REF!</v>
      </c>
      <c r="U34" s="79" t="e">
        <f t="shared" si="1"/>
        <v>#REF!</v>
      </c>
      <c r="V34" s="79" t="e">
        <f t="shared" si="1"/>
        <v>#REF!</v>
      </c>
      <c r="W34" s="79" t="e">
        <f t="shared" si="1"/>
        <v>#REF!</v>
      </c>
    </row>
    <row r="38" spans="2:23" ht="15">
      <c r="B38" s="60" t="s">
        <v>137</v>
      </c>
      <c r="H38" s="30" t="s">
        <v>138</v>
      </c>
      <c r="I38" s="30" t="s">
        <v>139</v>
      </c>
    </row>
    <row r="39" spans="2:23" ht="12.75">
      <c r="B39" s="656"/>
      <c r="C39" s="590"/>
      <c r="D39" s="5" t="s">
        <v>250</v>
      </c>
      <c r="E39" s="205" t="s">
        <v>1</v>
      </c>
      <c r="F39" s="205" t="s">
        <v>2</v>
      </c>
      <c r="G39" s="205" t="s">
        <v>3</v>
      </c>
      <c r="H39" s="205" t="s">
        <v>4</v>
      </c>
      <c r="I39" s="5" t="s">
        <v>5</v>
      </c>
      <c r="J39" s="5" t="s">
        <v>6</v>
      </c>
      <c r="K39" s="5" t="s">
        <v>7</v>
      </c>
      <c r="L39" s="5" t="s">
        <v>8</v>
      </c>
      <c r="M39" s="5" t="s">
        <v>9</v>
      </c>
      <c r="N39" s="5" t="s">
        <v>10</v>
      </c>
      <c r="O39" s="5" t="s">
        <v>11</v>
      </c>
      <c r="P39" s="5" t="s">
        <v>12</v>
      </c>
      <c r="Q39" s="5" t="s">
        <v>13</v>
      </c>
      <c r="R39" s="5" t="s">
        <v>2</v>
      </c>
      <c r="S39" s="110" t="s">
        <v>3</v>
      </c>
      <c r="T39" s="110" t="s">
        <v>4</v>
      </c>
      <c r="U39" s="205" t="s">
        <v>5</v>
      </c>
      <c r="V39" s="205" t="s">
        <v>6</v>
      </c>
      <c r="W39" s="205" t="s">
        <v>7</v>
      </c>
    </row>
    <row r="40" spans="2:23" ht="12.75">
      <c r="B40" s="657" t="s">
        <v>142</v>
      </c>
      <c r="C40" s="590"/>
      <c r="D40" s="288">
        <v>117547</v>
      </c>
      <c r="E40" s="43"/>
      <c r="F40" s="43"/>
      <c r="G40" s="43"/>
      <c r="H40" s="66">
        <f>Medical!D5*VLOOKUP($D40,단가!$B:$E,4,0)</f>
        <v>746.85483870967755</v>
      </c>
      <c r="I40" s="66">
        <f>Medical!E5*VLOOKUP($D40,단가!$B:$E,4,0)</f>
        <v>1680</v>
      </c>
      <c r="J40" s="66">
        <f>Medical!F5*VLOOKUP($D40,단가!$B:$E,4,0)</f>
        <v>5670</v>
      </c>
      <c r="K40" s="66">
        <f>Medical!G5*VLOOKUP($D40,단가!$B:$E,4,0)</f>
        <v>5670</v>
      </c>
      <c r="L40" s="66">
        <f>Medical!H5*VLOOKUP($D40,단가!$B:$E,4,0)</f>
        <v>6300</v>
      </c>
      <c r="M40" s="66">
        <f>Medical!I5*VLOOKUP($D40,단가!$B:$E,4,0)</f>
        <v>3465</v>
      </c>
      <c r="N40" s="66">
        <f>Medical!J5*VLOOKUP($D40,단가!$B:$E,4,0)</f>
        <v>0</v>
      </c>
      <c r="O40" s="43"/>
      <c r="P40" s="43"/>
      <c r="Q40" s="43"/>
      <c r="R40" s="43"/>
      <c r="S40" s="43"/>
      <c r="T40" s="43"/>
      <c r="U40" s="43"/>
      <c r="V40" s="43"/>
      <c r="W40" s="43"/>
    </row>
    <row r="41" spans="2:23" ht="12.75">
      <c r="B41" s="657" t="s">
        <v>143</v>
      </c>
      <c r="C41" s="590"/>
      <c r="D41" s="288">
        <v>552897</v>
      </c>
      <c r="E41" s="43"/>
      <c r="F41" s="43"/>
      <c r="G41" s="43"/>
      <c r="H41" s="66">
        <f>Medical!D6*VLOOKUP(D41,단가!$B:$E,4,0)</f>
        <v>50229.9</v>
      </c>
      <c r="I41" s="66">
        <f>Medical!E6*VLOOKUP($D41,단가!$B:$E,4,0)</f>
        <v>0</v>
      </c>
      <c r="J41" s="66">
        <f>Medical!F6*VLOOKUP($D41,단가!$B:$E,4,0)</f>
        <v>0</v>
      </c>
      <c r="K41" s="66">
        <f>Medical!G6*VLOOKUP($D41,단가!$B:$E,4,0)</f>
        <v>0</v>
      </c>
      <c r="L41" s="66">
        <f>Medical!H6*VLOOKUP($D41,단가!$B:$E,4,0)</f>
        <v>0</v>
      </c>
      <c r="M41" s="66">
        <f>Medical!I6*VLOOKUP($D41,단가!$B:$E,4,0)</f>
        <v>0</v>
      </c>
      <c r="N41" s="66">
        <f>Medical!J6*VLOOKUP($D41,단가!$B:$E,4,0)</f>
        <v>0</v>
      </c>
      <c r="O41" s="43"/>
      <c r="P41" s="43"/>
      <c r="Q41" s="43"/>
      <c r="R41" s="43"/>
      <c r="S41" s="43"/>
      <c r="T41" s="43"/>
      <c r="U41" s="43"/>
      <c r="V41" s="43"/>
      <c r="W41" s="43"/>
    </row>
    <row r="42" spans="2:23" ht="12.75">
      <c r="B42" s="657" t="s">
        <v>144</v>
      </c>
      <c r="C42" s="590"/>
      <c r="D42" s="288">
        <v>117771</v>
      </c>
      <c r="E42" s="43"/>
      <c r="F42" s="43"/>
      <c r="G42" s="43"/>
      <c r="H42" s="66">
        <f>Medical!D7*VLOOKUP(D42,단가!$B:$E,4,0)</f>
        <v>12540</v>
      </c>
      <c r="I42" s="66">
        <f>Medical!E7*VLOOKUP($D42,단가!$B:$E,4,0)</f>
        <v>0</v>
      </c>
      <c r="J42" s="66">
        <f>Medical!F7*VLOOKUP($D42,단가!$B:$E,4,0)</f>
        <v>3420</v>
      </c>
      <c r="K42" s="66">
        <f>Medical!G7*VLOOKUP($D42,단가!$B:$E,4,0)</f>
        <v>3420</v>
      </c>
      <c r="L42" s="66">
        <f>Medical!H7*VLOOKUP($D42,단가!$B:$E,4,0)</f>
        <v>6840</v>
      </c>
      <c r="M42" s="66">
        <f>Medical!I7*VLOOKUP($D42,단가!$B:$E,4,0)</f>
        <v>3420</v>
      </c>
      <c r="N42" s="66">
        <f>Medical!J7*VLOOKUP($D42,단가!$B:$E,4,0)</f>
        <v>0</v>
      </c>
      <c r="O42" s="43"/>
      <c r="P42" s="43"/>
      <c r="Q42" s="43"/>
      <c r="R42" s="43"/>
      <c r="S42" s="43"/>
      <c r="T42" s="43"/>
      <c r="U42" s="43"/>
      <c r="V42" s="43"/>
      <c r="W42" s="43"/>
    </row>
    <row r="43" spans="2:23" ht="12.75">
      <c r="B43" s="657" t="s">
        <v>145</v>
      </c>
      <c r="C43" s="590"/>
      <c r="D43" s="288">
        <v>646546</v>
      </c>
      <c r="E43" s="43"/>
      <c r="F43" s="43"/>
      <c r="G43" s="43"/>
      <c r="H43" s="66">
        <f>Medical!D8*VLOOKUP(D43,단가!$B:$E,4,0)</f>
        <v>1373.2795698924729</v>
      </c>
      <c r="I43" s="66">
        <f>Medical!E8*VLOOKUP($D43,단가!$B:$E,4,0)</f>
        <v>0</v>
      </c>
      <c r="J43" s="66">
        <f>Medical!F8*VLOOKUP($D43,단가!$B:$E,4,0)</f>
        <v>3252.666666666667</v>
      </c>
      <c r="K43" s="66">
        <f>Medical!G8*VLOOKUP($D43,단가!$B:$E,4,0)</f>
        <v>0</v>
      </c>
      <c r="L43" s="66">
        <f>Medical!H8*VLOOKUP($D43,단가!$B:$E,4,0)</f>
        <v>0</v>
      </c>
      <c r="M43" s="66">
        <f>Medical!I8*VLOOKUP($D43,단가!$B:$E,4,0)</f>
        <v>0</v>
      </c>
      <c r="N43" s="66">
        <f>Medical!J8*VLOOKUP($D43,단가!$B:$E,4,0)</f>
        <v>0</v>
      </c>
      <c r="O43" s="43"/>
      <c r="P43" s="43"/>
      <c r="Q43" s="43"/>
      <c r="R43" s="43"/>
      <c r="S43" s="43"/>
      <c r="T43" s="43"/>
      <c r="U43" s="43"/>
      <c r="V43" s="43"/>
      <c r="W43" s="43"/>
    </row>
    <row r="44" spans="2:23" ht="12.75">
      <c r="B44" s="657" t="s">
        <v>146</v>
      </c>
      <c r="C44" s="590"/>
      <c r="D44" s="288">
        <v>646567</v>
      </c>
      <c r="E44" s="43"/>
      <c r="F44" s="43"/>
      <c r="G44" s="43"/>
      <c r="H44" s="66">
        <f>Medical!D9*VLOOKUP(D44,단가!$B:$E,4,0)</f>
        <v>3185.4193548387098</v>
      </c>
      <c r="I44" s="66">
        <f>Medical!E9*VLOOKUP($D44,단가!$B:$E,4,0)</f>
        <v>3536</v>
      </c>
      <c r="J44" s="66">
        <f>Medical!F9*VLOOKUP($D44,단가!$B:$E,4,0)</f>
        <v>0</v>
      </c>
      <c r="K44" s="66">
        <f>Medical!G9*VLOOKUP($D44,단가!$B:$E,4,0)</f>
        <v>0</v>
      </c>
      <c r="L44" s="66">
        <f>Medical!H9*VLOOKUP($D44,단가!$B:$E,4,0)</f>
        <v>0</v>
      </c>
      <c r="M44" s="66">
        <f>Medical!I9*VLOOKUP($D44,단가!$B:$E,4,0)</f>
        <v>0</v>
      </c>
      <c r="N44" s="66">
        <f>Medical!J9*VLOOKUP($D44,단가!$B:$E,4,0)</f>
        <v>0</v>
      </c>
      <c r="O44" s="43"/>
      <c r="P44" s="43"/>
      <c r="Q44" s="43"/>
      <c r="R44" s="43"/>
      <c r="S44" s="43"/>
      <c r="T44" s="43"/>
      <c r="U44" s="43"/>
      <c r="V44" s="43"/>
      <c r="W44" s="43"/>
    </row>
    <row r="45" spans="2:23" ht="12.75">
      <c r="B45" s="657" t="s">
        <v>147</v>
      </c>
      <c r="C45" s="590"/>
      <c r="D45" s="288">
        <v>691217</v>
      </c>
      <c r="E45" s="43"/>
      <c r="F45" s="43"/>
      <c r="G45" s="43"/>
      <c r="H45" s="66">
        <f>Medical!D10*VLOOKUP(D45,단가!$B:$E,4,0)</f>
        <v>2050</v>
      </c>
      <c r="I45" s="66">
        <f>Medical!E10*VLOOKUP($D45,단가!$B:$E,4,0)</f>
        <v>4920</v>
      </c>
      <c r="J45" s="66">
        <f>Medical!F10*VLOOKUP($D45,단가!$B:$E,4,0)</f>
        <v>8610</v>
      </c>
      <c r="K45" s="66">
        <f>Medical!G10*VLOOKUP($D45,단가!$B:$E,4,0)</f>
        <v>0</v>
      </c>
      <c r="L45" s="66">
        <f>Medical!H10*VLOOKUP($D45,단가!$B:$E,4,0)</f>
        <v>0</v>
      </c>
      <c r="M45" s="66">
        <f>Medical!I10*VLOOKUP($D45,단가!$B:$E,4,0)</f>
        <v>8610</v>
      </c>
      <c r="N45" s="66">
        <f>Medical!J10*VLOOKUP($D45,단가!$B:$E,4,0)</f>
        <v>0</v>
      </c>
      <c r="O45" s="43"/>
      <c r="P45" s="43"/>
      <c r="Q45" s="43"/>
      <c r="R45" s="43"/>
      <c r="S45" s="43"/>
      <c r="T45" s="43"/>
      <c r="U45" s="43"/>
      <c r="V45" s="43"/>
      <c r="W45" s="43"/>
    </row>
    <row r="46" spans="2:23" ht="12.75">
      <c r="B46" s="657" t="s">
        <v>148</v>
      </c>
      <c r="C46" s="590"/>
      <c r="D46" s="288">
        <v>611174</v>
      </c>
      <c r="E46" s="43"/>
      <c r="F46" s="43"/>
      <c r="G46" s="43"/>
      <c r="H46" s="66">
        <f>Medical!D11*VLOOKUP(D46,단가!$B:$E,4,0)</f>
        <v>64579.19999999999</v>
      </c>
      <c r="I46" s="66">
        <f>Medical!E11*VLOOKUP($D46,단가!$B:$E,4,0)</f>
        <v>353548.79999999999</v>
      </c>
      <c r="J46" s="66">
        <f>Medical!F11*VLOOKUP($D46,단가!$B:$E,4,0)</f>
        <v>0</v>
      </c>
      <c r="K46" s="66">
        <f>Medical!G11*VLOOKUP($D46,단가!$B:$E,4,0)</f>
        <v>0</v>
      </c>
      <c r="L46" s="66">
        <f>Medical!H11*VLOOKUP($D46,단가!$B:$E,4,0)</f>
        <v>0</v>
      </c>
      <c r="M46" s="66">
        <f>Medical!I11*VLOOKUP($D46,단가!$B:$E,4,0)</f>
        <v>224985.59999999998</v>
      </c>
      <c r="N46" s="66">
        <f>Medical!J11*VLOOKUP($D46,단가!$B:$E,4,0)</f>
        <v>0</v>
      </c>
      <c r="O46" s="43"/>
      <c r="P46" s="43"/>
      <c r="Q46" s="43"/>
      <c r="R46" s="43"/>
      <c r="S46" s="43"/>
      <c r="T46" s="43"/>
      <c r="U46" s="43"/>
      <c r="V46" s="43"/>
      <c r="W46" s="43"/>
    </row>
    <row r="47" spans="2:23" ht="12.75">
      <c r="B47" s="657" t="s">
        <v>149</v>
      </c>
      <c r="C47" s="590"/>
      <c r="D47" s="288">
        <v>701775</v>
      </c>
      <c r="E47" s="43"/>
      <c r="F47" s="43"/>
      <c r="G47" s="43"/>
      <c r="H47" s="66">
        <f>Medical!D12*VLOOKUP(D47,단가!$B:$E,4,0)</f>
        <v>125549.80645161289</v>
      </c>
      <c r="I47" s="66">
        <f>Medical!E12*VLOOKUP($D47,단가!$B:$E,4,0)</f>
        <v>0</v>
      </c>
      <c r="J47" s="66">
        <f>Medical!F12*VLOOKUP($D47,단가!$B:$E,4,0)</f>
        <v>138348</v>
      </c>
      <c r="K47" s="66">
        <f>Medical!G12*VLOOKUP($D47,단가!$B:$E,4,0)</f>
        <v>79056</v>
      </c>
      <c r="L47" s="66">
        <f>Medical!H12*VLOOKUP($D47,단가!$B:$E,4,0)</f>
        <v>0</v>
      </c>
      <c r="M47" s="66">
        <f>Medical!I12*VLOOKUP($D47,단가!$B:$E,4,0)</f>
        <v>59292</v>
      </c>
      <c r="N47" s="66">
        <f>Medical!J12*VLOOKUP($D47,단가!$B:$E,4,0)</f>
        <v>0</v>
      </c>
      <c r="O47" s="43"/>
      <c r="P47" s="43"/>
      <c r="Q47" s="43"/>
      <c r="R47" s="43"/>
      <c r="S47" s="43"/>
      <c r="T47" s="43"/>
      <c r="U47" s="43"/>
      <c r="V47" s="43"/>
      <c r="W47" s="43"/>
    </row>
    <row r="48" spans="2:23" ht="12.75">
      <c r="B48" s="657" t="s">
        <v>150</v>
      </c>
      <c r="C48" s="590"/>
      <c r="D48" s="288">
        <v>646548</v>
      </c>
      <c r="E48" s="43"/>
      <c r="F48" s="43"/>
      <c r="G48" s="43"/>
      <c r="H48" s="66">
        <f>Medical!D13*VLOOKUP(D48,단가!$B:$E,4,0)</f>
        <v>1526.5290322580647</v>
      </c>
      <c r="I48" s="66">
        <f>Medical!E13*VLOOKUP($D48,단가!$B:$E,4,0)</f>
        <v>6675.2</v>
      </c>
      <c r="J48" s="66">
        <f>Medical!F13*VLOOKUP($D48,단가!$B:$E,4,0)</f>
        <v>0</v>
      </c>
      <c r="K48" s="66">
        <f>Medical!G13*VLOOKUP($D48,단가!$B:$E,4,0)</f>
        <v>0</v>
      </c>
      <c r="L48" s="66">
        <f>Medical!H13*VLOOKUP($D48,단가!$B:$E,4,0)</f>
        <v>2384</v>
      </c>
      <c r="M48" s="66">
        <f>Medical!I13*VLOOKUP($D48,단가!$B:$E,4,0)</f>
        <v>0</v>
      </c>
      <c r="N48" s="66">
        <f>Medical!J13*VLOOKUP($D48,단가!$B:$E,4,0)</f>
        <v>0</v>
      </c>
      <c r="O48" s="43"/>
      <c r="P48" s="43"/>
      <c r="Q48" s="43"/>
      <c r="R48" s="43"/>
      <c r="S48" s="43"/>
      <c r="T48" s="43"/>
      <c r="U48" s="43"/>
      <c r="V48" s="43"/>
      <c r="W48" s="43"/>
    </row>
    <row r="49" spans="2:23" ht="12.75">
      <c r="B49" s="657" t="s">
        <v>151</v>
      </c>
      <c r="C49" s="590"/>
      <c r="D49" s="288">
        <v>589462</v>
      </c>
      <c r="E49" s="43"/>
      <c r="F49" s="43"/>
      <c r="G49" s="43"/>
      <c r="H49" s="66">
        <f>Medical!D14*VLOOKUP(D49,단가!$B:$E,4,0)</f>
        <v>6316.8</v>
      </c>
      <c r="I49" s="66">
        <f>Medical!E14*VLOOKUP($D49,단가!$B:$E,4,0)</f>
        <v>4300.8</v>
      </c>
      <c r="J49" s="66">
        <f>Medical!F14*VLOOKUP($D49,단가!$B:$E,4,0)</f>
        <v>0</v>
      </c>
      <c r="K49" s="66">
        <f>Medical!G14*VLOOKUP($D49,단가!$B:$E,4,0)</f>
        <v>2912.0000000000005</v>
      </c>
      <c r="L49" s="66">
        <f>Medical!H14*VLOOKUP($D49,단가!$B:$E,4,0)</f>
        <v>2688.0000000000005</v>
      </c>
      <c r="M49" s="66">
        <f>Medical!I14*VLOOKUP($D49,단가!$B:$E,4,0)</f>
        <v>0</v>
      </c>
      <c r="N49" s="66">
        <f>Medical!J14*VLOOKUP($D49,단가!$B:$E,4,0)</f>
        <v>0</v>
      </c>
      <c r="O49" s="43"/>
      <c r="P49" s="43"/>
      <c r="Q49" s="43"/>
      <c r="R49" s="43"/>
      <c r="S49" s="43"/>
      <c r="T49" s="43"/>
      <c r="U49" s="43"/>
      <c r="V49" s="43"/>
      <c r="W49" s="43"/>
    </row>
    <row r="50" spans="2:23" ht="12.75">
      <c r="B50" s="657" t="s">
        <v>152</v>
      </c>
      <c r="C50" s="590"/>
      <c r="D50" s="288">
        <v>589466</v>
      </c>
      <c r="E50" s="43"/>
      <c r="F50" s="43"/>
      <c r="G50" s="43"/>
      <c r="H50" s="66">
        <f>Medical!D15*VLOOKUP(D50,단가!$B:$E,4,0)</f>
        <v>418.10967741935468</v>
      </c>
      <c r="I50" s="66">
        <f>Medical!E15*VLOOKUP($D50,단가!$B:$E,4,0)</f>
        <v>11862.2</v>
      </c>
      <c r="J50" s="66">
        <f>Medical!F15*VLOOKUP($D50,단가!$B:$E,4,0)</f>
        <v>0</v>
      </c>
      <c r="K50" s="66">
        <f>Medical!G15*VLOOKUP($D50,단가!$B:$E,4,0)</f>
        <v>0</v>
      </c>
      <c r="L50" s="66">
        <f>Medical!H15*VLOOKUP($D50,단가!$B:$E,4,0)</f>
        <v>8244</v>
      </c>
      <c r="M50" s="66">
        <f>Medical!I15*VLOOKUP($D50,단가!$B:$E,4,0)</f>
        <v>6045.6</v>
      </c>
      <c r="N50" s="66">
        <f>Medical!J15*VLOOKUP($D50,단가!$B:$E,4,0)</f>
        <v>0</v>
      </c>
      <c r="O50" s="43"/>
      <c r="P50" s="43"/>
      <c r="Q50" s="43"/>
      <c r="R50" s="43"/>
      <c r="S50" s="43"/>
      <c r="T50" s="43"/>
      <c r="U50" s="43"/>
      <c r="V50" s="43"/>
      <c r="W50" s="43"/>
    </row>
    <row r="51" spans="2:23" ht="12.75">
      <c r="B51" s="657" t="s">
        <v>153</v>
      </c>
      <c r="C51" s="590"/>
      <c r="D51" s="288">
        <v>116180</v>
      </c>
      <c r="E51" s="43"/>
      <c r="F51" s="43"/>
      <c r="G51" s="43"/>
      <c r="H51" s="66">
        <f>Medical!D16*VLOOKUP(D51,단가!$B:$E,4,0)</f>
        <v>3949.6666666666665</v>
      </c>
      <c r="I51" s="66">
        <f>Medical!E16*VLOOKUP($D51,단가!$B:$E,4,0)</f>
        <v>20230</v>
      </c>
      <c r="J51" s="66">
        <f>Medical!F16*VLOOKUP($D51,단가!$B:$E,4,0)</f>
        <v>2890</v>
      </c>
      <c r="K51" s="66">
        <f>Medical!G16*VLOOKUP($D51,단가!$B:$E,4,0)</f>
        <v>2890</v>
      </c>
      <c r="L51" s="66">
        <f>Medical!H16*VLOOKUP($D51,단가!$B:$E,4,0)</f>
        <v>4335</v>
      </c>
      <c r="M51" s="66">
        <f>Medical!I16*VLOOKUP($D51,단가!$B:$E,4,0)</f>
        <v>28900</v>
      </c>
      <c r="N51" s="66">
        <f>Medical!J16*VLOOKUP($D51,단가!$B:$E,4,0)</f>
        <v>0</v>
      </c>
      <c r="O51" s="43"/>
      <c r="P51" s="43"/>
      <c r="Q51" s="43"/>
      <c r="R51" s="43"/>
      <c r="S51" s="43"/>
      <c r="T51" s="43"/>
      <c r="U51" s="43"/>
      <c r="V51" s="43"/>
      <c r="W51" s="43"/>
    </row>
    <row r="52" spans="2:23" ht="12.75">
      <c r="B52" s="657" t="s">
        <v>154</v>
      </c>
      <c r="C52" s="590"/>
      <c r="D52" s="288">
        <v>695413</v>
      </c>
      <c r="E52" s="43"/>
      <c r="F52" s="43"/>
      <c r="G52" s="43"/>
      <c r="H52" s="66">
        <f>Medical!D17*VLOOKUP(D52,단가!$B:$E,4,0)</f>
        <v>1039.7822580645161</v>
      </c>
      <c r="I52" s="66">
        <f>Medical!E17*VLOOKUP($D52,단가!$B:$E,4,0)</f>
        <v>9698.5</v>
      </c>
      <c r="J52" s="66">
        <f>Medical!F17*VLOOKUP($D52,단가!$B:$E,4,0)</f>
        <v>0</v>
      </c>
      <c r="K52" s="66">
        <f>Medical!G17*VLOOKUP($D52,단가!$B:$E,4,0)</f>
        <v>0</v>
      </c>
      <c r="L52" s="66">
        <f>Medical!H17*VLOOKUP($D52,단가!$B:$E,4,0)</f>
        <v>4890</v>
      </c>
      <c r="M52" s="66">
        <f>Medical!I17*VLOOKUP($D52,단가!$B:$E,4,0)</f>
        <v>0</v>
      </c>
      <c r="N52" s="66">
        <f>Medical!J17*VLOOKUP($D52,단가!$B:$E,4,0)</f>
        <v>0</v>
      </c>
      <c r="O52" s="43"/>
      <c r="P52" s="43"/>
      <c r="Q52" s="43"/>
      <c r="R52" s="43"/>
      <c r="S52" s="43"/>
      <c r="T52" s="43"/>
      <c r="U52" s="43"/>
      <c r="V52" s="43"/>
      <c r="W52" s="43"/>
    </row>
    <row r="53" spans="2:23" ht="12.75">
      <c r="B53" s="657" t="s">
        <v>155</v>
      </c>
      <c r="C53" s="590"/>
      <c r="D53" s="288">
        <v>699883</v>
      </c>
      <c r="E53" s="43"/>
      <c r="F53" s="43"/>
      <c r="G53" s="43"/>
      <c r="H53" s="66">
        <f>Medical!D18*VLOOKUP(D53,단가!$B:$E,4,0)</f>
        <v>2039.483870967742</v>
      </c>
      <c r="I53" s="66">
        <f>Medical!E18*VLOOKUP($D53,단가!$B:$E,4,0)</f>
        <v>2408</v>
      </c>
      <c r="J53" s="66">
        <f>Medical!F18*VLOOKUP($D53,단가!$B:$E,4,0)</f>
        <v>0</v>
      </c>
      <c r="K53" s="66">
        <f>Medical!G18*VLOOKUP($D53,단가!$B:$E,4,0)</f>
        <v>0</v>
      </c>
      <c r="L53" s="66">
        <f>Medical!H18*VLOOKUP($D53,단가!$B:$E,4,0)</f>
        <v>2520</v>
      </c>
      <c r="M53" s="66">
        <f>Medical!I18*VLOOKUP($D53,단가!$B:$E,4,0)</f>
        <v>0</v>
      </c>
      <c r="N53" s="66">
        <f>Medical!J18*VLOOKUP($D53,단가!$B:$E,4,0)</f>
        <v>0</v>
      </c>
      <c r="O53" s="43"/>
      <c r="P53" s="43"/>
      <c r="Q53" s="43"/>
      <c r="R53" s="43"/>
      <c r="S53" s="43"/>
      <c r="T53" s="43"/>
      <c r="U53" s="43"/>
      <c r="V53" s="43"/>
      <c r="W53" s="43"/>
    </row>
    <row r="54" spans="2:23" ht="12.75">
      <c r="B54" s="657" t="s">
        <v>156</v>
      </c>
      <c r="C54" s="590"/>
      <c r="D54" s="288">
        <v>645380</v>
      </c>
      <c r="E54" s="43"/>
      <c r="F54" s="43"/>
      <c r="G54" s="43"/>
      <c r="H54" s="66">
        <f>Medical!D19*VLOOKUP(D54,단가!$B:$E,4,0)</f>
        <v>5432.8258064516094</v>
      </c>
      <c r="I54" s="66">
        <f>Medical!E19*VLOOKUP($D54,단가!$B:$E,4,0)</f>
        <v>71843.199999999997</v>
      </c>
      <c r="J54" s="66">
        <f>Medical!F19*VLOOKUP($D54,단가!$B:$E,4,0)</f>
        <v>17971.2</v>
      </c>
      <c r="K54" s="66">
        <f>Medical!G19*VLOOKUP($D54,단가!$B:$E,4,0)</f>
        <v>0</v>
      </c>
      <c r="L54" s="66">
        <f>Medical!H19*VLOOKUP($D54,단가!$B:$E,4,0)</f>
        <v>0</v>
      </c>
      <c r="M54" s="66">
        <f>Medical!I19*VLOOKUP($D54,단가!$B:$E,4,0)</f>
        <v>35942.400000000001</v>
      </c>
      <c r="N54" s="66">
        <f>Medical!J19*VLOOKUP($D54,단가!$B:$E,4,0)</f>
        <v>0</v>
      </c>
      <c r="O54" s="43"/>
      <c r="P54" s="43"/>
      <c r="Q54" s="43"/>
      <c r="R54" s="43"/>
      <c r="S54" s="43"/>
      <c r="T54" s="43"/>
      <c r="U54" s="43"/>
      <c r="V54" s="43"/>
      <c r="W54" s="43"/>
    </row>
    <row r="55" spans="2:23" ht="12.75">
      <c r="B55" s="657" t="s">
        <v>157</v>
      </c>
      <c r="C55" s="590"/>
      <c r="D55" s="288">
        <v>578785</v>
      </c>
      <c r="E55" s="43"/>
      <c r="F55" s="43"/>
      <c r="G55" s="43"/>
      <c r="H55" s="66">
        <f>Medical!D20*VLOOKUP(D55,단가!$B:$E,4,0)</f>
        <v>1351.8290322580649</v>
      </c>
      <c r="I55" s="66">
        <f>Medical!E20*VLOOKUP($D55,단가!$B:$E,4,0)</f>
        <v>5622.75</v>
      </c>
      <c r="J55" s="66">
        <f>Medical!F20*VLOOKUP($D55,단가!$B:$E,4,0)</f>
        <v>0</v>
      </c>
      <c r="K55" s="66">
        <f>Medical!G20*VLOOKUP($D55,단가!$B:$E,4,0)</f>
        <v>0</v>
      </c>
      <c r="L55" s="66">
        <f>Medical!H20*VLOOKUP($D55,단가!$B:$E,4,0)</f>
        <v>0</v>
      </c>
      <c r="M55" s="66">
        <f>Medical!I20*VLOOKUP($D55,단가!$B:$E,4,0)</f>
        <v>0</v>
      </c>
      <c r="N55" s="66">
        <f>Medical!J20*VLOOKUP($D55,단가!$B:$E,4,0)</f>
        <v>0</v>
      </c>
      <c r="O55" s="43"/>
      <c r="P55" s="43"/>
      <c r="Q55" s="43"/>
      <c r="R55" s="43"/>
      <c r="S55" s="43"/>
      <c r="T55" s="43"/>
      <c r="U55" s="43"/>
      <c r="V55" s="43"/>
      <c r="W55" s="43"/>
    </row>
    <row r="56" spans="2:23" ht="12.75">
      <c r="B56" s="658" t="s">
        <v>18</v>
      </c>
      <c r="C56" s="634"/>
      <c r="D56" s="590"/>
      <c r="E56" s="294"/>
      <c r="F56" s="294"/>
      <c r="G56" s="294"/>
      <c r="H56" s="79">
        <f t="shared" ref="H56:M56" si="2">SUM(H40:H55)</f>
        <v>282329.48655913986</v>
      </c>
      <c r="I56" s="79">
        <f t="shared" si="2"/>
        <v>496325.45</v>
      </c>
      <c r="J56" s="79">
        <f t="shared" si="2"/>
        <v>180161.86666666667</v>
      </c>
      <c r="K56" s="79">
        <f t="shared" si="2"/>
        <v>93948</v>
      </c>
      <c r="L56" s="79">
        <f t="shared" si="2"/>
        <v>38201</v>
      </c>
      <c r="M56" s="79">
        <f t="shared" si="2"/>
        <v>370660.6</v>
      </c>
      <c r="N56" s="294"/>
      <c r="O56" s="294"/>
      <c r="P56" s="294"/>
      <c r="Q56" s="294"/>
      <c r="R56" s="294"/>
      <c r="S56" s="294"/>
      <c r="T56" s="294"/>
      <c r="U56" s="294"/>
      <c r="V56" s="294"/>
      <c r="W56" s="294"/>
    </row>
  </sheetData>
  <mergeCells count="28">
    <mergeCell ref="B56:D56"/>
    <mergeCell ref="B43:C43"/>
    <mergeCell ref="B44:C44"/>
    <mergeCell ref="B45:C45"/>
    <mergeCell ref="B46:C46"/>
    <mergeCell ref="B47:C47"/>
    <mergeCell ref="B48:C48"/>
    <mergeCell ref="B49:C49"/>
    <mergeCell ref="B51:C51"/>
    <mergeCell ref="B52:C52"/>
    <mergeCell ref="B53:C53"/>
    <mergeCell ref="B54:C54"/>
    <mergeCell ref="B55:C55"/>
    <mergeCell ref="B39:C39"/>
    <mergeCell ref="B40:C40"/>
    <mergeCell ref="B41:C41"/>
    <mergeCell ref="B42:C42"/>
    <mergeCell ref="B50:C50"/>
    <mergeCell ref="B15:B22"/>
    <mergeCell ref="B23:B27"/>
    <mergeCell ref="B28:B29"/>
    <mergeCell ref="B30:B33"/>
    <mergeCell ref="B34:D34"/>
    <mergeCell ref="B3:C3"/>
    <mergeCell ref="B4:B6"/>
    <mergeCell ref="B7:B9"/>
    <mergeCell ref="B11:D11"/>
    <mergeCell ref="B14:C14"/>
  </mergeCells>
  <phoneticPr fontId="6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FF85-E7D4-4ABE-BA8E-1CF6C2361553}">
  <sheetPr>
    <tabColor rgb="FFFFD966"/>
    <outlinePr summaryBelow="0" summaryRight="0"/>
  </sheetPr>
  <dimension ref="A1:W56"/>
  <sheetViews>
    <sheetView topLeftCell="A25" workbookViewId="0">
      <selection activeCell="M43" sqref="M43"/>
    </sheetView>
  </sheetViews>
  <sheetFormatPr defaultColWidth="14.42578125" defaultRowHeight="15.75" customHeight="1"/>
  <cols>
    <col min="3" max="3" width="13.42578125" customWidth="1"/>
    <col min="4" max="4" width="19.140625" customWidth="1"/>
  </cols>
  <sheetData>
    <row r="1" spans="1:23" ht="15">
      <c r="A1" s="1"/>
      <c r="B1" s="2"/>
      <c r="C1" s="2"/>
    </row>
    <row r="2" spans="1:23" ht="15.75" customHeight="1">
      <c r="A2" s="1"/>
      <c r="B2" s="3" t="s">
        <v>99</v>
      </c>
      <c r="C2" s="2"/>
    </row>
    <row r="3" spans="1:23" ht="15">
      <c r="A3" s="1"/>
      <c r="B3" s="647"/>
      <c r="C3" s="590"/>
      <c r="D3" s="5" t="s">
        <v>250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2</v>
      </c>
      <c r="S3" s="5" t="s">
        <v>3</v>
      </c>
      <c r="T3" s="5" t="s">
        <v>4</v>
      </c>
      <c r="U3" s="5" t="s">
        <v>5</v>
      </c>
      <c r="V3" s="5" t="s">
        <v>6</v>
      </c>
      <c r="W3" s="5" t="s">
        <v>7</v>
      </c>
    </row>
    <row r="4" spans="1:23" ht="15">
      <c r="A4" s="1"/>
      <c r="B4" s="648" t="s">
        <v>14</v>
      </c>
      <c r="C4" s="185">
        <v>1</v>
      </c>
      <c r="D4" s="288">
        <v>676366</v>
      </c>
      <c r="E4" s="289" t="e">
        <f>#REF!*VLOOKUP($D4,단가!$B:$E,4,0)</f>
        <v>#REF!</v>
      </c>
      <c r="F4" s="289" t="e">
        <f>#REF!*VLOOKUP($D4,단가!$B:$E,4,0)</f>
        <v>#REF!</v>
      </c>
      <c r="G4" s="289" t="e">
        <f>#REF!*VLOOKUP($D4,단가!$B:$E,4,0)</f>
        <v>#REF!</v>
      </c>
      <c r="H4" s="289" t="e">
        <f>#REF!*VLOOKUP($D4,단가!$B:$E,4,0)</f>
        <v>#REF!</v>
      </c>
      <c r="I4" s="289" t="e">
        <f>#REF!*VLOOKUP($D4,단가!$B:$E,4,0)</f>
        <v>#REF!</v>
      </c>
      <c r="J4" s="289" t="e">
        <f>#REF!*VLOOKUP($D4,단가!$B:$E,4,0)</f>
        <v>#REF!</v>
      </c>
      <c r="K4" s="289" t="e">
        <f>#REF!*VLOOKUP($D4,단가!$B:$E,4,0)</f>
        <v>#REF!</v>
      </c>
      <c r="L4" s="289" t="e">
        <f>#REF!*VLOOKUP($D4,단가!$B:$E,4,0)</f>
        <v>#REF!</v>
      </c>
      <c r="M4" s="289" t="e">
        <f>#REF!*VLOOKUP($D4,단가!$B:$E,4,0)</f>
        <v>#REF!</v>
      </c>
      <c r="N4" s="289" t="e">
        <f>#REF!*VLOOKUP($D4,단가!$B:$E,4,0)</f>
        <v>#REF!</v>
      </c>
      <c r="O4" s="289" t="e">
        <f>#REF!*VLOOKUP($D4,단가!$B:$E,4,0)</f>
        <v>#REF!</v>
      </c>
      <c r="P4" s="289" t="e">
        <f>#REF!*VLOOKUP($D4,단가!$B:$E,4,0)</f>
        <v>#REF!</v>
      </c>
      <c r="Q4" s="289" t="e">
        <f>#REF!*VLOOKUP($D4,단가!$B:$E,4,0)</f>
        <v>#REF!</v>
      </c>
      <c r="R4" s="289" t="e">
        <f>#REF!*VLOOKUP($D4,단가!$B:$E,4,0)</f>
        <v>#REF!</v>
      </c>
      <c r="S4" s="289" t="e">
        <f>#REF!*VLOOKUP($D4,단가!$B:$E,4,0)</f>
        <v>#REF!</v>
      </c>
      <c r="T4" s="289" t="e">
        <f>#REF!*VLOOKUP($D4,단가!$B:$E,4,0)</f>
        <v>#REF!</v>
      </c>
      <c r="U4" s="289" t="e">
        <f>#REF!*VLOOKUP($D4,단가!$B:$E,4,0)</f>
        <v>#REF!</v>
      </c>
      <c r="V4" s="289" t="e">
        <f>#REF!*VLOOKUP($D4,단가!$B:$E,4,0)</f>
        <v>#REF!</v>
      </c>
      <c r="W4" s="289" t="e">
        <f>#REF!*VLOOKUP($D4,단가!$B:$E,4,0)</f>
        <v>#REF!</v>
      </c>
    </row>
    <row r="5" spans="1:23" ht="15">
      <c r="A5" s="1"/>
      <c r="B5" s="609"/>
      <c r="C5" s="185">
        <v>2</v>
      </c>
      <c r="D5" s="288">
        <v>676367</v>
      </c>
      <c r="E5" s="289" t="e">
        <f>#REF!*VLOOKUP($D5,단가!$B:$E,4,0)</f>
        <v>#REF!</v>
      </c>
      <c r="F5" s="289" t="e">
        <f>#REF!*VLOOKUP($D5,단가!$B:$E,4,0)</f>
        <v>#REF!</v>
      </c>
      <c r="G5" s="289" t="e">
        <f>#REF!*VLOOKUP($D5,단가!$B:$E,4,0)</f>
        <v>#REF!</v>
      </c>
      <c r="H5" s="289" t="e">
        <f>#REF!*VLOOKUP($D5,단가!$B:$E,4,0)</f>
        <v>#REF!</v>
      </c>
      <c r="I5" s="289" t="e">
        <f>#REF!*VLOOKUP($D5,단가!$B:$E,4,0)</f>
        <v>#REF!</v>
      </c>
      <c r="J5" s="289" t="e">
        <f>#REF!*VLOOKUP($D5,단가!$B:$E,4,0)</f>
        <v>#REF!</v>
      </c>
      <c r="K5" s="289" t="e">
        <f>#REF!*VLOOKUP($D5,단가!$B:$E,4,0)</f>
        <v>#REF!</v>
      </c>
      <c r="L5" s="289" t="e">
        <f>#REF!*VLOOKUP($D5,단가!$B:$E,4,0)</f>
        <v>#REF!</v>
      </c>
      <c r="M5" s="289" t="e">
        <f>#REF!*VLOOKUP($D5,단가!$B:$E,4,0)</f>
        <v>#REF!</v>
      </c>
      <c r="N5" s="289" t="e">
        <f>#REF!*VLOOKUP($D5,단가!$B:$E,4,0)</f>
        <v>#REF!</v>
      </c>
      <c r="O5" s="289" t="e">
        <f>#REF!*VLOOKUP($D5,단가!$B:$E,4,0)</f>
        <v>#REF!</v>
      </c>
      <c r="P5" s="289" t="e">
        <f>#REF!*VLOOKUP($D5,단가!$B:$E,4,0)</f>
        <v>#REF!</v>
      </c>
      <c r="Q5" s="289" t="e">
        <f>#REF!*VLOOKUP($D5,단가!$B:$E,4,0)</f>
        <v>#REF!</v>
      </c>
      <c r="R5" s="289" t="e">
        <f>#REF!*VLOOKUP($D5,단가!$B:$E,4,0)</f>
        <v>#REF!</v>
      </c>
      <c r="S5" s="289" t="e">
        <f>#REF!*VLOOKUP($D5,단가!$B:$E,4,0)</f>
        <v>#REF!</v>
      </c>
      <c r="T5" s="289" t="e">
        <f>#REF!*VLOOKUP($D5,단가!$B:$E,4,0)</f>
        <v>#REF!</v>
      </c>
      <c r="U5" s="289" t="e">
        <f>#REF!*VLOOKUP($D5,단가!$B:$E,4,0)</f>
        <v>#REF!</v>
      </c>
      <c r="V5" s="289" t="e">
        <f>#REF!*VLOOKUP($D5,단가!$B:$E,4,0)</f>
        <v>#REF!</v>
      </c>
      <c r="W5" s="289" t="e">
        <f>#REF!*VLOOKUP($D5,단가!$B:$E,4,0)</f>
        <v>#REF!</v>
      </c>
    </row>
    <row r="6" spans="1:23" ht="15">
      <c r="A6" s="1"/>
      <c r="B6" s="603"/>
      <c r="C6" s="185">
        <v>3</v>
      </c>
      <c r="D6" s="288">
        <v>676369</v>
      </c>
      <c r="E6" s="289" t="e">
        <f>#REF!*VLOOKUP($D6,단가!$B:$E,4,0)</f>
        <v>#REF!</v>
      </c>
      <c r="F6" s="289" t="e">
        <f>#REF!*VLOOKUP($D6,단가!$B:$E,4,0)</f>
        <v>#REF!</v>
      </c>
      <c r="G6" s="289" t="e">
        <f>#REF!*VLOOKUP($D6,단가!$B:$E,4,0)</f>
        <v>#REF!</v>
      </c>
      <c r="H6" s="289" t="e">
        <f>#REF!*VLOOKUP($D6,단가!$B:$E,4,0)</f>
        <v>#REF!</v>
      </c>
      <c r="I6" s="289" t="e">
        <f>#REF!*VLOOKUP($D6,단가!$B:$E,4,0)</f>
        <v>#REF!</v>
      </c>
      <c r="J6" s="289" t="e">
        <f>#REF!*VLOOKUP($D6,단가!$B:$E,4,0)</f>
        <v>#REF!</v>
      </c>
      <c r="K6" s="289" t="e">
        <f>#REF!*VLOOKUP($D6,단가!$B:$E,4,0)</f>
        <v>#REF!</v>
      </c>
      <c r="L6" s="289" t="e">
        <f>#REF!*VLOOKUP($D6,단가!$B:$E,4,0)</f>
        <v>#REF!</v>
      </c>
      <c r="M6" s="289" t="e">
        <f>#REF!*VLOOKUP($D6,단가!$B:$E,4,0)</f>
        <v>#REF!</v>
      </c>
      <c r="N6" s="289" t="e">
        <f>#REF!*VLOOKUP($D6,단가!$B:$E,4,0)</f>
        <v>#REF!</v>
      </c>
      <c r="O6" s="289" t="e">
        <f>#REF!*VLOOKUP($D6,단가!$B:$E,4,0)</f>
        <v>#REF!</v>
      </c>
      <c r="P6" s="289" t="e">
        <f>#REF!*VLOOKUP($D6,단가!$B:$E,4,0)</f>
        <v>#REF!</v>
      </c>
      <c r="Q6" s="289" t="e">
        <f>#REF!*VLOOKUP($D6,단가!$B:$E,4,0)</f>
        <v>#REF!</v>
      </c>
      <c r="R6" s="289" t="e">
        <f>#REF!*VLOOKUP($D6,단가!$B:$E,4,0)</f>
        <v>#REF!</v>
      </c>
      <c r="S6" s="289" t="e">
        <f>#REF!*VLOOKUP($D6,단가!$B:$E,4,0)</f>
        <v>#REF!</v>
      </c>
      <c r="T6" s="289" t="e">
        <f>#REF!*VLOOKUP($D6,단가!$B:$E,4,0)</f>
        <v>#REF!</v>
      </c>
      <c r="U6" s="289" t="e">
        <f>#REF!*VLOOKUP($D6,단가!$B:$E,4,0)</f>
        <v>#REF!</v>
      </c>
      <c r="V6" s="289" t="e">
        <f>#REF!*VLOOKUP($D6,단가!$B:$E,4,0)</f>
        <v>#REF!</v>
      </c>
      <c r="W6" s="289" t="e">
        <f>#REF!*VLOOKUP($D6,단가!$B:$E,4,0)</f>
        <v>#REF!</v>
      </c>
    </row>
    <row r="7" spans="1:23" ht="15">
      <c r="A7" s="1"/>
      <c r="B7" s="649" t="s">
        <v>16</v>
      </c>
      <c r="C7" s="290">
        <v>1</v>
      </c>
      <c r="D7" s="288">
        <v>677211</v>
      </c>
      <c r="E7" s="289" t="e">
        <f>#REF!*VLOOKUP($D7,단가!$B:$E,4,0)</f>
        <v>#REF!</v>
      </c>
      <c r="F7" s="289" t="e">
        <f>#REF!*VLOOKUP($D7,단가!$B:$E,4,0)</f>
        <v>#REF!</v>
      </c>
      <c r="G7" s="289" t="e">
        <f>#REF!*VLOOKUP($D7,단가!$B:$E,4,0)</f>
        <v>#REF!</v>
      </c>
      <c r="H7" s="289" t="e">
        <f>#REF!*VLOOKUP($D7,단가!$B:$E,4,0)</f>
        <v>#REF!</v>
      </c>
      <c r="I7" s="289" t="e">
        <f>#REF!*VLOOKUP($D7,단가!$B:$E,4,0)</f>
        <v>#REF!</v>
      </c>
      <c r="J7" s="289" t="e">
        <f>#REF!*VLOOKUP($D7,단가!$B:$E,4,0)</f>
        <v>#REF!</v>
      </c>
      <c r="K7" s="289" t="e">
        <f>#REF!*VLOOKUP($D7,단가!$B:$E,4,0)</f>
        <v>#REF!</v>
      </c>
      <c r="L7" s="289" t="e">
        <f>#REF!*VLOOKUP($D7,단가!$B:$E,4,0)</f>
        <v>#REF!</v>
      </c>
      <c r="M7" s="289" t="e">
        <f>#REF!*VLOOKUP($D7,단가!$B:$E,4,0)</f>
        <v>#REF!</v>
      </c>
      <c r="N7" s="289" t="e">
        <f>#REF!*VLOOKUP($D7,단가!$B:$E,4,0)</f>
        <v>#REF!</v>
      </c>
      <c r="O7" s="289" t="e">
        <f>#REF!*VLOOKUP($D7,단가!$B:$E,4,0)</f>
        <v>#REF!</v>
      </c>
      <c r="P7" s="289" t="e">
        <f>#REF!*VLOOKUP($D7,단가!$B:$E,4,0)</f>
        <v>#REF!</v>
      </c>
      <c r="Q7" s="289" t="e">
        <f>#REF!*VLOOKUP($D7,단가!$B:$E,4,0)</f>
        <v>#REF!</v>
      </c>
      <c r="R7" s="289" t="e">
        <f>#REF!*VLOOKUP($D7,단가!$B:$E,4,0)</f>
        <v>#REF!</v>
      </c>
      <c r="S7" s="289" t="e">
        <f>#REF!*VLOOKUP($D7,단가!$B:$E,4,0)</f>
        <v>#REF!</v>
      </c>
      <c r="T7" s="289" t="e">
        <f>#REF!*VLOOKUP($D7,단가!$B:$E,4,0)</f>
        <v>#REF!</v>
      </c>
      <c r="U7" s="289" t="e">
        <f>#REF!*VLOOKUP($D7,단가!$B:$E,4,0)</f>
        <v>#REF!</v>
      </c>
      <c r="V7" s="289" t="e">
        <f>#REF!*VLOOKUP($D7,단가!$B:$E,4,0)</f>
        <v>#REF!</v>
      </c>
      <c r="W7" s="289" t="e">
        <f>#REF!*VLOOKUP($D7,단가!$B:$E,4,0)</f>
        <v>#REF!</v>
      </c>
    </row>
    <row r="8" spans="1:23" ht="15">
      <c r="A8" s="1"/>
      <c r="B8" s="609"/>
      <c r="C8" s="290">
        <v>2</v>
      </c>
      <c r="D8" s="288">
        <v>677200</v>
      </c>
      <c r="E8" s="289" t="e">
        <f>#REF!*VLOOKUP($D8,단가!$B:$E,4,0)</f>
        <v>#REF!</v>
      </c>
      <c r="F8" s="289" t="e">
        <f>#REF!*VLOOKUP($D8,단가!$B:$E,4,0)</f>
        <v>#REF!</v>
      </c>
      <c r="G8" s="289" t="e">
        <f>#REF!*VLOOKUP($D8,단가!$B:$E,4,0)</f>
        <v>#REF!</v>
      </c>
      <c r="H8" s="289" t="e">
        <f>#REF!*VLOOKUP($D8,단가!$B:$E,4,0)</f>
        <v>#REF!</v>
      </c>
      <c r="I8" s="289" t="e">
        <f>#REF!*VLOOKUP($D8,단가!$B:$E,4,0)</f>
        <v>#REF!</v>
      </c>
      <c r="J8" s="289" t="e">
        <f>#REF!*VLOOKUP($D8,단가!$B:$E,4,0)</f>
        <v>#REF!</v>
      </c>
      <c r="K8" s="289" t="e">
        <f>#REF!*VLOOKUP($D8,단가!$B:$E,4,0)</f>
        <v>#REF!</v>
      </c>
      <c r="L8" s="289" t="e">
        <f>#REF!*VLOOKUP($D8,단가!$B:$E,4,0)</f>
        <v>#REF!</v>
      </c>
      <c r="M8" s="289" t="e">
        <f>#REF!*VLOOKUP($D8,단가!$B:$E,4,0)</f>
        <v>#REF!</v>
      </c>
      <c r="N8" s="289" t="e">
        <f>#REF!*VLOOKUP($D8,단가!$B:$E,4,0)</f>
        <v>#REF!</v>
      </c>
      <c r="O8" s="289" t="e">
        <f>#REF!*VLOOKUP($D8,단가!$B:$E,4,0)</f>
        <v>#REF!</v>
      </c>
      <c r="P8" s="289" t="e">
        <f>#REF!*VLOOKUP($D8,단가!$B:$E,4,0)</f>
        <v>#REF!</v>
      </c>
      <c r="Q8" s="289" t="e">
        <f>#REF!*VLOOKUP($D8,단가!$B:$E,4,0)</f>
        <v>#REF!</v>
      </c>
      <c r="R8" s="289" t="e">
        <f>#REF!*VLOOKUP($D8,단가!$B:$E,4,0)</f>
        <v>#REF!</v>
      </c>
      <c r="S8" s="289" t="e">
        <f>#REF!*VLOOKUP($D8,단가!$B:$E,4,0)</f>
        <v>#REF!</v>
      </c>
      <c r="T8" s="289" t="e">
        <f>#REF!*VLOOKUP($D8,단가!$B:$E,4,0)</f>
        <v>#REF!</v>
      </c>
      <c r="U8" s="289" t="e">
        <f>#REF!*VLOOKUP($D8,단가!$B:$E,4,0)</f>
        <v>#REF!</v>
      </c>
      <c r="V8" s="289" t="e">
        <f>#REF!*VLOOKUP($D8,단가!$B:$E,4,0)</f>
        <v>#REF!</v>
      </c>
      <c r="W8" s="289" t="e">
        <f>#REF!*VLOOKUP($D8,단가!$B:$E,4,0)</f>
        <v>#REF!</v>
      </c>
    </row>
    <row r="9" spans="1:23" ht="15">
      <c r="A9" s="1"/>
      <c r="B9" s="603"/>
      <c r="C9" s="290">
        <v>3</v>
      </c>
      <c r="D9" s="288">
        <v>677281</v>
      </c>
      <c r="E9" s="289" t="e">
        <f>#REF!*VLOOKUP($D9,단가!$B:$E,4,0)</f>
        <v>#REF!</v>
      </c>
      <c r="F9" s="289" t="e">
        <f>#REF!*VLOOKUP($D9,단가!$B:$E,4,0)</f>
        <v>#REF!</v>
      </c>
      <c r="G9" s="289" t="e">
        <f>#REF!*VLOOKUP($D9,단가!$B:$E,4,0)</f>
        <v>#REF!</v>
      </c>
      <c r="H9" s="289" t="e">
        <f>#REF!*VLOOKUP($D9,단가!$B:$E,4,0)</f>
        <v>#REF!</v>
      </c>
      <c r="I9" s="289" t="e">
        <f>#REF!*VLOOKUP($D9,단가!$B:$E,4,0)</f>
        <v>#REF!</v>
      </c>
      <c r="J9" s="289" t="e">
        <f>#REF!*VLOOKUP($D9,단가!$B:$E,4,0)</f>
        <v>#REF!</v>
      </c>
      <c r="K9" s="289" t="e">
        <f>#REF!*VLOOKUP($D9,단가!$B:$E,4,0)</f>
        <v>#REF!</v>
      </c>
      <c r="L9" s="289" t="e">
        <f>#REF!*VLOOKUP($D9,단가!$B:$E,4,0)</f>
        <v>#REF!</v>
      </c>
      <c r="M9" s="289" t="e">
        <f>#REF!*VLOOKUP($D9,단가!$B:$E,4,0)</f>
        <v>#REF!</v>
      </c>
      <c r="N9" s="289" t="e">
        <f>#REF!*VLOOKUP($D9,단가!$B:$E,4,0)</f>
        <v>#REF!</v>
      </c>
      <c r="O9" s="289" t="e">
        <f>#REF!*VLOOKUP($D9,단가!$B:$E,4,0)</f>
        <v>#REF!</v>
      </c>
      <c r="P9" s="289" t="e">
        <f>#REF!*VLOOKUP($D9,단가!$B:$E,4,0)</f>
        <v>#REF!</v>
      </c>
      <c r="Q9" s="289" t="e">
        <f>#REF!*VLOOKUP($D9,단가!$B:$E,4,0)</f>
        <v>#REF!</v>
      </c>
      <c r="R9" s="289" t="e">
        <f>#REF!*VLOOKUP($D9,단가!$B:$E,4,0)</f>
        <v>#REF!</v>
      </c>
      <c r="S9" s="289" t="e">
        <f>#REF!*VLOOKUP($D9,단가!$B:$E,4,0)</f>
        <v>#REF!</v>
      </c>
      <c r="T9" s="289" t="e">
        <f>#REF!*VLOOKUP($D9,단가!$B:$E,4,0)</f>
        <v>#REF!</v>
      </c>
      <c r="U9" s="289" t="e">
        <f>#REF!*VLOOKUP($D9,단가!$B:$E,4,0)</f>
        <v>#REF!</v>
      </c>
      <c r="V9" s="289" t="e">
        <f>#REF!*VLOOKUP($D9,단가!$B:$E,4,0)</f>
        <v>#REF!</v>
      </c>
      <c r="W9" s="289" t="e">
        <f>#REF!*VLOOKUP($D9,단가!$B:$E,4,0)</f>
        <v>#REF!</v>
      </c>
    </row>
    <row r="10" spans="1:23" ht="15">
      <c r="A10" s="1"/>
      <c r="B10" s="291" t="s">
        <v>92</v>
      </c>
      <c r="C10" s="292" t="s">
        <v>17</v>
      </c>
      <c r="D10" s="288">
        <v>560277</v>
      </c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</row>
    <row r="11" spans="1:23" ht="15">
      <c r="A11" s="1"/>
      <c r="B11" s="650" t="s">
        <v>18</v>
      </c>
      <c r="C11" s="634"/>
      <c r="D11" s="590"/>
      <c r="E11" s="293" t="e">
        <f t="shared" ref="E11:W11" si="0">SUM(E4:E10)</f>
        <v>#REF!</v>
      </c>
      <c r="F11" s="293" t="e">
        <f t="shared" si="0"/>
        <v>#REF!</v>
      </c>
      <c r="G11" s="293" t="e">
        <f t="shared" si="0"/>
        <v>#REF!</v>
      </c>
      <c r="H11" s="293" t="e">
        <f t="shared" si="0"/>
        <v>#REF!</v>
      </c>
      <c r="I11" s="293" t="e">
        <f t="shared" si="0"/>
        <v>#REF!</v>
      </c>
      <c r="J11" s="293" t="e">
        <f t="shared" si="0"/>
        <v>#REF!</v>
      </c>
      <c r="K11" s="293" t="e">
        <f t="shared" si="0"/>
        <v>#REF!</v>
      </c>
      <c r="L11" s="293" t="e">
        <f t="shared" si="0"/>
        <v>#REF!</v>
      </c>
      <c r="M11" s="293" t="e">
        <f t="shared" si="0"/>
        <v>#REF!</v>
      </c>
      <c r="N11" s="293" t="e">
        <f t="shared" si="0"/>
        <v>#REF!</v>
      </c>
      <c r="O11" s="293" t="e">
        <f t="shared" si="0"/>
        <v>#REF!</v>
      </c>
      <c r="P11" s="293" t="e">
        <f t="shared" si="0"/>
        <v>#REF!</v>
      </c>
      <c r="Q11" s="293" t="e">
        <f t="shared" si="0"/>
        <v>#REF!</v>
      </c>
      <c r="R11" s="293" t="e">
        <f t="shared" si="0"/>
        <v>#REF!</v>
      </c>
      <c r="S11" s="293" t="e">
        <f t="shared" si="0"/>
        <v>#REF!</v>
      </c>
      <c r="T11" s="293" t="e">
        <f t="shared" si="0"/>
        <v>#REF!</v>
      </c>
      <c r="U11" s="293" t="e">
        <f t="shared" si="0"/>
        <v>#REF!</v>
      </c>
      <c r="V11" s="293" t="e">
        <f t="shared" si="0"/>
        <v>#REF!</v>
      </c>
      <c r="W11" s="293" t="e">
        <f t="shared" si="0"/>
        <v>#REF!</v>
      </c>
    </row>
    <row r="12" spans="1:23" ht="15">
      <c r="A12" s="1"/>
      <c r="B12" s="2"/>
      <c r="C12" s="2"/>
    </row>
    <row r="13" spans="1:23">
      <c r="A13" s="1"/>
      <c r="B13" s="60" t="s">
        <v>81</v>
      </c>
      <c r="C13" s="60"/>
    </row>
    <row r="14" spans="1:23" ht="15.75" customHeight="1">
      <c r="B14" s="651"/>
      <c r="C14" s="590"/>
      <c r="D14" s="5" t="s">
        <v>250</v>
      </c>
      <c r="E14" s="205" t="s">
        <v>1</v>
      </c>
      <c r="F14" s="205" t="s">
        <v>2</v>
      </c>
      <c r="G14" s="205" t="s">
        <v>3</v>
      </c>
      <c r="H14" s="205" t="s">
        <v>4</v>
      </c>
      <c r="I14" s="205" t="s">
        <v>4</v>
      </c>
      <c r="J14" s="205" t="s">
        <v>5</v>
      </c>
      <c r="K14" s="205" t="s">
        <v>6</v>
      </c>
      <c r="L14" s="205" t="s">
        <v>7</v>
      </c>
      <c r="M14" s="205" t="s">
        <v>8</v>
      </c>
      <c r="N14" s="205" t="s">
        <v>9</v>
      </c>
      <c r="O14" s="110" t="s">
        <v>11</v>
      </c>
      <c r="P14" s="110" t="s">
        <v>12</v>
      </c>
      <c r="Q14" s="110" t="s">
        <v>1</v>
      </c>
      <c r="R14" s="110" t="s">
        <v>2</v>
      </c>
      <c r="S14" s="110" t="s">
        <v>3</v>
      </c>
      <c r="T14" s="110" t="s">
        <v>4</v>
      </c>
      <c r="U14" s="205" t="s">
        <v>5</v>
      </c>
      <c r="V14" s="205" t="s">
        <v>6</v>
      </c>
      <c r="W14" s="205" t="s">
        <v>7</v>
      </c>
    </row>
    <row r="15" spans="1:23" ht="15.75" customHeight="1">
      <c r="B15" s="652" t="s">
        <v>14</v>
      </c>
      <c r="C15" s="63" t="s">
        <v>82</v>
      </c>
      <c r="D15" s="288">
        <v>673676</v>
      </c>
      <c r="E15" s="66" t="e">
        <f>#REF!*VLOOKUP($D15,단가!$B:$E,4,0)</f>
        <v>#REF!</v>
      </c>
      <c r="F15" s="66" t="e">
        <f>#REF!*VLOOKUP($D15,단가!$B:$E,4,0)</f>
        <v>#REF!</v>
      </c>
      <c r="G15" s="66" t="e">
        <f>#REF!*VLOOKUP($D15,단가!$B:$E,4,0)</f>
        <v>#REF!</v>
      </c>
      <c r="H15" s="66" t="e">
        <f>#REF!*VLOOKUP($D15,단가!$B:$E,4,0)</f>
        <v>#REF!</v>
      </c>
      <c r="I15" s="66" t="e">
        <f>#REF!*VLOOKUP($D15,단가!$B:$E,4,0)</f>
        <v>#REF!</v>
      </c>
      <c r="J15" s="66" t="e">
        <f>#REF!*VLOOKUP($D15,단가!$B:$E,4,0)</f>
        <v>#REF!</v>
      </c>
      <c r="K15" s="66" t="e">
        <f>#REF!*VLOOKUP($D15,단가!$B:$E,4,0)</f>
        <v>#REF!</v>
      </c>
      <c r="L15" s="66" t="e">
        <f>#REF!*VLOOKUP($D15,단가!$B:$E,4,0)</f>
        <v>#REF!</v>
      </c>
      <c r="M15" s="66" t="e">
        <f>#REF!*VLOOKUP($D15,단가!$B:$E,4,0)</f>
        <v>#REF!</v>
      </c>
      <c r="N15" s="66" t="e">
        <f>#REF!*VLOOKUP($D15,단가!$B:$E,4,0)</f>
        <v>#REF!</v>
      </c>
      <c r="O15" s="66" t="e">
        <f>#REF!*VLOOKUP($D15,단가!$B:$E,4,0)</f>
        <v>#REF!</v>
      </c>
      <c r="P15" s="66" t="e">
        <f>#REF!*VLOOKUP($D15,단가!$B:$E,4,0)</f>
        <v>#REF!</v>
      </c>
      <c r="Q15" s="66" t="e">
        <f>#REF!*VLOOKUP($D15,단가!$B:$E,4,0)</f>
        <v>#REF!</v>
      </c>
      <c r="R15" s="66" t="e">
        <f>#REF!*VLOOKUP($D15,단가!$B:$E,4,0)</f>
        <v>#REF!</v>
      </c>
      <c r="S15" s="66" t="e">
        <f>#REF!*VLOOKUP($D15,단가!$B:$E,4,0)</f>
        <v>#REF!</v>
      </c>
      <c r="T15" s="66" t="e">
        <f>#REF!*VLOOKUP($D15,단가!$B:$E,4,0)</f>
        <v>#REF!</v>
      </c>
      <c r="U15" s="66" t="e">
        <f>#REF!*VLOOKUP($D15,단가!$B:$E,4,0)</f>
        <v>#REF!</v>
      </c>
      <c r="V15" s="66" t="e">
        <f>#REF!*VLOOKUP($D15,단가!$B:$E,4,0)</f>
        <v>#REF!</v>
      </c>
      <c r="W15" s="66" t="e">
        <f>#REF!*VLOOKUP($D15,단가!$B:$E,4,0)</f>
        <v>#REF!</v>
      </c>
    </row>
    <row r="16" spans="1:23" ht="15.75" customHeight="1">
      <c r="B16" s="609"/>
      <c r="C16" s="63">
        <v>1</v>
      </c>
      <c r="D16" s="288">
        <v>673674</v>
      </c>
      <c r="E16" s="66" t="e">
        <f>#REF!*VLOOKUP($D16,단가!$B:$E,4,0)</f>
        <v>#REF!</v>
      </c>
      <c r="F16" s="66" t="e">
        <f>#REF!*VLOOKUP($D16,단가!$B:$E,4,0)</f>
        <v>#REF!</v>
      </c>
      <c r="G16" s="66" t="e">
        <f>#REF!*VLOOKUP($D16,단가!$B:$E,4,0)</f>
        <v>#REF!</v>
      </c>
      <c r="H16" s="66" t="e">
        <f>#REF!*VLOOKUP($D16,단가!$B:$E,4,0)</f>
        <v>#REF!</v>
      </c>
      <c r="I16" s="66" t="e">
        <f>#REF!*VLOOKUP($D16,단가!$B:$E,4,0)</f>
        <v>#REF!</v>
      </c>
      <c r="J16" s="66" t="e">
        <f>#REF!*VLOOKUP($D16,단가!$B:$E,4,0)</f>
        <v>#REF!</v>
      </c>
      <c r="K16" s="66" t="e">
        <f>#REF!*VLOOKUP($D16,단가!$B:$E,4,0)</f>
        <v>#REF!</v>
      </c>
      <c r="L16" s="66" t="e">
        <f>#REF!*VLOOKUP($D16,단가!$B:$E,4,0)</f>
        <v>#REF!</v>
      </c>
      <c r="M16" s="66" t="e">
        <f>#REF!*VLOOKUP($D16,단가!$B:$E,4,0)</f>
        <v>#REF!</v>
      </c>
      <c r="N16" s="66" t="e">
        <f>#REF!*VLOOKUP($D16,단가!$B:$E,4,0)</f>
        <v>#REF!</v>
      </c>
      <c r="O16" s="66" t="e">
        <f>#REF!*VLOOKUP($D16,단가!$B:$E,4,0)</f>
        <v>#REF!</v>
      </c>
      <c r="P16" s="66" t="e">
        <f>#REF!*VLOOKUP($D16,단가!$B:$E,4,0)</f>
        <v>#REF!</v>
      </c>
      <c r="Q16" s="66" t="e">
        <f>#REF!*VLOOKUP($D16,단가!$B:$E,4,0)</f>
        <v>#REF!</v>
      </c>
      <c r="R16" s="66" t="e">
        <f>#REF!*VLOOKUP($D16,단가!$B:$E,4,0)</f>
        <v>#REF!</v>
      </c>
      <c r="S16" s="66" t="e">
        <f>#REF!*VLOOKUP($D16,단가!$B:$E,4,0)</f>
        <v>#REF!</v>
      </c>
      <c r="T16" s="66" t="e">
        <f>#REF!*VLOOKUP($D16,단가!$B:$E,4,0)</f>
        <v>#REF!</v>
      </c>
      <c r="U16" s="66" t="e">
        <f>#REF!*VLOOKUP($D16,단가!$B:$E,4,0)</f>
        <v>#REF!</v>
      </c>
      <c r="V16" s="66" t="e">
        <f>#REF!*VLOOKUP($D16,단가!$B:$E,4,0)</f>
        <v>#REF!</v>
      </c>
      <c r="W16" s="66" t="e">
        <f>#REF!*VLOOKUP($D16,단가!$B:$E,4,0)</f>
        <v>#REF!</v>
      </c>
    </row>
    <row r="17" spans="2:23" ht="15.75" customHeight="1">
      <c r="B17" s="609"/>
      <c r="C17" s="63" t="s">
        <v>83</v>
      </c>
      <c r="D17" s="288">
        <v>703819</v>
      </c>
      <c r="E17" s="66" t="e">
        <f>#REF!*VLOOKUP($D17,단가!$B:$E,4,0)</f>
        <v>#REF!</v>
      </c>
      <c r="F17" s="66" t="e">
        <f>#REF!*VLOOKUP($D17,단가!$B:$E,4,0)</f>
        <v>#REF!</v>
      </c>
      <c r="G17" s="66" t="e">
        <f>#REF!*VLOOKUP($D17,단가!$B:$E,4,0)</f>
        <v>#REF!</v>
      </c>
      <c r="H17" s="66" t="e">
        <f>#REF!*VLOOKUP($D17,단가!$B:$E,4,0)</f>
        <v>#REF!</v>
      </c>
      <c r="I17" s="66" t="e">
        <f>#REF!*VLOOKUP($D17,단가!$B:$E,4,0)</f>
        <v>#REF!</v>
      </c>
      <c r="J17" s="66" t="e">
        <f>#REF!*VLOOKUP($D17,단가!$B:$E,4,0)</f>
        <v>#REF!</v>
      </c>
      <c r="K17" s="66" t="e">
        <f>#REF!*VLOOKUP($D17,단가!$B:$E,4,0)</f>
        <v>#REF!</v>
      </c>
      <c r="L17" s="66" t="e">
        <f>#REF!*VLOOKUP($D17,단가!$B:$E,4,0)</f>
        <v>#REF!</v>
      </c>
      <c r="M17" s="66" t="e">
        <f>#REF!*VLOOKUP($D17,단가!$B:$E,4,0)</f>
        <v>#REF!</v>
      </c>
      <c r="N17" s="66" t="e">
        <f>#REF!*VLOOKUP($D17,단가!$B:$E,4,0)</f>
        <v>#REF!</v>
      </c>
      <c r="O17" s="66" t="e">
        <f>#REF!*VLOOKUP($D17,단가!$B:$E,4,0)</f>
        <v>#REF!</v>
      </c>
      <c r="P17" s="66" t="e">
        <f>#REF!*VLOOKUP($D17,단가!$B:$E,4,0)</f>
        <v>#REF!</v>
      </c>
      <c r="Q17" s="66" t="e">
        <f>#REF!*VLOOKUP($D17,단가!$B:$E,4,0)</f>
        <v>#REF!</v>
      </c>
      <c r="R17" s="66" t="e">
        <f>#REF!*VLOOKUP($D17,단가!$B:$E,4,0)</f>
        <v>#REF!</v>
      </c>
      <c r="S17" s="66" t="e">
        <f>#REF!*VLOOKUP($D17,단가!$B:$E,4,0)</f>
        <v>#REF!</v>
      </c>
      <c r="T17" s="66" t="e">
        <f>#REF!*VLOOKUP($D17,단가!$B:$E,4,0)</f>
        <v>#REF!</v>
      </c>
      <c r="U17" s="66" t="e">
        <f>#REF!*VLOOKUP($D17,단가!$B:$E,4,0)</f>
        <v>#REF!</v>
      </c>
      <c r="V17" s="66" t="e">
        <f>#REF!*VLOOKUP($D17,단가!$B:$E,4,0)</f>
        <v>#REF!</v>
      </c>
      <c r="W17" s="66" t="e">
        <f>#REF!*VLOOKUP($D17,단가!$B:$E,4,0)</f>
        <v>#REF!</v>
      </c>
    </row>
    <row r="18" spans="2:23" ht="15.75" customHeight="1">
      <c r="B18" s="609"/>
      <c r="C18" s="63" t="s">
        <v>84</v>
      </c>
      <c r="D18" s="288">
        <v>704052</v>
      </c>
      <c r="E18" s="66" t="e">
        <f>#REF!*VLOOKUP($D18,단가!$B:$E,4,0)</f>
        <v>#REF!</v>
      </c>
      <c r="F18" s="66" t="e">
        <f>#REF!*VLOOKUP($D18,단가!$B:$E,4,0)</f>
        <v>#REF!</v>
      </c>
      <c r="G18" s="66" t="e">
        <f>#REF!*VLOOKUP($D18,단가!$B:$E,4,0)</f>
        <v>#REF!</v>
      </c>
      <c r="H18" s="66" t="e">
        <f>#REF!*VLOOKUP($D18,단가!$B:$E,4,0)</f>
        <v>#REF!</v>
      </c>
      <c r="I18" s="66" t="e">
        <f>#REF!*VLOOKUP($D18,단가!$B:$E,4,0)</f>
        <v>#REF!</v>
      </c>
      <c r="J18" s="66" t="e">
        <f>#REF!*VLOOKUP($D18,단가!$B:$E,4,0)</f>
        <v>#REF!</v>
      </c>
      <c r="K18" s="66" t="e">
        <f>#REF!*VLOOKUP($D18,단가!$B:$E,4,0)</f>
        <v>#REF!</v>
      </c>
      <c r="L18" s="66" t="e">
        <f>#REF!*VLOOKUP($D18,단가!$B:$E,4,0)</f>
        <v>#REF!</v>
      </c>
      <c r="M18" s="66" t="e">
        <f>#REF!*VLOOKUP($D18,단가!$B:$E,4,0)</f>
        <v>#REF!</v>
      </c>
      <c r="N18" s="66" t="e">
        <f>#REF!*VLOOKUP($D18,단가!$B:$E,4,0)</f>
        <v>#REF!</v>
      </c>
      <c r="O18" s="66" t="e">
        <f>#REF!*VLOOKUP($D18,단가!$B:$E,4,0)</f>
        <v>#REF!</v>
      </c>
      <c r="P18" s="66" t="e">
        <f>#REF!*VLOOKUP($D18,단가!$B:$E,4,0)</f>
        <v>#REF!</v>
      </c>
      <c r="Q18" s="66" t="e">
        <f>#REF!*VLOOKUP($D18,단가!$B:$E,4,0)</f>
        <v>#REF!</v>
      </c>
      <c r="R18" s="66" t="e">
        <f>#REF!*VLOOKUP($D18,단가!$B:$E,4,0)</f>
        <v>#REF!</v>
      </c>
      <c r="S18" s="66" t="e">
        <f>#REF!*VLOOKUP($D18,단가!$B:$E,4,0)</f>
        <v>#REF!</v>
      </c>
      <c r="T18" s="66" t="e">
        <f>#REF!*VLOOKUP($D18,단가!$B:$E,4,0)</f>
        <v>#REF!</v>
      </c>
      <c r="U18" s="66" t="e">
        <f>#REF!*VLOOKUP($D18,단가!$B:$E,4,0)</f>
        <v>#REF!</v>
      </c>
      <c r="V18" s="66" t="e">
        <f>#REF!*VLOOKUP($D18,단가!$B:$E,4,0)</f>
        <v>#REF!</v>
      </c>
      <c r="W18" s="66" t="e">
        <f>#REF!*VLOOKUP($D18,단가!$B:$E,4,0)</f>
        <v>#REF!</v>
      </c>
    </row>
    <row r="19" spans="2:23" ht="15.75" customHeight="1">
      <c r="B19" s="609"/>
      <c r="C19" s="63">
        <v>2</v>
      </c>
      <c r="D19" s="288">
        <v>673672</v>
      </c>
      <c r="E19" s="66" t="e">
        <f>#REF!*VLOOKUP($D19,단가!$B:$E,4,0)</f>
        <v>#REF!</v>
      </c>
      <c r="F19" s="66" t="e">
        <f>#REF!*VLOOKUP($D19,단가!$B:$E,4,0)</f>
        <v>#REF!</v>
      </c>
      <c r="G19" s="66" t="e">
        <f>#REF!*VLOOKUP($D19,단가!$B:$E,4,0)</f>
        <v>#REF!</v>
      </c>
      <c r="H19" s="66" t="e">
        <f>#REF!*VLOOKUP($D19,단가!$B:$E,4,0)</f>
        <v>#REF!</v>
      </c>
      <c r="I19" s="66" t="e">
        <f>#REF!*VLOOKUP($D19,단가!$B:$E,4,0)</f>
        <v>#REF!</v>
      </c>
      <c r="J19" s="66" t="e">
        <f>#REF!*VLOOKUP($D19,단가!$B:$E,4,0)</f>
        <v>#REF!</v>
      </c>
      <c r="K19" s="66" t="e">
        <f>#REF!*VLOOKUP($D19,단가!$B:$E,4,0)</f>
        <v>#REF!</v>
      </c>
      <c r="L19" s="66" t="e">
        <f>#REF!*VLOOKUP($D19,단가!$B:$E,4,0)</f>
        <v>#REF!</v>
      </c>
      <c r="M19" s="66" t="e">
        <f>#REF!*VLOOKUP($D19,단가!$B:$E,4,0)</f>
        <v>#REF!</v>
      </c>
      <c r="N19" s="66" t="e">
        <f>#REF!*VLOOKUP($D19,단가!$B:$E,4,0)</f>
        <v>#REF!</v>
      </c>
      <c r="O19" s="66" t="e">
        <f>#REF!*VLOOKUP($D19,단가!$B:$E,4,0)</f>
        <v>#REF!</v>
      </c>
      <c r="P19" s="66" t="e">
        <f>#REF!*VLOOKUP($D19,단가!$B:$E,4,0)</f>
        <v>#REF!</v>
      </c>
      <c r="Q19" s="66" t="e">
        <f>#REF!*VLOOKUP($D19,단가!$B:$E,4,0)</f>
        <v>#REF!</v>
      </c>
      <c r="R19" s="66" t="e">
        <f>#REF!*VLOOKUP($D19,단가!$B:$E,4,0)</f>
        <v>#REF!</v>
      </c>
      <c r="S19" s="66" t="e">
        <f>#REF!*VLOOKUP($D19,단가!$B:$E,4,0)</f>
        <v>#REF!</v>
      </c>
      <c r="T19" s="66" t="e">
        <f>#REF!*VLOOKUP($D19,단가!$B:$E,4,0)</f>
        <v>#REF!</v>
      </c>
      <c r="U19" s="66" t="e">
        <f>#REF!*VLOOKUP($D19,단가!$B:$E,4,0)</f>
        <v>#REF!</v>
      </c>
      <c r="V19" s="66" t="e">
        <f>#REF!*VLOOKUP($D19,단가!$B:$E,4,0)</f>
        <v>#REF!</v>
      </c>
      <c r="W19" s="66" t="e">
        <f>#REF!*VLOOKUP($D19,단가!$B:$E,4,0)</f>
        <v>#REF!</v>
      </c>
    </row>
    <row r="20" spans="2:23" ht="15.75" customHeight="1">
      <c r="B20" s="609"/>
      <c r="C20" s="63" t="s">
        <v>85</v>
      </c>
      <c r="D20" s="288">
        <v>703818</v>
      </c>
      <c r="E20" s="66" t="e">
        <f>#REF!*VLOOKUP($D20,단가!$B:$E,4,0)</f>
        <v>#REF!</v>
      </c>
      <c r="F20" s="66" t="e">
        <f>#REF!*VLOOKUP($D20,단가!$B:$E,4,0)</f>
        <v>#REF!</v>
      </c>
      <c r="G20" s="66" t="e">
        <f>#REF!*VLOOKUP($D20,단가!$B:$E,4,0)</f>
        <v>#REF!</v>
      </c>
      <c r="H20" s="66" t="e">
        <f>#REF!*VLOOKUP($D20,단가!$B:$E,4,0)</f>
        <v>#REF!</v>
      </c>
      <c r="I20" s="66" t="e">
        <f>#REF!*VLOOKUP($D20,단가!$B:$E,4,0)</f>
        <v>#REF!</v>
      </c>
      <c r="J20" s="66" t="e">
        <f>#REF!*VLOOKUP($D20,단가!$B:$E,4,0)</f>
        <v>#REF!</v>
      </c>
      <c r="K20" s="66" t="e">
        <f>#REF!*VLOOKUP($D20,단가!$B:$E,4,0)</f>
        <v>#REF!</v>
      </c>
      <c r="L20" s="66" t="e">
        <f>#REF!*VLOOKUP($D20,단가!$B:$E,4,0)</f>
        <v>#REF!</v>
      </c>
      <c r="M20" s="66" t="e">
        <f>#REF!*VLOOKUP($D20,단가!$B:$E,4,0)</f>
        <v>#REF!</v>
      </c>
      <c r="N20" s="66" t="e">
        <f>#REF!*VLOOKUP($D20,단가!$B:$E,4,0)</f>
        <v>#REF!</v>
      </c>
      <c r="O20" s="66" t="e">
        <f>#REF!*VLOOKUP($D20,단가!$B:$E,4,0)</f>
        <v>#REF!</v>
      </c>
      <c r="P20" s="66" t="e">
        <f>#REF!*VLOOKUP($D20,단가!$B:$E,4,0)</f>
        <v>#REF!</v>
      </c>
      <c r="Q20" s="66" t="e">
        <f>#REF!*VLOOKUP($D20,단가!$B:$E,4,0)</f>
        <v>#REF!</v>
      </c>
      <c r="R20" s="66" t="e">
        <f>#REF!*VLOOKUP($D20,단가!$B:$E,4,0)</f>
        <v>#REF!</v>
      </c>
      <c r="S20" s="66" t="e">
        <f>#REF!*VLOOKUP($D20,단가!$B:$E,4,0)</f>
        <v>#REF!</v>
      </c>
      <c r="T20" s="66" t="e">
        <f>#REF!*VLOOKUP($D20,단가!$B:$E,4,0)</f>
        <v>#REF!</v>
      </c>
      <c r="U20" s="66" t="e">
        <f>#REF!*VLOOKUP($D20,단가!$B:$E,4,0)</f>
        <v>#REF!</v>
      </c>
      <c r="V20" s="66" t="e">
        <f>#REF!*VLOOKUP($D20,단가!$B:$E,4,0)</f>
        <v>#REF!</v>
      </c>
      <c r="W20" s="66" t="e">
        <f>#REF!*VLOOKUP($D20,단가!$B:$E,4,0)</f>
        <v>#REF!</v>
      </c>
    </row>
    <row r="21" spans="2:23" ht="15.75" customHeight="1">
      <c r="B21" s="609"/>
      <c r="C21" s="63" t="s">
        <v>86</v>
      </c>
      <c r="D21" s="288">
        <v>704054</v>
      </c>
      <c r="E21" s="66" t="e">
        <f>#REF!*VLOOKUP($D21,단가!$B:$E,4,0)</f>
        <v>#REF!</v>
      </c>
      <c r="F21" s="66" t="e">
        <f>#REF!*VLOOKUP($D21,단가!$B:$E,4,0)</f>
        <v>#REF!</v>
      </c>
      <c r="G21" s="66" t="e">
        <f>#REF!*VLOOKUP($D21,단가!$B:$E,4,0)</f>
        <v>#REF!</v>
      </c>
      <c r="H21" s="66" t="e">
        <f>#REF!*VLOOKUP($D21,단가!$B:$E,4,0)</f>
        <v>#REF!</v>
      </c>
      <c r="I21" s="66" t="e">
        <f>#REF!*VLOOKUP($D21,단가!$B:$E,4,0)</f>
        <v>#REF!</v>
      </c>
      <c r="J21" s="66" t="e">
        <f>#REF!*VLOOKUP($D21,단가!$B:$E,4,0)</f>
        <v>#REF!</v>
      </c>
      <c r="K21" s="66" t="e">
        <f>#REF!*VLOOKUP($D21,단가!$B:$E,4,0)</f>
        <v>#REF!</v>
      </c>
      <c r="L21" s="66" t="e">
        <f>#REF!*VLOOKUP($D21,단가!$B:$E,4,0)</f>
        <v>#REF!</v>
      </c>
      <c r="M21" s="66" t="e">
        <f>#REF!*VLOOKUP($D21,단가!$B:$E,4,0)</f>
        <v>#REF!</v>
      </c>
      <c r="N21" s="66" t="e">
        <f>#REF!*VLOOKUP($D21,단가!$B:$E,4,0)</f>
        <v>#REF!</v>
      </c>
      <c r="O21" s="66" t="e">
        <f>#REF!*VLOOKUP($D21,단가!$B:$E,4,0)</f>
        <v>#REF!</v>
      </c>
      <c r="P21" s="66" t="e">
        <f>#REF!*VLOOKUP($D21,단가!$B:$E,4,0)</f>
        <v>#REF!</v>
      </c>
      <c r="Q21" s="66" t="e">
        <f>#REF!*VLOOKUP($D21,단가!$B:$E,4,0)</f>
        <v>#REF!</v>
      </c>
      <c r="R21" s="66" t="e">
        <f>#REF!*VLOOKUP($D21,단가!$B:$E,4,0)</f>
        <v>#REF!</v>
      </c>
      <c r="S21" s="66" t="e">
        <f>#REF!*VLOOKUP($D21,단가!$B:$E,4,0)</f>
        <v>#REF!</v>
      </c>
      <c r="T21" s="66" t="e">
        <f>#REF!*VLOOKUP($D21,단가!$B:$E,4,0)</f>
        <v>#REF!</v>
      </c>
      <c r="U21" s="66" t="e">
        <f>#REF!*VLOOKUP($D21,단가!$B:$E,4,0)</f>
        <v>#REF!</v>
      </c>
      <c r="V21" s="66" t="e">
        <f>#REF!*VLOOKUP($D21,단가!$B:$E,4,0)</f>
        <v>#REF!</v>
      </c>
      <c r="W21" s="66" t="e">
        <f>#REF!*VLOOKUP($D21,단가!$B:$E,4,0)</f>
        <v>#REF!</v>
      </c>
    </row>
    <row r="22" spans="2:23" ht="15.75" customHeight="1">
      <c r="B22" s="603"/>
      <c r="C22" s="63">
        <v>3</v>
      </c>
      <c r="D22" s="288">
        <v>673641</v>
      </c>
      <c r="E22" s="66" t="e">
        <f>#REF!*VLOOKUP($D22,단가!$B:$E,4,0)</f>
        <v>#REF!</v>
      </c>
      <c r="F22" s="66" t="e">
        <f>#REF!*VLOOKUP($D22,단가!$B:$E,4,0)</f>
        <v>#REF!</v>
      </c>
      <c r="G22" s="66" t="e">
        <f>#REF!*VLOOKUP($D22,단가!$B:$E,4,0)</f>
        <v>#REF!</v>
      </c>
      <c r="H22" s="66" t="e">
        <f>#REF!*VLOOKUP($D22,단가!$B:$E,4,0)</f>
        <v>#REF!</v>
      </c>
      <c r="I22" s="66" t="e">
        <f>#REF!*VLOOKUP($D22,단가!$B:$E,4,0)</f>
        <v>#REF!</v>
      </c>
      <c r="J22" s="66" t="e">
        <f>#REF!*VLOOKUP($D22,단가!$B:$E,4,0)</f>
        <v>#REF!</v>
      </c>
      <c r="K22" s="66" t="e">
        <f>#REF!*VLOOKUP($D22,단가!$B:$E,4,0)</f>
        <v>#REF!</v>
      </c>
      <c r="L22" s="66" t="e">
        <f>#REF!*VLOOKUP($D22,단가!$B:$E,4,0)</f>
        <v>#REF!</v>
      </c>
      <c r="M22" s="66" t="e">
        <f>#REF!*VLOOKUP($D22,단가!$B:$E,4,0)</f>
        <v>#REF!</v>
      </c>
      <c r="N22" s="66" t="e">
        <f>#REF!*VLOOKUP($D22,단가!$B:$E,4,0)</f>
        <v>#REF!</v>
      </c>
      <c r="O22" s="66" t="e">
        <f>#REF!*VLOOKUP($D22,단가!$B:$E,4,0)</f>
        <v>#REF!</v>
      </c>
      <c r="P22" s="66" t="e">
        <f>#REF!*VLOOKUP($D22,단가!$B:$E,4,0)</f>
        <v>#REF!</v>
      </c>
      <c r="Q22" s="66" t="e">
        <f>#REF!*VLOOKUP($D22,단가!$B:$E,4,0)</f>
        <v>#REF!</v>
      </c>
      <c r="R22" s="66" t="e">
        <f>#REF!*VLOOKUP($D22,단가!$B:$E,4,0)</f>
        <v>#REF!</v>
      </c>
      <c r="S22" s="66" t="e">
        <f>#REF!*VLOOKUP($D22,단가!$B:$E,4,0)</f>
        <v>#REF!</v>
      </c>
      <c r="T22" s="66" t="e">
        <f>#REF!*VLOOKUP($D22,단가!$B:$E,4,0)</f>
        <v>#REF!</v>
      </c>
      <c r="U22" s="66" t="e">
        <f>#REF!*VLOOKUP($D22,단가!$B:$E,4,0)</f>
        <v>#REF!</v>
      </c>
      <c r="V22" s="66" t="e">
        <f>#REF!*VLOOKUP($D22,단가!$B:$E,4,0)</f>
        <v>#REF!</v>
      </c>
      <c r="W22" s="66" t="e">
        <f>#REF!*VLOOKUP($D22,단가!$B:$E,4,0)</f>
        <v>#REF!</v>
      </c>
    </row>
    <row r="23" spans="2:23" ht="15.75" customHeight="1">
      <c r="B23" s="653" t="s">
        <v>16</v>
      </c>
      <c r="C23" s="68" t="s">
        <v>82</v>
      </c>
      <c r="D23" s="288">
        <v>677044</v>
      </c>
      <c r="E23" s="66" t="e">
        <f>#REF!*VLOOKUP($D23,단가!$B:$E,4,0)</f>
        <v>#REF!</v>
      </c>
      <c r="F23" s="66" t="e">
        <f>#REF!*VLOOKUP($D23,단가!$B:$E,4,0)</f>
        <v>#REF!</v>
      </c>
      <c r="G23" s="66" t="e">
        <f>#REF!*VLOOKUP($D23,단가!$B:$E,4,0)</f>
        <v>#REF!</v>
      </c>
      <c r="H23" s="66" t="e">
        <f>#REF!*VLOOKUP($D23,단가!$B:$E,4,0)</f>
        <v>#REF!</v>
      </c>
      <c r="I23" s="66" t="e">
        <f>#REF!*VLOOKUP($D23,단가!$B:$E,4,0)</f>
        <v>#REF!</v>
      </c>
      <c r="J23" s="66" t="e">
        <f>#REF!*VLOOKUP($D23,단가!$B:$E,4,0)</f>
        <v>#REF!</v>
      </c>
      <c r="K23" s="66" t="e">
        <f>#REF!*VLOOKUP($D23,단가!$B:$E,4,0)</f>
        <v>#REF!</v>
      </c>
      <c r="L23" s="66" t="e">
        <f>#REF!*VLOOKUP($D23,단가!$B:$E,4,0)</f>
        <v>#REF!</v>
      </c>
      <c r="M23" s="66" t="e">
        <f>#REF!*VLOOKUP($D23,단가!$B:$E,4,0)</f>
        <v>#REF!</v>
      </c>
      <c r="N23" s="66" t="e">
        <f>#REF!*VLOOKUP($D23,단가!$B:$E,4,0)</f>
        <v>#REF!</v>
      </c>
      <c r="O23" s="66" t="e">
        <f>#REF!*VLOOKUP($D23,단가!$B:$E,4,0)</f>
        <v>#REF!</v>
      </c>
      <c r="P23" s="66" t="e">
        <f>#REF!*VLOOKUP($D23,단가!$B:$E,4,0)</f>
        <v>#REF!</v>
      </c>
      <c r="Q23" s="66" t="e">
        <f>#REF!*VLOOKUP($D23,단가!$B:$E,4,0)</f>
        <v>#REF!</v>
      </c>
      <c r="R23" s="66" t="e">
        <f>#REF!*VLOOKUP($D23,단가!$B:$E,4,0)</f>
        <v>#REF!</v>
      </c>
      <c r="S23" s="66" t="e">
        <f>#REF!*VLOOKUP($D23,단가!$B:$E,4,0)</f>
        <v>#REF!</v>
      </c>
      <c r="T23" s="66" t="e">
        <f>#REF!*VLOOKUP($D23,단가!$B:$E,4,0)</f>
        <v>#REF!</v>
      </c>
      <c r="U23" s="66" t="e">
        <f>#REF!*VLOOKUP($D23,단가!$B:$E,4,0)</f>
        <v>#REF!</v>
      </c>
      <c r="V23" s="66" t="e">
        <f>#REF!*VLOOKUP($D23,단가!$B:$E,4,0)</f>
        <v>#REF!</v>
      </c>
      <c r="W23" s="66" t="e">
        <f>#REF!*VLOOKUP($D23,단가!$B:$E,4,0)</f>
        <v>#REF!</v>
      </c>
    </row>
    <row r="24" spans="2:23" ht="15.75" customHeight="1">
      <c r="B24" s="609"/>
      <c r="C24" s="68">
        <v>1</v>
      </c>
      <c r="D24" s="288">
        <v>677045</v>
      </c>
      <c r="E24" s="66" t="e">
        <f>#REF!*VLOOKUP($D24,단가!$B:$E,4,0)</f>
        <v>#REF!</v>
      </c>
      <c r="F24" s="66" t="e">
        <f>#REF!*VLOOKUP($D24,단가!$B:$E,4,0)</f>
        <v>#REF!</v>
      </c>
      <c r="G24" s="66" t="e">
        <f>#REF!*VLOOKUP($D24,단가!$B:$E,4,0)</f>
        <v>#REF!</v>
      </c>
      <c r="H24" s="66" t="e">
        <f>#REF!*VLOOKUP($D24,단가!$B:$E,4,0)</f>
        <v>#REF!</v>
      </c>
      <c r="I24" s="66" t="e">
        <f>#REF!*VLOOKUP($D24,단가!$B:$E,4,0)</f>
        <v>#REF!</v>
      </c>
      <c r="J24" s="66" t="e">
        <f>#REF!*VLOOKUP($D24,단가!$B:$E,4,0)</f>
        <v>#REF!</v>
      </c>
      <c r="K24" s="66" t="e">
        <f>#REF!*VLOOKUP($D24,단가!$B:$E,4,0)</f>
        <v>#REF!</v>
      </c>
      <c r="L24" s="66" t="e">
        <f>#REF!*VLOOKUP($D24,단가!$B:$E,4,0)</f>
        <v>#REF!</v>
      </c>
      <c r="M24" s="66" t="e">
        <f>#REF!*VLOOKUP($D24,단가!$B:$E,4,0)</f>
        <v>#REF!</v>
      </c>
      <c r="N24" s="66" t="e">
        <f>#REF!*VLOOKUP($D24,단가!$B:$E,4,0)</f>
        <v>#REF!</v>
      </c>
      <c r="O24" s="66" t="e">
        <f>#REF!*VLOOKUP($D24,단가!$B:$E,4,0)</f>
        <v>#REF!</v>
      </c>
      <c r="P24" s="66" t="e">
        <f>#REF!*VLOOKUP($D24,단가!$B:$E,4,0)</f>
        <v>#REF!</v>
      </c>
      <c r="Q24" s="66" t="e">
        <f>#REF!*VLOOKUP($D24,단가!$B:$E,4,0)</f>
        <v>#REF!</v>
      </c>
      <c r="R24" s="66" t="e">
        <f>#REF!*VLOOKUP($D24,단가!$B:$E,4,0)</f>
        <v>#REF!</v>
      </c>
      <c r="S24" s="66" t="e">
        <f>#REF!*VLOOKUP($D24,단가!$B:$E,4,0)</f>
        <v>#REF!</v>
      </c>
      <c r="T24" s="66" t="e">
        <f>#REF!*VLOOKUP($D24,단가!$B:$E,4,0)</f>
        <v>#REF!</v>
      </c>
      <c r="U24" s="66" t="e">
        <f>#REF!*VLOOKUP($D24,단가!$B:$E,4,0)</f>
        <v>#REF!</v>
      </c>
      <c r="V24" s="66" t="e">
        <f>#REF!*VLOOKUP($D24,단가!$B:$E,4,0)</f>
        <v>#REF!</v>
      </c>
      <c r="W24" s="66" t="e">
        <f>#REF!*VLOOKUP($D24,단가!$B:$E,4,0)</f>
        <v>#REF!</v>
      </c>
    </row>
    <row r="25" spans="2:23" ht="15.75" customHeight="1">
      <c r="B25" s="609"/>
      <c r="C25" s="68">
        <v>2</v>
      </c>
      <c r="D25" s="288">
        <v>677047</v>
      </c>
      <c r="E25" s="66" t="e">
        <f>#REF!*VLOOKUP($D25,단가!$B:$E,4,0)</f>
        <v>#REF!</v>
      </c>
      <c r="F25" s="66" t="e">
        <f>#REF!*VLOOKUP($D25,단가!$B:$E,4,0)</f>
        <v>#REF!</v>
      </c>
      <c r="G25" s="66" t="e">
        <f>#REF!*VLOOKUP($D25,단가!$B:$E,4,0)</f>
        <v>#REF!</v>
      </c>
      <c r="H25" s="66" t="e">
        <f>#REF!*VLOOKUP($D25,단가!$B:$E,4,0)</f>
        <v>#REF!</v>
      </c>
      <c r="I25" s="66" t="e">
        <f>#REF!*VLOOKUP($D25,단가!$B:$E,4,0)</f>
        <v>#REF!</v>
      </c>
      <c r="J25" s="66" t="e">
        <f>#REF!*VLOOKUP($D25,단가!$B:$E,4,0)</f>
        <v>#REF!</v>
      </c>
      <c r="K25" s="66" t="e">
        <f>#REF!*VLOOKUP($D25,단가!$B:$E,4,0)</f>
        <v>#REF!</v>
      </c>
      <c r="L25" s="66" t="e">
        <f>#REF!*VLOOKUP($D25,단가!$B:$E,4,0)</f>
        <v>#REF!</v>
      </c>
      <c r="M25" s="66" t="e">
        <f>#REF!*VLOOKUP($D25,단가!$B:$E,4,0)</f>
        <v>#REF!</v>
      </c>
      <c r="N25" s="66" t="e">
        <f>#REF!*VLOOKUP($D25,단가!$B:$E,4,0)</f>
        <v>#REF!</v>
      </c>
      <c r="O25" s="66" t="e">
        <f>#REF!*VLOOKUP($D25,단가!$B:$E,4,0)</f>
        <v>#REF!</v>
      </c>
      <c r="P25" s="66" t="e">
        <f>#REF!*VLOOKUP($D25,단가!$B:$E,4,0)</f>
        <v>#REF!</v>
      </c>
      <c r="Q25" s="66" t="e">
        <f>#REF!*VLOOKUP($D25,단가!$B:$E,4,0)</f>
        <v>#REF!</v>
      </c>
      <c r="R25" s="66" t="e">
        <f>#REF!*VLOOKUP($D25,단가!$B:$E,4,0)</f>
        <v>#REF!</v>
      </c>
      <c r="S25" s="66" t="e">
        <f>#REF!*VLOOKUP($D25,단가!$B:$E,4,0)</f>
        <v>#REF!</v>
      </c>
      <c r="T25" s="66" t="e">
        <f>#REF!*VLOOKUP($D25,단가!$B:$E,4,0)</f>
        <v>#REF!</v>
      </c>
      <c r="U25" s="66" t="e">
        <f>#REF!*VLOOKUP($D25,단가!$B:$E,4,0)</f>
        <v>#REF!</v>
      </c>
      <c r="V25" s="66" t="e">
        <f>#REF!*VLOOKUP($D25,단가!$B:$E,4,0)</f>
        <v>#REF!</v>
      </c>
      <c r="W25" s="66" t="e">
        <f>#REF!*VLOOKUP($D25,단가!$B:$E,4,0)</f>
        <v>#REF!</v>
      </c>
    </row>
    <row r="26" spans="2:23" ht="15.75" customHeight="1">
      <c r="B26" s="609"/>
      <c r="C26" s="68" t="s">
        <v>87</v>
      </c>
      <c r="D26" s="288">
        <v>698408</v>
      </c>
      <c r="E26" s="66" t="e">
        <f>#REF!*VLOOKUP($D26,단가!$B:$E,4,0)</f>
        <v>#REF!</v>
      </c>
      <c r="F26" s="66" t="e">
        <f>#REF!*VLOOKUP($D26,단가!$B:$E,4,0)</f>
        <v>#REF!</v>
      </c>
      <c r="G26" s="66" t="e">
        <f>#REF!*VLOOKUP($D26,단가!$B:$E,4,0)</f>
        <v>#REF!</v>
      </c>
      <c r="H26" s="66" t="e">
        <f>#REF!*VLOOKUP($D26,단가!$B:$E,4,0)</f>
        <v>#REF!</v>
      </c>
      <c r="I26" s="66" t="e">
        <f>#REF!*VLOOKUP($D26,단가!$B:$E,4,0)</f>
        <v>#REF!</v>
      </c>
      <c r="J26" s="66" t="e">
        <f>#REF!*VLOOKUP($D26,단가!$B:$E,4,0)</f>
        <v>#REF!</v>
      </c>
      <c r="K26" s="66" t="e">
        <f>#REF!*VLOOKUP($D26,단가!$B:$E,4,0)</f>
        <v>#REF!</v>
      </c>
      <c r="L26" s="66" t="e">
        <f>#REF!*VLOOKUP($D26,단가!$B:$E,4,0)</f>
        <v>#REF!</v>
      </c>
      <c r="M26" s="66" t="e">
        <f>#REF!*VLOOKUP($D26,단가!$B:$E,4,0)</f>
        <v>#REF!</v>
      </c>
      <c r="N26" s="66" t="e">
        <f>#REF!*VLOOKUP($D26,단가!$B:$E,4,0)</f>
        <v>#REF!</v>
      </c>
      <c r="O26" s="66" t="e">
        <f>#REF!*VLOOKUP($D26,단가!$B:$E,4,0)</f>
        <v>#REF!</v>
      </c>
      <c r="P26" s="66" t="e">
        <f>#REF!*VLOOKUP($D26,단가!$B:$E,4,0)</f>
        <v>#REF!</v>
      </c>
      <c r="Q26" s="66" t="e">
        <f>#REF!*VLOOKUP($D26,단가!$B:$E,4,0)</f>
        <v>#REF!</v>
      </c>
      <c r="R26" s="66" t="e">
        <f>#REF!*VLOOKUP($D26,단가!$B:$E,4,0)</f>
        <v>#REF!</v>
      </c>
      <c r="S26" s="66" t="e">
        <f>#REF!*VLOOKUP($D26,단가!$B:$E,4,0)</f>
        <v>#REF!</v>
      </c>
      <c r="T26" s="66" t="e">
        <f>#REF!*VLOOKUP($D26,단가!$B:$E,4,0)</f>
        <v>#REF!</v>
      </c>
      <c r="U26" s="66" t="e">
        <f>#REF!*VLOOKUP($D26,단가!$B:$E,4,0)</f>
        <v>#REF!</v>
      </c>
      <c r="V26" s="66" t="e">
        <f>#REF!*VLOOKUP($D26,단가!$B:$E,4,0)</f>
        <v>#REF!</v>
      </c>
      <c r="W26" s="66" t="e">
        <f>#REF!*VLOOKUP($D26,단가!$B:$E,4,0)</f>
        <v>#REF!</v>
      </c>
    </row>
    <row r="27" spans="2:23" ht="15.75" customHeight="1">
      <c r="B27" s="603"/>
      <c r="C27" s="68" t="s">
        <v>88</v>
      </c>
      <c r="D27" s="288">
        <v>698409</v>
      </c>
      <c r="E27" s="66" t="e">
        <f>#REF!*VLOOKUP($D27,단가!$B:$E,4,0)</f>
        <v>#REF!</v>
      </c>
      <c r="F27" s="66" t="e">
        <f>#REF!*VLOOKUP($D27,단가!$B:$E,4,0)</f>
        <v>#REF!</v>
      </c>
      <c r="G27" s="66" t="e">
        <f>#REF!*VLOOKUP($D27,단가!$B:$E,4,0)</f>
        <v>#REF!</v>
      </c>
      <c r="H27" s="66" t="e">
        <f>#REF!*VLOOKUP($D27,단가!$B:$E,4,0)</f>
        <v>#REF!</v>
      </c>
      <c r="I27" s="66" t="e">
        <f>#REF!*VLOOKUP($D27,단가!$B:$E,4,0)</f>
        <v>#REF!</v>
      </c>
      <c r="J27" s="66" t="e">
        <f>#REF!*VLOOKUP($D27,단가!$B:$E,4,0)</f>
        <v>#REF!</v>
      </c>
      <c r="K27" s="66" t="e">
        <f>#REF!*VLOOKUP($D27,단가!$B:$E,4,0)</f>
        <v>#REF!</v>
      </c>
      <c r="L27" s="66" t="e">
        <f>#REF!*VLOOKUP($D27,단가!$B:$E,4,0)</f>
        <v>#REF!</v>
      </c>
      <c r="M27" s="66" t="e">
        <f>#REF!*VLOOKUP($D27,단가!$B:$E,4,0)</f>
        <v>#REF!</v>
      </c>
      <c r="N27" s="66" t="e">
        <f>#REF!*VLOOKUP($D27,단가!$B:$E,4,0)</f>
        <v>#REF!</v>
      </c>
      <c r="O27" s="66" t="e">
        <f>#REF!*VLOOKUP($D27,단가!$B:$E,4,0)</f>
        <v>#REF!</v>
      </c>
      <c r="P27" s="66" t="e">
        <f>#REF!*VLOOKUP($D27,단가!$B:$E,4,0)</f>
        <v>#REF!</v>
      </c>
      <c r="Q27" s="66" t="e">
        <f>#REF!*VLOOKUP($D27,단가!$B:$E,4,0)</f>
        <v>#REF!</v>
      </c>
      <c r="R27" s="66" t="e">
        <f>#REF!*VLOOKUP($D27,단가!$B:$E,4,0)</f>
        <v>#REF!</v>
      </c>
      <c r="S27" s="66" t="e">
        <f>#REF!*VLOOKUP($D27,단가!$B:$E,4,0)</f>
        <v>#REF!</v>
      </c>
      <c r="T27" s="66" t="e">
        <f>#REF!*VLOOKUP($D27,단가!$B:$E,4,0)</f>
        <v>#REF!</v>
      </c>
      <c r="U27" s="66" t="e">
        <f>#REF!*VLOOKUP($D27,단가!$B:$E,4,0)</f>
        <v>#REF!</v>
      </c>
      <c r="V27" s="66" t="e">
        <f>#REF!*VLOOKUP($D27,단가!$B:$E,4,0)</f>
        <v>#REF!</v>
      </c>
      <c r="W27" s="66" t="e">
        <f>#REF!*VLOOKUP($D27,단가!$B:$E,4,0)</f>
        <v>#REF!</v>
      </c>
    </row>
    <row r="28" spans="2:23" ht="15.75" customHeight="1">
      <c r="B28" s="654" t="s">
        <v>89</v>
      </c>
      <c r="C28" s="74" t="s">
        <v>90</v>
      </c>
      <c r="D28" s="288">
        <v>653156</v>
      </c>
      <c r="E28" s="66" t="e">
        <f>#REF!*VLOOKUP($D28,단가!$B:$E,4,0)</f>
        <v>#REF!</v>
      </c>
      <c r="F28" s="66" t="e">
        <f>#REF!*VLOOKUP($D28,단가!$B:$E,4,0)</f>
        <v>#REF!</v>
      </c>
      <c r="G28" s="66" t="e">
        <f>#REF!*VLOOKUP($D28,단가!$B:$E,4,0)</f>
        <v>#REF!</v>
      </c>
      <c r="H28" s="66" t="e">
        <f>#REF!*VLOOKUP($D28,단가!$B:$E,4,0)</f>
        <v>#REF!</v>
      </c>
      <c r="I28" s="66" t="e">
        <f>#REF!*VLOOKUP($D28,단가!$B:$E,4,0)</f>
        <v>#REF!</v>
      </c>
      <c r="J28" s="66" t="e">
        <f>#REF!*VLOOKUP($D28,단가!$B:$E,4,0)</f>
        <v>#REF!</v>
      </c>
      <c r="K28" s="66" t="e">
        <f>#REF!*VLOOKUP($D28,단가!$B:$E,4,0)</f>
        <v>#REF!</v>
      </c>
      <c r="L28" s="66" t="e">
        <f>#REF!*VLOOKUP($D28,단가!$B:$E,4,0)</f>
        <v>#REF!</v>
      </c>
      <c r="M28" s="66" t="e">
        <f>#REF!*VLOOKUP($D28,단가!$B:$E,4,0)</f>
        <v>#REF!</v>
      </c>
      <c r="N28" s="66" t="e">
        <f>#REF!*VLOOKUP($D28,단가!$B:$E,4,0)</f>
        <v>#REF!</v>
      </c>
      <c r="O28" s="66" t="e">
        <f>#REF!*VLOOKUP($D28,단가!$B:$E,4,0)</f>
        <v>#REF!</v>
      </c>
      <c r="P28" s="66" t="e">
        <f>#REF!*VLOOKUP($D28,단가!$B:$E,4,0)</f>
        <v>#REF!</v>
      </c>
      <c r="Q28" s="66" t="e">
        <f>#REF!*VLOOKUP($D28,단가!$B:$E,4,0)</f>
        <v>#REF!</v>
      </c>
      <c r="R28" s="66" t="e">
        <f>#REF!*VLOOKUP($D28,단가!$B:$E,4,0)</f>
        <v>#REF!</v>
      </c>
      <c r="S28" s="66" t="e">
        <f>#REF!*VLOOKUP($D28,단가!$B:$E,4,0)</f>
        <v>#REF!</v>
      </c>
      <c r="T28" s="66" t="e">
        <f>#REF!*VLOOKUP($D28,단가!$B:$E,4,0)</f>
        <v>#REF!</v>
      </c>
      <c r="U28" s="66" t="e">
        <f>#REF!*VLOOKUP($D28,단가!$B:$E,4,0)</f>
        <v>#REF!</v>
      </c>
      <c r="V28" s="66" t="e">
        <f>#REF!*VLOOKUP($D28,단가!$B:$E,4,0)</f>
        <v>#REF!</v>
      </c>
      <c r="W28" s="66" t="e">
        <f>#REF!*VLOOKUP($D28,단가!$B:$E,4,0)</f>
        <v>#REF!</v>
      </c>
    </row>
    <row r="29" spans="2:23" ht="15.75" customHeight="1">
      <c r="B29" s="603"/>
      <c r="C29" s="74" t="s">
        <v>91</v>
      </c>
      <c r="D29" s="288">
        <v>653299</v>
      </c>
      <c r="E29" s="66" t="e">
        <f>#REF!*VLOOKUP($D29,단가!$B:$E,4,0)</f>
        <v>#REF!</v>
      </c>
      <c r="F29" s="66" t="e">
        <f>#REF!*VLOOKUP($D29,단가!$B:$E,4,0)</f>
        <v>#REF!</v>
      </c>
      <c r="G29" s="66" t="e">
        <f>#REF!*VLOOKUP($D29,단가!$B:$E,4,0)</f>
        <v>#REF!</v>
      </c>
      <c r="H29" s="66" t="e">
        <f>#REF!*VLOOKUP($D29,단가!$B:$E,4,0)</f>
        <v>#REF!</v>
      </c>
      <c r="I29" s="66" t="e">
        <f>#REF!*VLOOKUP($D29,단가!$B:$E,4,0)</f>
        <v>#REF!</v>
      </c>
      <c r="J29" s="66" t="e">
        <f>#REF!*VLOOKUP($D29,단가!$B:$E,4,0)</f>
        <v>#REF!</v>
      </c>
      <c r="K29" s="66" t="e">
        <f>#REF!*VLOOKUP($D29,단가!$B:$E,4,0)</f>
        <v>#REF!</v>
      </c>
      <c r="L29" s="66" t="e">
        <f>#REF!*VLOOKUP($D29,단가!$B:$E,4,0)</f>
        <v>#REF!</v>
      </c>
      <c r="M29" s="66" t="e">
        <f>#REF!*VLOOKUP($D29,단가!$B:$E,4,0)</f>
        <v>#REF!</v>
      </c>
      <c r="N29" s="66" t="e">
        <f>#REF!*VLOOKUP($D29,단가!$B:$E,4,0)</f>
        <v>#REF!</v>
      </c>
      <c r="O29" s="66" t="e">
        <f>#REF!*VLOOKUP($D29,단가!$B:$E,4,0)</f>
        <v>#REF!</v>
      </c>
      <c r="P29" s="66" t="e">
        <f>#REF!*VLOOKUP($D29,단가!$B:$E,4,0)</f>
        <v>#REF!</v>
      </c>
      <c r="Q29" s="66" t="e">
        <f>#REF!*VLOOKUP($D29,단가!$B:$E,4,0)</f>
        <v>#REF!</v>
      </c>
      <c r="R29" s="66" t="e">
        <f>#REF!*VLOOKUP($D29,단가!$B:$E,4,0)</f>
        <v>#REF!</v>
      </c>
      <c r="S29" s="66" t="e">
        <f>#REF!*VLOOKUP($D29,단가!$B:$E,4,0)</f>
        <v>#REF!</v>
      </c>
      <c r="T29" s="66" t="e">
        <f>#REF!*VLOOKUP($D29,단가!$B:$E,4,0)</f>
        <v>#REF!</v>
      </c>
      <c r="U29" s="66" t="e">
        <f>#REF!*VLOOKUP($D29,단가!$B:$E,4,0)</f>
        <v>#REF!</v>
      </c>
      <c r="V29" s="66" t="e">
        <f>#REF!*VLOOKUP($D29,단가!$B:$E,4,0)</f>
        <v>#REF!</v>
      </c>
      <c r="W29" s="66" t="e">
        <f>#REF!*VLOOKUP($D29,단가!$B:$E,4,0)</f>
        <v>#REF!</v>
      </c>
    </row>
    <row r="30" spans="2:23" ht="15.75" customHeight="1">
      <c r="B30" s="655" t="s">
        <v>92</v>
      </c>
      <c r="C30" s="75" t="s">
        <v>93</v>
      </c>
      <c r="D30" s="288">
        <v>663243</v>
      </c>
      <c r="E30" s="66" t="e">
        <f>#REF!*VLOOKUP($D30,단가!$B:$E,4,0)</f>
        <v>#REF!</v>
      </c>
      <c r="F30" s="66" t="e">
        <f>#REF!*VLOOKUP($D30,단가!$B:$E,4,0)</f>
        <v>#REF!</v>
      </c>
      <c r="G30" s="66" t="e">
        <f>#REF!*VLOOKUP($D30,단가!$B:$E,4,0)</f>
        <v>#REF!</v>
      </c>
      <c r="H30" s="66" t="e">
        <f>#REF!*VLOOKUP($D30,단가!$B:$E,4,0)</f>
        <v>#REF!</v>
      </c>
      <c r="I30" s="66" t="e">
        <f>#REF!*VLOOKUP($D30,단가!$B:$E,4,0)</f>
        <v>#REF!</v>
      </c>
      <c r="J30" s="66" t="e">
        <f>#REF!*VLOOKUP($D30,단가!$B:$E,4,0)</f>
        <v>#REF!</v>
      </c>
      <c r="K30" s="66" t="e">
        <f>#REF!*VLOOKUP($D30,단가!$B:$E,4,0)</f>
        <v>#REF!</v>
      </c>
      <c r="L30" s="66" t="e">
        <f>#REF!*VLOOKUP($D30,단가!$B:$E,4,0)</f>
        <v>#REF!</v>
      </c>
      <c r="M30" s="66" t="e">
        <f>#REF!*VLOOKUP($D30,단가!$B:$E,4,0)</f>
        <v>#REF!</v>
      </c>
      <c r="N30" s="66" t="e">
        <f>#REF!*VLOOKUP($D30,단가!$B:$E,4,0)</f>
        <v>#REF!</v>
      </c>
      <c r="O30" s="66" t="e">
        <f>#REF!*VLOOKUP($D30,단가!$B:$E,4,0)</f>
        <v>#REF!</v>
      </c>
      <c r="P30" s="66" t="e">
        <f>#REF!*VLOOKUP($D30,단가!$B:$E,4,0)</f>
        <v>#REF!</v>
      </c>
      <c r="Q30" s="66" t="e">
        <f>#REF!*VLOOKUP($D30,단가!$B:$E,4,0)</f>
        <v>#REF!</v>
      </c>
      <c r="R30" s="66" t="e">
        <f>#REF!*VLOOKUP($D30,단가!$B:$E,4,0)</f>
        <v>#REF!</v>
      </c>
      <c r="S30" s="66" t="e">
        <f>#REF!*VLOOKUP($D30,단가!$B:$E,4,0)</f>
        <v>#REF!</v>
      </c>
      <c r="T30" s="66" t="e">
        <f>#REF!*VLOOKUP($D30,단가!$B:$E,4,0)</f>
        <v>#REF!</v>
      </c>
      <c r="U30" s="66" t="e">
        <f>#REF!*VLOOKUP($D30,단가!$B:$E,4,0)</f>
        <v>#REF!</v>
      </c>
      <c r="V30" s="66" t="e">
        <f>#REF!*VLOOKUP($D30,단가!$B:$E,4,0)</f>
        <v>#REF!</v>
      </c>
      <c r="W30" s="66" t="e">
        <f>#REF!*VLOOKUP($D30,단가!$B:$E,4,0)</f>
        <v>#REF!</v>
      </c>
    </row>
    <row r="31" spans="2:23" ht="15.75" customHeight="1">
      <c r="B31" s="609"/>
      <c r="C31" s="75" t="s">
        <v>94</v>
      </c>
      <c r="D31" s="288">
        <v>672129</v>
      </c>
      <c r="E31" s="66" t="e">
        <f>#REF!*VLOOKUP($D31,단가!$B:$E,4,0)</f>
        <v>#REF!</v>
      </c>
      <c r="F31" s="66" t="e">
        <f>#REF!*VLOOKUP($D31,단가!$B:$E,4,0)</f>
        <v>#REF!</v>
      </c>
      <c r="G31" s="66" t="e">
        <f>#REF!*VLOOKUP($D31,단가!$B:$E,4,0)</f>
        <v>#REF!</v>
      </c>
      <c r="H31" s="66" t="e">
        <f>#REF!*VLOOKUP($D31,단가!$B:$E,4,0)</f>
        <v>#REF!</v>
      </c>
      <c r="I31" s="66" t="e">
        <f>#REF!*VLOOKUP($D31,단가!$B:$E,4,0)</f>
        <v>#REF!</v>
      </c>
      <c r="J31" s="66" t="e">
        <f>#REF!*VLOOKUP($D31,단가!$B:$E,4,0)</f>
        <v>#REF!</v>
      </c>
      <c r="K31" s="66" t="e">
        <f>#REF!*VLOOKUP($D31,단가!$B:$E,4,0)</f>
        <v>#REF!</v>
      </c>
      <c r="L31" s="66" t="e">
        <f>#REF!*VLOOKUP($D31,단가!$B:$E,4,0)</f>
        <v>#REF!</v>
      </c>
      <c r="M31" s="66" t="e">
        <f>#REF!*VLOOKUP($D31,단가!$B:$E,4,0)</f>
        <v>#REF!</v>
      </c>
      <c r="N31" s="66" t="e">
        <f>#REF!*VLOOKUP($D31,단가!$B:$E,4,0)</f>
        <v>#REF!</v>
      </c>
      <c r="O31" s="66" t="e">
        <f>#REF!*VLOOKUP($D31,단가!$B:$E,4,0)</f>
        <v>#REF!</v>
      </c>
      <c r="P31" s="66" t="e">
        <f>#REF!*VLOOKUP($D31,단가!$B:$E,4,0)</f>
        <v>#REF!</v>
      </c>
      <c r="Q31" s="66" t="e">
        <f>#REF!*VLOOKUP($D31,단가!$B:$E,4,0)</f>
        <v>#REF!</v>
      </c>
      <c r="R31" s="66" t="e">
        <f>#REF!*VLOOKUP($D31,단가!$B:$E,4,0)</f>
        <v>#REF!</v>
      </c>
      <c r="S31" s="66" t="e">
        <f>#REF!*VLOOKUP($D31,단가!$B:$E,4,0)</f>
        <v>#REF!</v>
      </c>
      <c r="T31" s="66" t="e">
        <f>#REF!*VLOOKUP($D31,단가!$B:$E,4,0)</f>
        <v>#REF!</v>
      </c>
      <c r="U31" s="66" t="e">
        <f>#REF!*VLOOKUP($D31,단가!$B:$E,4,0)</f>
        <v>#REF!</v>
      </c>
      <c r="V31" s="66" t="e">
        <f>#REF!*VLOOKUP($D31,단가!$B:$E,4,0)</f>
        <v>#REF!</v>
      </c>
      <c r="W31" s="66" t="e">
        <f>#REF!*VLOOKUP($D31,단가!$B:$E,4,0)</f>
        <v>#REF!</v>
      </c>
    </row>
    <row r="32" spans="2:23" ht="15.75" customHeight="1">
      <c r="B32" s="609"/>
      <c r="C32" s="75" t="s">
        <v>95</v>
      </c>
      <c r="D32" s="288">
        <v>672127</v>
      </c>
      <c r="E32" s="66" t="e">
        <f>#REF!*VLOOKUP($D32,단가!$B:$E,4,0)</f>
        <v>#REF!</v>
      </c>
      <c r="F32" s="66" t="e">
        <f>#REF!*VLOOKUP($D32,단가!$B:$E,4,0)</f>
        <v>#REF!</v>
      </c>
      <c r="G32" s="66" t="e">
        <f>#REF!*VLOOKUP($D32,단가!$B:$E,4,0)</f>
        <v>#REF!</v>
      </c>
      <c r="H32" s="66" t="e">
        <f>#REF!*VLOOKUP($D32,단가!$B:$E,4,0)</f>
        <v>#REF!</v>
      </c>
      <c r="I32" s="66" t="e">
        <f>#REF!*VLOOKUP($D32,단가!$B:$E,4,0)</f>
        <v>#REF!</v>
      </c>
      <c r="J32" s="66" t="e">
        <f>#REF!*VLOOKUP($D32,단가!$B:$E,4,0)</f>
        <v>#REF!</v>
      </c>
      <c r="K32" s="66" t="e">
        <f>#REF!*VLOOKUP($D32,단가!$B:$E,4,0)</f>
        <v>#REF!</v>
      </c>
      <c r="L32" s="66" t="e">
        <f>#REF!*VLOOKUP($D32,단가!$B:$E,4,0)</f>
        <v>#REF!</v>
      </c>
      <c r="M32" s="66" t="e">
        <f>#REF!*VLOOKUP($D32,단가!$B:$E,4,0)</f>
        <v>#REF!</v>
      </c>
      <c r="N32" s="66" t="e">
        <f>#REF!*VLOOKUP($D32,단가!$B:$E,4,0)</f>
        <v>#REF!</v>
      </c>
      <c r="O32" s="66" t="e">
        <f>#REF!*VLOOKUP($D32,단가!$B:$E,4,0)</f>
        <v>#REF!</v>
      </c>
      <c r="P32" s="66" t="e">
        <f>#REF!*VLOOKUP($D32,단가!$B:$E,4,0)</f>
        <v>#REF!</v>
      </c>
      <c r="Q32" s="66" t="e">
        <f>#REF!*VLOOKUP($D32,단가!$B:$E,4,0)</f>
        <v>#REF!</v>
      </c>
      <c r="R32" s="66" t="e">
        <f>#REF!*VLOOKUP($D32,단가!$B:$E,4,0)</f>
        <v>#REF!</v>
      </c>
      <c r="S32" s="66" t="e">
        <f>#REF!*VLOOKUP($D32,단가!$B:$E,4,0)</f>
        <v>#REF!</v>
      </c>
      <c r="T32" s="66" t="e">
        <f>#REF!*VLOOKUP($D32,단가!$B:$E,4,0)</f>
        <v>#REF!</v>
      </c>
      <c r="U32" s="66" t="e">
        <f>#REF!*VLOOKUP($D32,단가!$B:$E,4,0)</f>
        <v>#REF!</v>
      </c>
      <c r="V32" s="66" t="e">
        <f>#REF!*VLOOKUP($D32,단가!$B:$E,4,0)</f>
        <v>#REF!</v>
      </c>
      <c r="W32" s="66" t="e">
        <f>#REF!*VLOOKUP($D32,단가!$B:$E,4,0)</f>
        <v>#REF!</v>
      </c>
    </row>
    <row r="33" spans="2:23" ht="15.75" customHeight="1">
      <c r="B33" s="603"/>
      <c r="C33" s="75" t="s">
        <v>96</v>
      </c>
      <c r="D33" s="288">
        <v>671574</v>
      </c>
      <c r="E33" s="66" t="e">
        <f>#REF!*VLOOKUP($D33,단가!$B:$E,4,0)</f>
        <v>#REF!</v>
      </c>
      <c r="F33" s="66" t="e">
        <f>#REF!*VLOOKUP($D33,단가!$B:$E,4,0)</f>
        <v>#REF!</v>
      </c>
      <c r="G33" s="66" t="e">
        <f>#REF!*VLOOKUP($D33,단가!$B:$E,4,0)</f>
        <v>#REF!</v>
      </c>
      <c r="H33" s="66" t="e">
        <f>#REF!*VLOOKUP($D33,단가!$B:$E,4,0)</f>
        <v>#REF!</v>
      </c>
      <c r="I33" s="66" t="e">
        <f>#REF!*VLOOKUP($D33,단가!$B:$E,4,0)</f>
        <v>#REF!</v>
      </c>
      <c r="J33" s="66" t="e">
        <f>#REF!*VLOOKUP($D33,단가!$B:$E,4,0)</f>
        <v>#REF!</v>
      </c>
      <c r="K33" s="66" t="e">
        <f>#REF!*VLOOKUP($D33,단가!$B:$E,4,0)</f>
        <v>#REF!</v>
      </c>
      <c r="L33" s="66" t="e">
        <f>#REF!*VLOOKUP($D33,단가!$B:$E,4,0)</f>
        <v>#REF!</v>
      </c>
      <c r="M33" s="66" t="e">
        <f>#REF!*VLOOKUP($D33,단가!$B:$E,4,0)</f>
        <v>#REF!</v>
      </c>
      <c r="N33" s="66" t="e">
        <f>#REF!*VLOOKUP($D33,단가!$B:$E,4,0)</f>
        <v>#REF!</v>
      </c>
      <c r="O33" s="66" t="e">
        <f>#REF!*VLOOKUP($D33,단가!$B:$E,4,0)</f>
        <v>#REF!</v>
      </c>
      <c r="P33" s="66" t="e">
        <f>#REF!*VLOOKUP($D33,단가!$B:$E,4,0)</f>
        <v>#REF!</v>
      </c>
      <c r="Q33" s="66" t="e">
        <f>#REF!*VLOOKUP($D33,단가!$B:$E,4,0)</f>
        <v>#REF!</v>
      </c>
      <c r="R33" s="66" t="e">
        <f>#REF!*VLOOKUP($D33,단가!$B:$E,4,0)</f>
        <v>#REF!</v>
      </c>
      <c r="S33" s="66" t="e">
        <f>#REF!*VLOOKUP($D33,단가!$B:$E,4,0)</f>
        <v>#REF!</v>
      </c>
      <c r="T33" s="66" t="e">
        <f>#REF!*VLOOKUP($D33,단가!$B:$E,4,0)</f>
        <v>#REF!</v>
      </c>
      <c r="U33" s="66" t="e">
        <f>#REF!*VLOOKUP($D33,단가!$B:$E,4,0)</f>
        <v>#REF!</v>
      </c>
      <c r="V33" s="66" t="e">
        <f>#REF!*VLOOKUP($D33,단가!$B:$E,4,0)</f>
        <v>#REF!</v>
      </c>
      <c r="W33" s="66" t="e">
        <f>#REF!*VLOOKUP($D33,단가!$B:$E,4,0)</f>
        <v>#REF!</v>
      </c>
    </row>
    <row r="34" spans="2:23" ht="15.75" customHeight="1">
      <c r="B34" s="650" t="s">
        <v>18</v>
      </c>
      <c r="C34" s="634"/>
      <c r="D34" s="590"/>
      <c r="E34" s="79" t="e">
        <f t="shared" ref="E34:W34" si="1">SUM(E15:E33)</f>
        <v>#REF!</v>
      </c>
      <c r="F34" s="79" t="e">
        <f t="shared" si="1"/>
        <v>#REF!</v>
      </c>
      <c r="G34" s="79" t="e">
        <f t="shared" si="1"/>
        <v>#REF!</v>
      </c>
      <c r="H34" s="79" t="e">
        <f t="shared" si="1"/>
        <v>#REF!</v>
      </c>
      <c r="I34" s="79" t="e">
        <f t="shared" si="1"/>
        <v>#REF!</v>
      </c>
      <c r="J34" s="79" t="e">
        <f t="shared" si="1"/>
        <v>#REF!</v>
      </c>
      <c r="K34" s="79" t="e">
        <f t="shared" si="1"/>
        <v>#REF!</v>
      </c>
      <c r="L34" s="79" t="e">
        <f t="shared" si="1"/>
        <v>#REF!</v>
      </c>
      <c r="M34" s="79" t="e">
        <f t="shared" si="1"/>
        <v>#REF!</v>
      </c>
      <c r="N34" s="79" t="e">
        <f t="shared" si="1"/>
        <v>#REF!</v>
      </c>
      <c r="O34" s="79" t="e">
        <f t="shared" si="1"/>
        <v>#REF!</v>
      </c>
      <c r="P34" s="79" t="e">
        <f t="shared" si="1"/>
        <v>#REF!</v>
      </c>
      <c r="Q34" s="79" t="e">
        <f t="shared" si="1"/>
        <v>#REF!</v>
      </c>
      <c r="R34" s="79" t="e">
        <f t="shared" si="1"/>
        <v>#REF!</v>
      </c>
      <c r="S34" s="79" t="e">
        <f t="shared" si="1"/>
        <v>#REF!</v>
      </c>
      <c r="T34" s="79" t="e">
        <f t="shared" si="1"/>
        <v>#REF!</v>
      </c>
      <c r="U34" s="79" t="e">
        <f t="shared" si="1"/>
        <v>#REF!</v>
      </c>
      <c r="V34" s="79" t="e">
        <f t="shared" si="1"/>
        <v>#REF!</v>
      </c>
      <c r="W34" s="79" t="e">
        <f t="shared" si="1"/>
        <v>#REF!</v>
      </c>
    </row>
    <row r="38" spans="2:23" ht="15">
      <c r="B38" s="60" t="s">
        <v>137</v>
      </c>
      <c r="H38" s="30" t="s">
        <v>138</v>
      </c>
      <c r="I38" s="30" t="s">
        <v>139</v>
      </c>
    </row>
    <row r="39" spans="2:23" ht="12.75">
      <c r="B39" s="656"/>
      <c r="C39" s="590"/>
      <c r="D39" s="5" t="s">
        <v>250</v>
      </c>
      <c r="E39" s="205" t="s">
        <v>1</v>
      </c>
      <c r="F39" s="205" t="s">
        <v>2</v>
      </c>
      <c r="G39" s="205" t="s">
        <v>3</v>
      </c>
      <c r="H39" s="205" t="s">
        <v>4</v>
      </c>
      <c r="I39" s="5" t="s">
        <v>5</v>
      </c>
      <c r="J39" s="5" t="s">
        <v>6</v>
      </c>
      <c r="K39" s="5" t="s">
        <v>7</v>
      </c>
      <c r="L39" s="5" t="s">
        <v>8</v>
      </c>
      <c r="M39" s="5" t="s">
        <v>9</v>
      </c>
      <c r="N39" s="5" t="s">
        <v>10</v>
      </c>
      <c r="O39" s="5" t="s">
        <v>11</v>
      </c>
      <c r="P39" s="5" t="s">
        <v>12</v>
      </c>
      <c r="Q39" s="5" t="s">
        <v>13</v>
      </c>
      <c r="R39" s="5" t="s">
        <v>2</v>
      </c>
      <c r="S39" s="110" t="s">
        <v>3</v>
      </c>
      <c r="T39" s="110" t="s">
        <v>4</v>
      </c>
      <c r="U39" s="205" t="s">
        <v>5</v>
      </c>
      <c r="V39" s="205" t="s">
        <v>6</v>
      </c>
      <c r="W39" s="205" t="s">
        <v>7</v>
      </c>
    </row>
    <row r="40" spans="2:23" ht="12.75">
      <c r="B40" s="657" t="s">
        <v>142</v>
      </c>
      <c r="C40" s="590"/>
      <c r="D40" s="288">
        <v>117547</v>
      </c>
      <c r="E40" s="43"/>
      <c r="F40" s="43"/>
      <c r="G40" s="43"/>
      <c r="H40" s="66">
        <f>Medical!D5*VLOOKUP($D40,단가!$B:$E,4,0)</f>
        <v>746.85483870967755</v>
      </c>
      <c r="I40" s="66">
        <f>Medical!E5*VLOOKUP($D40,단가!$B:$E,4,0)</f>
        <v>1680</v>
      </c>
      <c r="J40" s="66">
        <f>Medical!F5*VLOOKUP($D40,단가!$B:$E,4,0)</f>
        <v>5670</v>
      </c>
      <c r="K40" s="66">
        <f>Medical!G5*VLOOKUP($D40,단가!$B:$E,4,0)</f>
        <v>5670</v>
      </c>
      <c r="L40" s="66">
        <f>Medical!H5*VLOOKUP($D40,단가!$B:$E,4,0)</f>
        <v>6300</v>
      </c>
      <c r="M40" s="66">
        <f>'Medical(2)'!I4*VLOOKUP($D40,단가!$B:$E,4,0)</f>
        <v>4200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</row>
    <row r="41" spans="2:23" ht="12.75">
      <c r="B41" s="657" t="s">
        <v>143</v>
      </c>
      <c r="C41" s="590"/>
      <c r="D41" s="288">
        <v>552897</v>
      </c>
      <c r="E41" s="43"/>
      <c r="F41" s="43"/>
      <c r="G41" s="43"/>
      <c r="H41" s="66">
        <f>Medical!D6*VLOOKUP(D41,단가!$B:$E,4,0)</f>
        <v>50229.9</v>
      </c>
      <c r="I41" s="66">
        <f>Medical!E6*VLOOKUP($D41,단가!$B:$E,4,0)</f>
        <v>0</v>
      </c>
      <c r="J41" s="66">
        <f>Medical!F6*VLOOKUP($D41,단가!$B:$E,4,0)</f>
        <v>0</v>
      </c>
      <c r="K41" s="66">
        <f>Medical!G6*VLOOKUP($D41,단가!$B:$E,4,0)</f>
        <v>0</v>
      </c>
      <c r="L41" s="66">
        <f>Medical!H6*VLOOKUP($D41,단가!$B:$E,4,0)</f>
        <v>0</v>
      </c>
      <c r="M41" s="66">
        <f>'Medical(2)'!I5*VLOOKUP($D41,단가!$B:$E,4,0)</f>
        <v>0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</row>
    <row r="42" spans="2:23" ht="12.75">
      <c r="B42" s="657" t="s">
        <v>144</v>
      </c>
      <c r="C42" s="590"/>
      <c r="D42" s="288">
        <v>117771</v>
      </c>
      <c r="E42" s="43"/>
      <c r="F42" s="43"/>
      <c r="G42" s="43"/>
      <c r="H42" s="66">
        <f>Medical!D7*VLOOKUP(D42,단가!$B:$E,4,0)</f>
        <v>12540</v>
      </c>
      <c r="I42" s="66">
        <f>Medical!E7*VLOOKUP($D42,단가!$B:$E,4,0)</f>
        <v>0</v>
      </c>
      <c r="J42" s="66">
        <f>Medical!F7*VLOOKUP($D42,단가!$B:$E,4,0)</f>
        <v>3420</v>
      </c>
      <c r="K42" s="66">
        <f>Medical!G7*VLOOKUP($D42,단가!$B:$E,4,0)</f>
        <v>3420</v>
      </c>
      <c r="L42" s="66">
        <f>Medical!H7*VLOOKUP($D42,단가!$B:$E,4,0)</f>
        <v>6840</v>
      </c>
      <c r="M42" s="66">
        <f>'Medical(2)'!I6*VLOOKUP($D42,단가!$B:$E,4,0)</f>
        <v>11628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</row>
    <row r="43" spans="2:23" ht="12.75">
      <c r="B43" s="657" t="s">
        <v>145</v>
      </c>
      <c r="C43" s="590"/>
      <c r="D43" s="288">
        <v>646546</v>
      </c>
      <c r="E43" s="43"/>
      <c r="F43" s="43"/>
      <c r="G43" s="43"/>
      <c r="H43" s="66">
        <f>Medical!D8*VLOOKUP(D43,단가!$B:$E,4,0)</f>
        <v>1373.2795698924729</v>
      </c>
      <c r="I43" s="66">
        <f>Medical!E8*VLOOKUP($D43,단가!$B:$E,4,0)</f>
        <v>0</v>
      </c>
      <c r="J43" s="66">
        <f>Medical!F8*VLOOKUP($D43,단가!$B:$E,4,0)</f>
        <v>3252.666666666667</v>
      </c>
      <c r="K43" s="66">
        <f>Medical!G8*VLOOKUP($D43,단가!$B:$E,4,0)</f>
        <v>0</v>
      </c>
      <c r="L43" s="66">
        <f>Medical!H8*VLOOKUP($D43,단가!$B:$E,4,0)</f>
        <v>0</v>
      </c>
      <c r="M43" s="66">
        <f>'Medical(2)'!I7*VLOOKUP($D43,단가!$B:$E,4,0)</f>
        <v>7892.5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</row>
    <row r="44" spans="2:23" ht="12.75">
      <c r="B44" s="657" t="s">
        <v>146</v>
      </c>
      <c r="C44" s="590"/>
      <c r="D44" s="288">
        <v>646567</v>
      </c>
      <c r="E44" s="43"/>
      <c r="F44" s="43"/>
      <c r="G44" s="43"/>
      <c r="H44" s="66">
        <f>Medical!D9*VLOOKUP(D44,단가!$B:$E,4,0)</f>
        <v>3185.4193548387098</v>
      </c>
      <c r="I44" s="66">
        <f>Medical!E9*VLOOKUP($D44,단가!$B:$E,4,0)</f>
        <v>3536</v>
      </c>
      <c r="J44" s="66">
        <f>Medical!F9*VLOOKUP($D44,단가!$B:$E,4,0)</f>
        <v>0</v>
      </c>
      <c r="K44" s="66">
        <f>Medical!G9*VLOOKUP($D44,단가!$B:$E,4,0)</f>
        <v>0</v>
      </c>
      <c r="L44" s="66">
        <f>Medical!H9*VLOOKUP($D44,단가!$B:$E,4,0)</f>
        <v>0</v>
      </c>
      <c r="M44" s="66">
        <f>'Medical(2)'!I8*VLOOKUP($D44,단가!$B:$E,4,0)</f>
        <v>8268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</row>
    <row r="45" spans="2:23" ht="12.75">
      <c r="B45" s="657" t="s">
        <v>147</v>
      </c>
      <c r="C45" s="590"/>
      <c r="D45" s="288">
        <v>691217</v>
      </c>
      <c r="E45" s="43"/>
      <c r="F45" s="43"/>
      <c r="G45" s="43"/>
      <c r="H45" s="66">
        <f>Medical!D10*VLOOKUP(D45,단가!$B:$E,4,0)</f>
        <v>2050</v>
      </c>
      <c r="I45" s="66">
        <f>Medical!E10*VLOOKUP($D45,단가!$B:$E,4,0)</f>
        <v>4920</v>
      </c>
      <c r="J45" s="66">
        <f>Medical!F10*VLOOKUP($D45,단가!$B:$E,4,0)</f>
        <v>8610</v>
      </c>
      <c r="K45" s="66">
        <f>Medical!G10*VLOOKUP($D45,단가!$B:$E,4,0)</f>
        <v>0</v>
      </c>
      <c r="L45" s="66">
        <f>Medical!H10*VLOOKUP($D45,단가!$B:$E,4,0)</f>
        <v>0</v>
      </c>
      <c r="M45" s="66">
        <f>'Medical(2)'!I9*VLOOKUP($D45,단가!$B:$E,4,0)</f>
        <v>8610</v>
      </c>
      <c r="N45" s="43"/>
      <c r="O45" s="43"/>
      <c r="P45" s="43"/>
      <c r="Q45" s="43"/>
      <c r="R45" s="43"/>
      <c r="S45" s="43"/>
      <c r="T45" s="43"/>
      <c r="U45" s="43"/>
      <c r="V45" s="43"/>
      <c r="W45" s="43"/>
    </row>
    <row r="46" spans="2:23" ht="12.75">
      <c r="B46" s="657" t="s">
        <v>148</v>
      </c>
      <c r="C46" s="590"/>
      <c r="D46" s="288">
        <v>611174</v>
      </c>
      <c r="E46" s="43"/>
      <c r="F46" s="43"/>
      <c r="G46" s="43"/>
      <c r="H46" s="66">
        <f>Medical!D11*VLOOKUP(D46,단가!$B:$E,4,0)</f>
        <v>64579.19999999999</v>
      </c>
      <c r="I46" s="66">
        <f>Medical!E11*VLOOKUP($D46,단가!$B:$E,4,0)</f>
        <v>353548.79999999999</v>
      </c>
      <c r="J46" s="66">
        <f>Medical!F11*VLOOKUP($D46,단가!$B:$E,4,0)</f>
        <v>0</v>
      </c>
      <c r="K46" s="66">
        <f>Medical!G11*VLOOKUP($D46,단가!$B:$E,4,0)</f>
        <v>0</v>
      </c>
      <c r="L46" s="66">
        <f>Medical!H11*VLOOKUP($D46,단가!$B:$E,4,0)</f>
        <v>0</v>
      </c>
      <c r="M46" s="66">
        <f>'Medical(2)'!I10*VLOOKUP($D46,단가!$B:$E,4,0)</f>
        <v>0</v>
      </c>
      <c r="N46" s="43"/>
      <c r="O46" s="43"/>
      <c r="P46" s="43"/>
      <c r="Q46" s="43"/>
      <c r="R46" s="43"/>
      <c r="S46" s="43"/>
      <c r="T46" s="43"/>
      <c r="U46" s="43"/>
      <c r="V46" s="43"/>
      <c r="W46" s="43"/>
    </row>
    <row r="47" spans="2:23" ht="12.75">
      <c r="B47" s="657" t="s">
        <v>149</v>
      </c>
      <c r="C47" s="590"/>
      <c r="D47" s="288">
        <v>701775</v>
      </c>
      <c r="E47" s="43"/>
      <c r="F47" s="43"/>
      <c r="G47" s="43"/>
      <c r="H47" s="66">
        <f>Medical!D12*VLOOKUP(D47,단가!$B:$E,4,0)</f>
        <v>125549.80645161289</v>
      </c>
      <c r="I47" s="66">
        <f>Medical!E12*VLOOKUP($D47,단가!$B:$E,4,0)</f>
        <v>0</v>
      </c>
      <c r="J47" s="66">
        <f>Medical!F12*VLOOKUP($D47,단가!$B:$E,4,0)</f>
        <v>138348</v>
      </c>
      <c r="K47" s="66">
        <f>Medical!G12*VLOOKUP($D47,단가!$B:$E,4,0)</f>
        <v>79056</v>
      </c>
      <c r="L47" s="66">
        <f>Medical!H12*VLOOKUP($D47,단가!$B:$E,4,0)</f>
        <v>0</v>
      </c>
      <c r="M47" s="66">
        <f>'Medical(2)'!I11*VLOOKUP($D47,단가!$B:$E,4,0)</f>
        <v>59292</v>
      </c>
      <c r="N47" s="43"/>
      <c r="O47" s="43"/>
      <c r="P47" s="43"/>
      <c r="Q47" s="43"/>
      <c r="R47" s="43"/>
      <c r="S47" s="43"/>
      <c r="T47" s="43"/>
      <c r="U47" s="43"/>
      <c r="V47" s="43"/>
      <c r="W47" s="43"/>
    </row>
    <row r="48" spans="2:23" ht="12.75">
      <c r="B48" s="657" t="s">
        <v>150</v>
      </c>
      <c r="C48" s="590"/>
      <c r="D48" s="288">
        <v>646548</v>
      </c>
      <c r="E48" s="43"/>
      <c r="F48" s="43"/>
      <c r="G48" s="43"/>
      <c r="H48" s="66">
        <f>Medical!D13*VLOOKUP(D48,단가!$B:$E,4,0)</f>
        <v>1526.5290322580647</v>
      </c>
      <c r="I48" s="66">
        <f>Medical!E13*VLOOKUP($D48,단가!$B:$E,4,0)</f>
        <v>6675.2</v>
      </c>
      <c r="J48" s="66">
        <f>Medical!F13*VLOOKUP($D48,단가!$B:$E,4,0)</f>
        <v>0</v>
      </c>
      <c r="K48" s="66">
        <f>Medical!G13*VLOOKUP($D48,단가!$B:$E,4,0)</f>
        <v>0</v>
      </c>
      <c r="L48" s="66">
        <f>Medical!H13*VLOOKUP($D48,단가!$B:$E,4,0)</f>
        <v>2384</v>
      </c>
      <c r="M48" s="66">
        <f>'Medical(2)'!I12*VLOOKUP($D48,단가!$B:$E,4,0)</f>
        <v>5483.2</v>
      </c>
      <c r="N48" s="43"/>
      <c r="O48" s="43"/>
      <c r="P48" s="43"/>
      <c r="Q48" s="43"/>
      <c r="R48" s="43"/>
      <c r="S48" s="43"/>
      <c r="T48" s="43"/>
      <c r="U48" s="43"/>
      <c r="V48" s="43"/>
      <c r="W48" s="43"/>
    </row>
    <row r="49" spans="2:23" ht="12.75">
      <c r="B49" s="657" t="s">
        <v>151</v>
      </c>
      <c r="C49" s="590"/>
      <c r="D49" s="288">
        <v>589462</v>
      </c>
      <c r="E49" s="43"/>
      <c r="F49" s="43"/>
      <c r="G49" s="43"/>
      <c r="H49" s="66">
        <f>Medical!D14*VLOOKUP(D49,단가!$B:$E,4,0)</f>
        <v>6316.8</v>
      </c>
      <c r="I49" s="66">
        <f>Medical!E14*VLOOKUP($D49,단가!$B:$E,4,0)</f>
        <v>4300.8</v>
      </c>
      <c r="J49" s="66">
        <f>Medical!F14*VLOOKUP($D49,단가!$B:$E,4,0)</f>
        <v>0</v>
      </c>
      <c r="K49" s="66">
        <f>Medical!G14*VLOOKUP($D49,단가!$B:$E,4,0)</f>
        <v>2912.0000000000005</v>
      </c>
      <c r="L49" s="66">
        <f>Medical!H14*VLOOKUP($D49,단가!$B:$E,4,0)</f>
        <v>2688.0000000000005</v>
      </c>
      <c r="M49" s="66">
        <f>'Medical(2)'!I13*VLOOKUP($D49,단가!$B:$E,4,0)</f>
        <v>5913.6</v>
      </c>
      <c r="N49" s="43"/>
      <c r="O49" s="43"/>
      <c r="P49" s="43"/>
      <c r="Q49" s="43"/>
      <c r="R49" s="43"/>
      <c r="S49" s="43"/>
      <c r="T49" s="43"/>
      <c r="U49" s="43"/>
      <c r="V49" s="43"/>
      <c r="W49" s="43"/>
    </row>
    <row r="50" spans="2:23" ht="12.75">
      <c r="B50" s="657" t="s">
        <v>152</v>
      </c>
      <c r="C50" s="590"/>
      <c r="D50" s="288">
        <v>589466</v>
      </c>
      <c r="E50" s="43"/>
      <c r="F50" s="43"/>
      <c r="G50" s="43"/>
      <c r="H50" s="66">
        <f>Medical!D15*VLOOKUP(D50,단가!$B:$E,4,0)</f>
        <v>418.10967741935468</v>
      </c>
      <c r="I50" s="66">
        <f>Medical!E15*VLOOKUP($D50,단가!$B:$E,4,0)</f>
        <v>11862.2</v>
      </c>
      <c r="J50" s="66">
        <f>Medical!F15*VLOOKUP($D50,단가!$B:$E,4,0)</f>
        <v>0</v>
      </c>
      <c r="K50" s="66">
        <f>Medical!G15*VLOOKUP($D50,단가!$B:$E,4,0)</f>
        <v>0</v>
      </c>
      <c r="L50" s="66">
        <f>Medical!H15*VLOOKUP($D50,단가!$B:$E,4,0)</f>
        <v>8244</v>
      </c>
      <c r="M50" s="66">
        <f>'Medical(2)'!I14*VLOOKUP($D50,단가!$B:$E,4,0)</f>
        <v>15114.000000000002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</row>
    <row r="51" spans="2:23" ht="12.75">
      <c r="B51" s="657" t="s">
        <v>153</v>
      </c>
      <c r="C51" s="590"/>
      <c r="D51" s="288">
        <v>116180</v>
      </c>
      <c r="E51" s="43"/>
      <c r="F51" s="43"/>
      <c r="G51" s="43"/>
      <c r="H51" s="66">
        <f>Medical!D16*VLOOKUP(D51,단가!$B:$E,4,0)</f>
        <v>3949.6666666666665</v>
      </c>
      <c r="I51" s="66">
        <f>Medical!E16*VLOOKUP($D51,단가!$B:$E,4,0)</f>
        <v>20230</v>
      </c>
      <c r="J51" s="66">
        <f>Medical!F16*VLOOKUP($D51,단가!$B:$E,4,0)</f>
        <v>2890</v>
      </c>
      <c r="K51" s="66">
        <f>Medical!G16*VLOOKUP($D51,단가!$B:$E,4,0)</f>
        <v>2890</v>
      </c>
      <c r="L51" s="66">
        <f>Medical!H16*VLOOKUP($D51,단가!$B:$E,4,0)</f>
        <v>4335</v>
      </c>
      <c r="M51" s="66">
        <f>'Medical(2)'!I15*VLOOKUP($D51,단가!$B:$E,4,0)</f>
        <v>35402.5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</row>
    <row r="52" spans="2:23" ht="12.75">
      <c r="B52" s="657" t="s">
        <v>154</v>
      </c>
      <c r="C52" s="590"/>
      <c r="D52" s="288">
        <v>695413</v>
      </c>
      <c r="E52" s="43"/>
      <c r="F52" s="43"/>
      <c r="G52" s="43"/>
      <c r="H52" s="66">
        <f>Medical!D17*VLOOKUP(D52,단가!$B:$E,4,0)</f>
        <v>1039.7822580645161</v>
      </c>
      <c r="I52" s="66">
        <f>Medical!E17*VLOOKUP($D52,단가!$B:$E,4,0)</f>
        <v>9698.5</v>
      </c>
      <c r="J52" s="66">
        <f>Medical!F17*VLOOKUP($D52,단가!$B:$E,4,0)</f>
        <v>0</v>
      </c>
      <c r="K52" s="66">
        <f>Medical!G17*VLOOKUP($D52,단가!$B:$E,4,0)</f>
        <v>0</v>
      </c>
      <c r="L52" s="66">
        <f>Medical!H17*VLOOKUP($D52,단가!$B:$E,4,0)</f>
        <v>4890</v>
      </c>
      <c r="M52" s="66">
        <f>'Medical(2)'!I16*VLOOKUP($D52,단가!$B:$E,4,0)</f>
        <v>3912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</row>
    <row r="53" spans="2:23" ht="12.75">
      <c r="B53" s="657" t="s">
        <v>155</v>
      </c>
      <c r="C53" s="590"/>
      <c r="D53" s="288">
        <v>699883</v>
      </c>
      <c r="E53" s="43"/>
      <c r="F53" s="43"/>
      <c r="G53" s="43"/>
      <c r="H53" s="66">
        <f>Medical!D18*VLOOKUP(D53,단가!$B:$E,4,0)</f>
        <v>2039.483870967742</v>
      </c>
      <c r="I53" s="66">
        <f>Medical!E18*VLOOKUP($D53,단가!$B:$E,4,0)</f>
        <v>2408</v>
      </c>
      <c r="J53" s="66">
        <f>Medical!F18*VLOOKUP($D53,단가!$B:$E,4,0)</f>
        <v>0</v>
      </c>
      <c r="K53" s="66">
        <f>Medical!G18*VLOOKUP($D53,단가!$B:$E,4,0)</f>
        <v>0</v>
      </c>
      <c r="L53" s="66">
        <f>Medical!H18*VLOOKUP($D53,단가!$B:$E,4,0)</f>
        <v>2520</v>
      </c>
      <c r="M53" s="66">
        <f>'Medical(2)'!I17*VLOOKUP($D53,단가!$B:$E,4,0)</f>
        <v>4032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</row>
    <row r="54" spans="2:23" ht="12.75">
      <c r="B54" s="657" t="s">
        <v>156</v>
      </c>
      <c r="C54" s="590"/>
      <c r="D54" s="288">
        <v>645380</v>
      </c>
      <c r="E54" s="43"/>
      <c r="F54" s="43"/>
      <c r="G54" s="43"/>
      <c r="H54" s="66">
        <f>Medical!D19*VLOOKUP(D54,단가!$B:$E,4,0)</f>
        <v>5432.8258064516094</v>
      </c>
      <c r="I54" s="66">
        <f>Medical!E19*VLOOKUP($D54,단가!$B:$E,4,0)</f>
        <v>71843.199999999997</v>
      </c>
      <c r="J54" s="66">
        <f>Medical!F19*VLOOKUP($D54,단가!$B:$E,4,0)</f>
        <v>17971.2</v>
      </c>
      <c r="K54" s="66">
        <f>Medical!G19*VLOOKUP($D54,단가!$B:$E,4,0)</f>
        <v>0</v>
      </c>
      <c r="L54" s="66">
        <f>Medical!H19*VLOOKUP($D54,단가!$B:$E,4,0)</f>
        <v>0</v>
      </c>
      <c r="M54" s="66">
        <f>'Medical(2)'!I18*VLOOKUP($D54,단가!$B:$E,4,0)</f>
        <v>49920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</row>
    <row r="55" spans="2:23" ht="12.75">
      <c r="B55" s="657" t="s">
        <v>157</v>
      </c>
      <c r="C55" s="590"/>
      <c r="D55" s="288">
        <v>578785</v>
      </c>
      <c r="E55" s="43"/>
      <c r="F55" s="43"/>
      <c r="G55" s="43"/>
      <c r="H55" s="66">
        <f>Medical!D20*VLOOKUP(D55,단가!$B:$E,4,0)</f>
        <v>1351.8290322580649</v>
      </c>
      <c r="I55" s="66">
        <f>Medical!E20*VLOOKUP($D55,단가!$B:$E,4,0)</f>
        <v>5622.75</v>
      </c>
      <c r="J55" s="66">
        <f>Medical!F20*VLOOKUP($D55,단가!$B:$E,4,0)</f>
        <v>0</v>
      </c>
      <c r="K55" s="66">
        <f>Medical!G20*VLOOKUP($D55,단가!$B:$E,4,0)</f>
        <v>0</v>
      </c>
      <c r="L55" s="66">
        <f>Medical!H20*VLOOKUP($D55,단가!$B:$E,4,0)</f>
        <v>0</v>
      </c>
      <c r="M55" s="66">
        <f>'Medical(2)'!I19*VLOOKUP($D55,단가!$B:$E,4,0)</f>
        <v>25321.5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</row>
    <row r="56" spans="2:23" ht="12.75">
      <c r="B56" s="658" t="s">
        <v>18</v>
      </c>
      <c r="C56" s="634"/>
      <c r="D56" s="590"/>
      <c r="E56" s="294"/>
      <c r="F56" s="294"/>
      <c r="G56" s="294"/>
      <c r="H56" s="79">
        <f t="shared" ref="H56:M56" si="2">SUM(H40:H55)</f>
        <v>282329.48655913986</v>
      </c>
      <c r="I56" s="79">
        <f t="shared" si="2"/>
        <v>496325.45</v>
      </c>
      <c r="J56" s="79">
        <f t="shared" si="2"/>
        <v>180161.86666666667</v>
      </c>
      <c r="K56" s="79">
        <f t="shared" si="2"/>
        <v>93948</v>
      </c>
      <c r="L56" s="79">
        <f t="shared" si="2"/>
        <v>38201</v>
      </c>
      <c r="M56" s="79">
        <f t="shared" si="2"/>
        <v>244989.3</v>
      </c>
      <c r="N56" s="294"/>
      <c r="O56" s="294"/>
      <c r="P56" s="294"/>
      <c r="Q56" s="294"/>
      <c r="R56" s="294"/>
      <c r="S56" s="294"/>
      <c r="T56" s="294"/>
      <c r="U56" s="294"/>
      <c r="V56" s="294"/>
      <c r="W56" s="294"/>
    </row>
  </sheetData>
  <mergeCells count="28">
    <mergeCell ref="B15:B22"/>
    <mergeCell ref="B3:C3"/>
    <mergeCell ref="B4:B6"/>
    <mergeCell ref="B7:B9"/>
    <mergeCell ref="B11:D11"/>
    <mergeCell ref="B14:C14"/>
    <mergeCell ref="B46:C46"/>
    <mergeCell ref="B23:B27"/>
    <mergeCell ref="B28:B29"/>
    <mergeCell ref="B30:B33"/>
    <mergeCell ref="B34:D34"/>
    <mergeCell ref="B39:C39"/>
    <mergeCell ref="B40:C40"/>
    <mergeCell ref="B41:C41"/>
    <mergeCell ref="B42:C42"/>
    <mergeCell ref="B43:C43"/>
    <mergeCell ref="B44:C44"/>
    <mergeCell ref="B45:C45"/>
    <mergeCell ref="B53:C53"/>
    <mergeCell ref="B54:C54"/>
    <mergeCell ref="B55:C55"/>
    <mergeCell ref="B56:D56"/>
    <mergeCell ref="B47:C47"/>
    <mergeCell ref="B48:C48"/>
    <mergeCell ref="B49:C49"/>
    <mergeCell ref="B50:C50"/>
    <mergeCell ref="B51:C51"/>
    <mergeCell ref="B52:C52"/>
  </mergeCells>
  <phoneticPr fontId="6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2CC"/>
    <outlinePr summaryBelow="0" summaryRight="0"/>
  </sheetPr>
  <dimension ref="A1:K998"/>
  <sheetViews>
    <sheetView topLeftCell="A13" workbookViewId="0">
      <selection activeCell="E28" sqref="E28:E43"/>
    </sheetView>
  </sheetViews>
  <sheetFormatPr defaultColWidth="14.42578125" defaultRowHeight="15.75" customHeight="1"/>
  <cols>
    <col min="3" max="3" width="37.7109375" customWidth="1"/>
    <col min="10" max="10" width="17.7109375" customWidth="1"/>
  </cols>
  <sheetData>
    <row r="1" spans="1:11" ht="15.75" customHeight="1">
      <c r="A1" s="295" t="s">
        <v>251</v>
      </c>
      <c r="B1" s="295" t="s">
        <v>252</v>
      </c>
      <c r="C1" s="295" t="s">
        <v>41</v>
      </c>
      <c r="D1" s="295" t="s">
        <v>253</v>
      </c>
      <c r="E1" s="295" t="s">
        <v>254</v>
      </c>
      <c r="F1" s="296" t="s">
        <v>255</v>
      </c>
      <c r="G1" s="295" t="s">
        <v>253</v>
      </c>
      <c r="H1" s="295" t="s">
        <v>254</v>
      </c>
    </row>
    <row r="2" spans="1:11" ht="15.75" customHeight="1">
      <c r="A2" s="297" t="s">
        <v>256</v>
      </c>
      <c r="B2" s="298">
        <v>676366</v>
      </c>
      <c r="C2" s="298" t="s">
        <v>36</v>
      </c>
      <c r="D2" s="299">
        <v>63.18</v>
      </c>
      <c r="E2" s="300">
        <f t="shared" ref="E2:E7" si="0">D2/4</f>
        <v>15.795</v>
      </c>
      <c r="F2" s="301">
        <v>1456.78</v>
      </c>
      <c r="G2" s="302">
        <f t="shared" ref="G2:G7" si="1">D2*F2</f>
        <v>92039.360400000005</v>
      </c>
      <c r="H2" s="303">
        <f t="shared" ref="H2:H7" si="2">G2/4</f>
        <v>23009.840100000001</v>
      </c>
    </row>
    <row r="3" spans="1:11" ht="15.75" customHeight="1">
      <c r="A3" s="304" t="s">
        <v>256</v>
      </c>
      <c r="B3" s="305">
        <v>676367</v>
      </c>
      <c r="C3" s="305" t="s">
        <v>37</v>
      </c>
      <c r="D3" s="306">
        <v>63.18</v>
      </c>
      <c r="E3" s="307">
        <f t="shared" si="0"/>
        <v>15.795</v>
      </c>
      <c r="F3" s="308">
        <v>1456.78</v>
      </c>
      <c r="G3" s="309">
        <f t="shared" si="1"/>
        <v>92039.360400000005</v>
      </c>
      <c r="H3" s="310">
        <f t="shared" si="2"/>
        <v>23009.840100000001</v>
      </c>
    </row>
    <row r="4" spans="1:11" ht="15.75" customHeight="1">
      <c r="A4" s="304" t="s">
        <v>256</v>
      </c>
      <c r="B4" s="305">
        <v>676369</v>
      </c>
      <c r="C4" s="305" t="s">
        <v>38</v>
      </c>
      <c r="D4" s="306">
        <v>63.18</v>
      </c>
      <c r="E4" s="307">
        <f t="shared" si="0"/>
        <v>15.795</v>
      </c>
      <c r="F4" s="308">
        <v>1456.78</v>
      </c>
      <c r="G4" s="309">
        <f t="shared" si="1"/>
        <v>92039.360400000005</v>
      </c>
      <c r="H4" s="310">
        <f t="shared" si="2"/>
        <v>23009.840100000001</v>
      </c>
    </row>
    <row r="5" spans="1:11" ht="15.75" customHeight="1">
      <c r="A5" s="304" t="s">
        <v>256</v>
      </c>
      <c r="B5" s="305">
        <v>677211</v>
      </c>
      <c r="C5" s="305" t="s">
        <v>257</v>
      </c>
      <c r="D5" s="306">
        <v>85.32</v>
      </c>
      <c r="E5" s="307">
        <f t="shared" si="0"/>
        <v>21.33</v>
      </c>
      <c r="F5" s="308">
        <v>1456.78</v>
      </c>
      <c r="G5" s="309">
        <f t="shared" si="1"/>
        <v>124292.46959999998</v>
      </c>
      <c r="H5" s="310">
        <f t="shared" si="2"/>
        <v>31073.117399999996</v>
      </c>
    </row>
    <row r="6" spans="1:11" ht="15.75" customHeight="1">
      <c r="A6" s="304" t="s">
        <v>256</v>
      </c>
      <c r="B6" s="305">
        <v>677200</v>
      </c>
      <c r="C6" s="305" t="s">
        <v>258</v>
      </c>
      <c r="D6" s="306">
        <v>85.32</v>
      </c>
      <c r="E6" s="307">
        <f t="shared" si="0"/>
        <v>21.33</v>
      </c>
      <c r="F6" s="308">
        <v>1456.78</v>
      </c>
      <c r="G6" s="309">
        <f t="shared" si="1"/>
        <v>124292.46959999998</v>
      </c>
      <c r="H6" s="310">
        <f t="shared" si="2"/>
        <v>31073.117399999996</v>
      </c>
    </row>
    <row r="7" spans="1:11" ht="15.75" customHeight="1">
      <c r="A7" s="304" t="s">
        <v>256</v>
      </c>
      <c r="B7" s="305">
        <v>677281</v>
      </c>
      <c r="C7" s="305" t="s">
        <v>259</v>
      </c>
      <c r="D7" s="306">
        <v>85.32</v>
      </c>
      <c r="E7" s="307">
        <f t="shared" si="0"/>
        <v>21.33</v>
      </c>
      <c r="F7" s="308">
        <v>1456.78</v>
      </c>
      <c r="G7" s="309">
        <f t="shared" si="1"/>
        <v>124292.46959999998</v>
      </c>
      <c r="H7" s="310">
        <f t="shared" si="2"/>
        <v>31073.117399999996</v>
      </c>
    </row>
    <row r="8" spans="1:11" ht="15.75" customHeight="1">
      <c r="A8" s="311" t="s">
        <v>256</v>
      </c>
      <c r="B8" s="312">
        <v>560277</v>
      </c>
      <c r="C8" s="312" t="s">
        <v>260</v>
      </c>
      <c r="D8" s="313">
        <v>139.44</v>
      </c>
      <c r="E8" s="314">
        <v>11.62</v>
      </c>
      <c r="F8" s="315">
        <v>1456.78</v>
      </c>
      <c r="G8" s="316">
        <v>203133.4032</v>
      </c>
      <c r="H8" s="317">
        <v>16927.783599999999</v>
      </c>
    </row>
    <row r="9" spans="1:11" ht="15.75" customHeight="1">
      <c r="A9" s="318" t="s">
        <v>261</v>
      </c>
      <c r="B9" s="319">
        <v>673676</v>
      </c>
      <c r="C9" s="319" t="s">
        <v>127</v>
      </c>
      <c r="D9" s="320">
        <f t="shared" ref="D9:D12" si="3">E9*6</f>
        <v>88.38</v>
      </c>
      <c r="E9" s="321">
        <v>14.73</v>
      </c>
      <c r="F9" s="322">
        <v>1456.78</v>
      </c>
      <c r="G9" s="323">
        <f t="shared" ref="G9:G43" si="4">D9*F9</f>
        <v>128750.21639999999</v>
      </c>
      <c r="H9" s="324">
        <f t="shared" ref="H9:H12" si="5">G9/6</f>
        <v>21458.3694</v>
      </c>
      <c r="I9" s="325"/>
      <c r="J9" s="325"/>
      <c r="K9" s="325"/>
    </row>
    <row r="10" spans="1:11" ht="15.75" customHeight="1">
      <c r="A10" s="326" t="s">
        <v>261</v>
      </c>
      <c r="B10" s="327">
        <v>673674</v>
      </c>
      <c r="C10" s="327" t="s">
        <v>117</v>
      </c>
      <c r="D10" s="328">
        <f t="shared" si="3"/>
        <v>88.38</v>
      </c>
      <c r="E10" s="329">
        <v>14.73</v>
      </c>
      <c r="F10" s="330">
        <v>1456.78</v>
      </c>
      <c r="G10" s="331">
        <f t="shared" si="4"/>
        <v>128750.21639999999</v>
      </c>
      <c r="H10" s="332">
        <f t="shared" si="5"/>
        <v>21458.3694</v>
      </c>
      <c r="I10" s="325"/>
      <c r="J10" s="325"/>
      <c r="K10" s="325"/>
    </row>
    <row r="11" spans="1:11" ht="15.75" customHeight="1">
      <c r="A11" s="326" t="s">
        <v>261</v>
      </c>
      <c r="B11" s="327">
        <v>673672</v>
      </c>
      <c r="C11" s="327" t="s">
        <v>119</v>
      </c>
      <c r="D11" s="328">
        <f t="shared" si="3"/>
        <v>88.38</v>
      </c>
      <c r="E11" s="329">
        <v>14.73</v>
      </c>
      <c r="F11" s="330">
        <v>1456.78</v>
      </c>
      <c r="G11" s="331">
        <f t="shared" si="4"/>
        <v>128750.21639999999</v>
      </c>
      <c r="H11" s="332">
        <f t="shared" si="5"/>
        <v>21458.3694</v>
      </c>
      <c r="I11" s="325"/>
      <c r="J11" s="325"/>
      <c r="K11" s="325"/>
    </row>
    <row r="12" spans="1:11" ht="15.75" customHeight="1">
      <c r="A12" s="326" t="s">
        <v>261</v>
      </c>
      <c r="B12" s="327">
        <v>673641</v>
      </c>
      <c r="C12" s="327" t="s">
        <v>118</v>
      </c>
      <c r="D12" s="328">
        <f t="shared" si="3"/>
        <v>88.38</v>
      </c>
      <c r="E12" s="329">
        <v>14.73</v>
      </c>
      <c r="F12" s="330">
        <v>1456.78</v>
      </c>
      <c r="G12" s="331">
        <f t="shared" si="4"/>
        <v>128750.21639999999</v>
      </c>
      <c r="H12" s="332">
        <f t="shared" si="5"/>
        <v>21458.3694</v>
      </c>
      <c r="I12" s="325"/>
      <c r="J12" s="325"/>
      <c r="K12" s="325"/>
    </row>
    <row r="13" spans="1:11" ht="15.75" customHeight="1">
      <c r="A13" s="326" t="s">
        <v>261</v>
      </c>
      <c r="B13" s="327">
        <v>677044</v>
      </c>
      <c r="C13" s="327" t="s">
        <v>262</v>
      </c>
      <c r="D13" s="333">
        <f t="shared" ref="D13:D15" si="6">E13*4</f>
        <v>79.52</v>
      </c>
      <c r="E13" s="329">
        <v>19.88</v>
      </c>
      <c r="F13" s="330">
        <v>1456.78</v>
      </c>
      <c r="G13" s="331">
        <f t="shared" si="4"/>
        <v>115843.14559999999</v>
      </c>
      <c r="H13" s="332">
        <f t="shared" ref="H13:H15" si="7">G13/4</f>
        <v>28960.786399999997</v>
      </c>
      <c r="I13" s="325"/>
      <c r="J13" s="325"/>
      <c r="K13" s="325"/>
    </row>
    <row r="14" spans="1:11" ht="15.75" customHeight="1">
      <c r="A14" s="326" t="s">
        <v>261</v>
      </c>
      <c r="B14" s="327">
        <v>677045</v>
      </c>
      <c r="C14" s="327" t="s">
        <v>263</v>
      </c>
      <c r="D14" s="333">
        <f t="shared" si="6"/>
        <v>79.52</v>
      </c>
      <c r="E14" s="329">
        <v>19.88</v>
      </c>
      <c r="F14" s="330">
        <v>1456.78</v>
      </c>
      <c r="G14" s="331">
        <f t="shared" si="4"/>
        <v>115843.14559999999</v>
      </c>
      <c r="H14" s="332">
        <f t="shared" si="7"/>
        <v>28960.786399999997</v>
      </c>
      <c r="I14" s="325"/>
      <c r="J14" s="325"/>
      <c r="K14" s="325"/>
    </row>
    <row r="15" spans="1:11" ht="15.75" customHeight="1">
      <c r="A15" s="326" t="s">
        <v>261</v>
      </c>
      <c r="B15" s="327">
        <v>677047</v>
      </c>
      <c r="C15" s="334" t="s">
        <v>264</v>
      </c>
      <c r="D15" s="333">
        <f t="shared" si="6"/>
        <v>79.52</v>
      </c>
      <c r="E15" s="329">
        <v>19.88</v>
      </c>
      <c r="F15" s="330">
        <v>1456.78</v>
      </c>
      <c r="G15" s="331">
        <f t="shared" si="4"/>
        <v>115843.14559999999</v>
      </c>
      <c r="H15" s="332">
        <f t="shared" si="7"/>
        <v>28960.786399999997</v>
      </c>
      <c r="I15" s="325"/>
      <c r="J15" s="325"/>
      <c r="K15" s="325"/>
    </row>
    <row r="16" spans="1:11" ht="15.75" customHeight="1">
      <c r="A16" s="326" t="s">
        <v>261</v>
      </c>
      <c r="B16" s="327">
        <v>653156</v>
      </c>
      <c r="C16" s="334" t="s">
        <v>120</v>
      </c>
      <c r="D16" s="329">
        <f t="shared" ref="D16:D17" si="8">E16*24</f>
        <v>207.36</v>
      </c>
      <c r="E16" s="329">
        <v>8.64</v>
      </c>
      <c r="F16" s="330">
        <v>1456.78</v>
      </c>
      <c r="G16" s="331">
        <f t="shared" si="4"/>
        <v>302077.9008</v>
      </c>
      <c r="H16" s="332">
        <f t="shared" ref="H16:H17" si="9">G16/24</f>
        <v>12586.5792</v>
      </c>
      <c r="I16" s="325"/>
      <c r="J16" s="325"/>
      <c r="K16" s="325"/>
    </row>
    <row r="17" spans="1:11" ht="15.75" customHeight="1">
      <c r="A17" s="326" t="s">
        <v>261</v>
      </c>
      <c r="B17" s="327">
        <v>653299</v>
      </c>
      <c r="C17" s="334" t="s">
        <v>122</v>
      </c>
      <c r="D17" s="329">
        <f t="shared" si="8"/>
        <v>207.36</v>
      </c>
      <c r="E17" s="329">
        <v>8.64</v>
      </c>
      <c r="F17" s="330">
        <v>1456.78</v>
      </c>
      <c r="G17" s="331">
        <f t="shared" si="4"/>
        <v>302077.9008</v>
      </c>
      <c r="H17" s="332">
        <f t="shared" si="9"/>
        <v>12586.5792</v>
      </c>
      <c r="I17" s="325"/>
      <c r="J17" s="325"/>
      <c r="K17" s="325"/>
    </row>
    <row r="18" spans="1:11" ht="15.75" customHeight="1">
      <c r="A18" s="326" t="s">
        <v>261</v>
      </c>
      <c r="B18" s="327">
        <v>698408</v>
      </c>
      <c r="C18" s="334" t="s">
        <v>121</v>
      </c>
      <c r="D18" s="335">
        <f t="shared" ref="D18:D19" si="10">E18*4</f>
        <v>79.52</v>
      </c>
      <c r="E18" s="329">
        <v>19.88</v>
      </c>
      <c r="F18" s="330">
        <v>1456.78</v>
      </c>
      <c r="G18" s="331">
        <f t="shared" si="4"/>
        <v>115843.14559999999</v>
      </c>
      <c r="H18" s="332">
        <f t="shared" ref="H18:H19" si="11">G18/4</f>
        <v>28960.786399999997</v>
      </c>
      <c r="I18" s="325"/>
      <c r="J18" s="325"/>
      <c r="K18" s="325"/>
    </row>
    <row r="19" spans="1:11" ht="15.75" customHeight="1">
      <c r="A19" s="326" t="s">
        <v>261</v>
      </c>
      <c r="B19" s="327">
        <v>698409</v>
      </c>
      <c r="C19" s="334" t="s">
        <v>125</v>
      </c>
      <c r="D19" s="335">
        <f t="shared" si="10"/>
        <v>79.52</v>
      </c>
      <c r="E19" s="329">
        <v>19.88</v>
      </c>
      <c r="F19" s="330">
        <v>1456.78</v>
      </c>
      <c r="G19" s="331">
        <f t="shared" si="4"/>
        <v>115843.14559999999</v>
      </c>
      <c r="H19" s="332">
        <f t="shared" si="11"/>
        <v>28960.786399999997</v>
      </c>
      <c r="I19" s="325"/>
      <c r="J19" s="325"/>
      <c r="K19" s="325"/>
    </row>
    <row r="20" spans="1:11" ht="15.75" customHeight="1">
      <c r="A20" s="326" t="s">
        <v>261</v>
      </c>
      <c r="B20" s="327">
        <v>703819</v>
      </c>
      <c r="C20" s="336" t="s">
        <v>123</v>
      </c>
      <c r="D20" s="329">
        <f>E20*3</f>
        <v>59.64</v>
      </c>
      <c r="E20" s="329">
        <v>19.88</v>
      </c>
      <c r="F20" s="330">
        <v>1456.78</v>
      </c>
      <c r="G20" s="331">
        <f t="shared" si="4"/>
        <v>86882.359200000006</v>
      </c>
      <c r="H20" s="332">
        <f t="shared" ref="H20:H43" si="12">E20*F20</f>
        <v>28960.786399999997</v>
      </c>
      <c r="I20" s="325"/>
      <c r="J20" s="325"/>
      <c r="K20" s="325"/>
    </row>
    <row r="21" spans="1:11" ht="15.75" customHeight="1">
      <c r="A21" s="326" t="s">
        <v>261</v>
      </c>
      <c r="B21" s="327">
        <v>704052</v>
      </c>
      <c r="C21" s="336" t="s">
        <v>128</v>
      </c>
      <c r="D21" s="329">
        <f>E21*4</f>
        <v>58.92</v>
      </c>
      <c r="E21" s="329">
        <v>14.73</v>
      </c>
      <c r="F21" s="330">
        <v>1456.78</v>
      </c>
      <c r="G21" s="331">
        <f t="shared" si="4"/>
        <v>85833.477599999998</v>
      </c>
      <c r="H21" s="332">
        <f t="shared" si="12"/>
        <v>21458.3694</v>
      </c>
      <c r="I21" s="325"/>
      <c r="J21" s="325"/>
      <c r="K21" s="325"/>
    </row>
    <row r="22" spans="1:11" ht="15.75" customHeight="1">
      <c r="A22" s="326" t="s">
        <v>261</v>
      </c>
      <c r="B22" s="327">
        <v>703818</v>
      </c>
      <c r="C22" s="336" t="s">
        <v>124</v>
      </c>
      <c r="D22" s="329">
        <f>E22*3</f>
        <v>59.64</v>
      </c>
      <c r="E22" s="329">
        <v>19.88</v>
      </c>
      <c r="F22" s="330">
        <v>1456.78</v>
      </c>
      <c r="G22" s="331">
        <f t="shared" si="4"/>
        <v>86882.359200000006</v>
      </c>
      <c r="H22" s="332">
        <f t="shared" si="12"/>
        <v>28960.786399999997</v>
      </c>
      <c r="I22" s="325"/>
      <c r="J22" s="325"/>
      <c r="K22" s="325"/>
    </row>
    <row r="23" spans="1:11" ht="15.75" customHeight="1">
      <c r="A23" s="326" t="s">
        <v>261</v>
      </c>
      <c r="B23" s="327">
        <v>704054</v>
      </c>
      <c r="C23" s="336" t="s">
        <v>129</v>
      </c>
      <c r="D23" s="329">
        <f>E23*4</f>
        <v>58.92</v>
      </c>
      <c r="E23" s="329">
        <v>14.73</v>
      </c>
      <c r="F23" s="330">
        <v>1456.78</v>
      </c>
      <c r="G23" s="331">
        <f t="shared" si="4"/>
        <v>85833.477599999998</v>
      </c>
      <c r="H23" s="332">
        <f t="shared" si="12"/>
        <v>21458.3694</v>
      </c>
      <c r="I23" s="325"/>
      <c r="J23" s="325"/>
      <c r="K23" s="325"/>
    </row>
    <row r="24" spans="1:11" ht="15.75" customHeight="1">
      <c r="A24" s="326" t="s">
        <v>261</v>
      </c>
      <c r="B24" s="327">
        <v>663243</v>
      </c>
      <c r="C24" s="336" t="s">
        <v>131</v>
      </c>
      <c r="D24" s="337"/>
      <c r="E24" s="329"/>
      <c r="F24" s="330">
        <v>1456.78</v>
      </c>
      <c r="G24" s="331">
        <f t="shared" si="4"/>
        <v>0</v>
      </c>
      <c r="H24" s="332">
        <f t="shared" si="12"/>
        <v>0</v>
      </c>
      <c r="I24" s="325"/>
      <c r="J24" s="325"/>
      <c r="K24" s="325"/>
    </row>
    <row r="25" spans="1:11" ht="15.75" customHeight="1">
      <c r="A25" s="326" t="s">
        <v>261</v>
      </c>
      <c r="B25" s="327">
        <v>672129</v>
      </c>
      <c r="C25" s="336" t="s">
        <v>132</v>
      </c>
      <c r="D25" s="337"/>
      <c r="E25" s="329"/>
      <c r="F25" s="330">
        <v>1456.78</v>
      </c>
      <c r="G25" s="331">
        <f t="shared" si="4"/>
        <v>0</v>
      </c>
      <c r="H25" s="332">
        <f t="shared" si="12"/>
        <v>0</v>
      </c>
      <c r="I25" s="325"/>
      <c r="J25" s="325"/>
      <c r="K25" s="325"/>
    </row>
    <row r="26" spans="1:11" ht="15.75" customHeight="1">
      <c r="A26" s="326" t="s">
        <v>261</v>
      </c>
      <c r="B26" s="327">
        <v>672127</v>
      </c>
      <c r="C26" s="336" t="s">
        <v>133</v>
      </c>
      <c r="D26" s="337"/>
      <c r="E26" s="329"/>
      <c r="F26" s="330">
        <v>1456.78</v>
      </c>
      <c r="G26" s="331">
        <f t="shared" si="4"/>
        <v>0</v>
      </c>
      <c r="H26" s="332">
        <f t="shared" si="12"/>
        <v>0</v>
      </c>
      <c r="I26" s="325"/>
      <c r="J26" s="325"/>
      <c r="K26" s="325"/>
    </row>
    <row r="27" spans="1:11" ht="15.75" customHeight="1">
      <c r="A27" s="338" t="s">
        <v>261</v>
      </c>
      <c r="B27" s="339">
        <v>671574</v>
      </c>
      <c r="C27" s="340" t="s">
        <v>134</v>
      </c>
      <c r="D27" s="341"/>
      <c r="E27" s="342"/>
      <c r="F27" s="343">
        <v>1456.78</v>
      </c>
      <c r="G27" s="344">
        <f t="shared" si="4"/>
        <v>0</v>
      </c>
      <c r="H27" s="345">
        <f t="shared" si="12"/>
        <v>0</v>
      </c>
      <c r="I27" s="325"/>
      <c r="J27" s="325"/>
      <c r="K27" s="325"/>
    </row>
    <row r="28" spans="1:11" ht="15.75" customHeight="1">
      <c r="A28" s="346" t="s">
        <v>265</v>
      </c>
      <c r="B28" s="347">
        <v>117547</v>
      </c>
      <c r="C28" s="348" t="s">
        <v>142</v>
      </c>
      <c r="D28" s="349">
        <v>105</v>
      </c>
      <c r="E28" s="349">
        <v>17.5</v>
      </c>
      <c r="F28" s="350">
        <v>1456.78</v>
      </c>
      <c r="G28" s="351">
        <f t="shared" si="4"/>
        <v>152961.9</v>
      </c>
      <c r="H28" s="351">
        <f t="shared" si="12"/>
        <v>25493.649999999998</v>
      </c>
      <c r="I28" s="325"/>
      <c r="J28" s="325"/>
      <c r="K28" s="325"/>
    </row>
    <row r="29" spans="1:11" ht="15.75" customHeight="1">
      <c r="A29" s="346" t="s">
        <v>265</v>
      </c>
      <c r="B29" s="347">
        <v>552897</v>
      </c>
      <c r="C29" s="348" t="s">
        <v>143</v>
      </c>
      <c r="D29" s="349">
        <v>76.5</v>
      </c>
      <c r="E29" s="349">
        <v>7.65</v>
      </c>
      <c r="F29" s="350">
        <v>1456.78</v>
      </c>
      <c r="G29" s="351">
        <f t="shared" si="4"/>
        <v>111443.67</v>
      </c>
      <c r="H29" s="351">
        <f t="shared" si="12"/>
        <v>11144.367</v>
      </c>
      <c r="I29" s="325"/>
      <c r="J29" s="325"/>
      <c r="K29" s="325"/>
    </row>
    <row r="30" spans="1:11" ht="15.75" customHeight="1">
      <c r="A30" s="346" t="s">
        <v>265</v>
      </c>
      <c r="B30" s="347">
        <v>117771</v>
      </c>
      <c r="C30" s="348" t="s">
        <v>144</v>
      </c>
      <c r="D30" s="349">
        <v>171</v>
      </c>
      <c r="E30" s="349">
        <v>57</v>
      </c>
      <c r="F30" s="350">
        <v>1456.78</v>
      </c>
      <c r="G30" s="351">
        <f t="shared" si="4"/>
        <v>249109.38</v>
      </c>
      <c r="H30" s="351">
        <f t="shared" si="12"/>
        <v>83036.459999999992</v>
      </c>
      <c r="I30" s="325"/>
      <c r="J30" s="325"/>
      <c r="K30" s="325"/>
    </row>
    <row r="31" spans="1:11" ht="15.75" customHeight="1">
      <c r="A31" s="346" t="s">
        <v>265</v>
      </c>
      <c r="B31" s="347">
        <v>646546</v>
      </c>
      <c r="C31" s="348" t="s">
        <v>145</v>
      </c>
      <c r="D31" s="349">
        <v>143.5</v>
      </c>
      <c r="E31" s="349">
        <v>47.833333333333336</v>
      </c>
      <c r="F31" s="350">
        <v>1456.78</v>
      </c>
      <c r="G31" s="351">
        <f t="shared" si="4"/>
        <v>209047.93</v>
      </c>
      <c r="H31" s="351">
        <f t="shared" si="12"/>
        <v>69682.643333333341</v>
      </c>
      <c r="I31" s="325"/>
      <c r="J31" s="325"/>
      <c r="K31" s="325"/>
    </row>
    <row r="32" spans="1:11" ht="15.75" customHeight="1">
      <c r="A32" s="346" t="s">
        <v>265</v>
      </c>
      <c r="B32" s="347">
        <v>646567</v>
      </c>
      <c r="C32" s="348" t="s">
        <v>146</v>
      </c>
      <c r="D32" s="349">
        <v>156</v>
      </c>
      <c r="E32" s="349">
        <v>52</v>
      </c>
      <c r="F32" s="350">
        <v>1456.78</v>
      </c>
      <c r="G32" s="351">
        <f t="shared" si="4"/>
        <v>227257.68</v>
      </c>
      <c r="H32" s="351">
        <f t="shared" si="12"/>
        <v>75752.56</v>
      </c>
      <c r="I32" s="325"/>
      <c r="J32" s="325"/>
      <c r="K32" s="325"/>
    </row>
    <row r="33" spans="1:11" ht="15.75" customHeight="1">
      <c r="A33" s="346" t="s">
        <v>265</v>
      </c>
      <c r="B33" s="347">
        <v>691217</v>
      </c>
      <c r="C33" s="348" t="s">
        <v>147</v>
      </c>
      <c r="D33" s="349">
        <v>1230</v>
      </c>
      <c r="E33" s="349">
        <v>102.5</v>
      </c>
      <c r="F33" s="350">
        <v>1456.78</v>
      </c>
      <c r="G33" s="351">
        <f t="shared" si="4"/>
        <v>1791839.4</v>
      </c>
      <c r="H33" s="351">
        <f t="shared" si="12"/>
        <v>149319.95000000001</v>
      </c>
      <c r="I33" s="325"/>
      <c r="J33" s="325"/>
      <c r="K33" s="325"/>
    </row>
    <row r="34" spans="1:11" ht="15.75" customHeight="1">
      <c r="A34" s="346" t="s">
        <v>265</v>
      </c>
      <c r="B34" s="347">
        <v>611174</v>
      </c>
      <c r="C34" s="348" t="s">
        <v>148</v>
      </c>
      <c r="D34" s="349">
        <v>223.2</v>
      </c>
      <c r="E34" s="349">
        <v>18.599999999999998</v>
      </c>
      <c r="F34" s="350">
        <v>1456.78</v>
      </c>
      <c r="G34" s="351">
        <f t="shared" si="4"/>
        <v>325153.29599999997</v>
      </c>
      <c r="H34" s="351">
        <f t="shared" si="12"/>
        <v>27096.107999999997</v>
      </c>
      <c r="I34" s="325"/>
      <c r="J34" s="325"/>
      <c r="K34" s="325"/>
    </row>
    <row r="35" spans="1:11" ht="15.75" customHeight="1">
      <c r="A35" s="346" t="s">
        <v>265</v>
      </c>
      <c r="B35" s="347">
        <v>701775</v>
      </c>
      <c r="C35" s="348" t="s">
        <v>149</v>
      </c>
      <c r="D35" s="349">
        <v>183</v>
      </c>
      <c r="E35" s="349">
        <v>30.5</v>
      </c>
      <c r="F35" s="350">
        <v>1456.78</v>
      </c>
      <c r="G35" s="351">
        <f t="shared" si="4"/>
        <v>266590.74</v>
      </c>
      <c r="H35" s="351">
        <f t="shared" si="12"/>
        <v>44431.79</v>
      </c>
      <c r="I35" s="325"/>
      <c r="J35" s="325"/>
      <c r="K35" s="325"/>
    </row>
    <row r="36" spans="1:11" ht="15.75" customHeight="1">
      <c r="A36" s="346" t="s">
        <v>265</v>
      </c>
      <c r="B36" s="347">
        <v>646548</v>
      </c>
      <c r="C36" s="348" t="s">
        <v>150</v>
      </c>
      <c r="D36" s="349">
        <v>119.2</v>
      </c>
      <c r="E36" s="349">
        <v>39.733333333333334</v>
      </c>
      <c r="F36" s="350">
        <v>1456.78</v>
      </c>
      <c r="G36" s="351">
        <f t="shared" si="4"/>
        <v>173648.17600000001</v>
      </c>
      <c r="H36" s="351">
        <f t="shared" si="12"/>
        <v>57882.725333333336</v>
      </c>
      <c r="I36" s="325"/>
      <c r="J36" s="325"/>
      <c r="K36" s="325"/>
    </row>
    <row r="37" spans="1:11" ht="13.5">
      <c r="A37" s="346" t="s">
        <v>265</v>
      </c>
      <c r="B37" s="347">
        <v>589462</v>
      </c>
      <c r="C37" s="348" t="s">
        <v>151</v>
      </c>
      <c r="D37" s="349">
        <v>268.8</v>
      </c>
      <c r="E37" s="349">
        <v>44.800000000000004</v>
      </c>
      <c r="F37" s="350">
        <v>1456.78</v>
      </c>
      <c r="G37" s="351">
        <f t="shared" si="4"/>
        <v>391582.46400000004</v>
      </c>
      <c r="H37" s="351">
        <f t="shared" si="12"/>
        <v>65263.744000000006</v>
      </c>
      <c r="I37" s="325"/>
      <c r="J37" s="325"/>
      <c r="K37" s="325"/>
    </row>
    <row r="38" spans="1:11" ht="13.5">
      <c r="A38" s="346" t="s">
        <v>265</v>
      </c>
      <c r="B38" s="347">
        <v>589466</v>
      </c>
      <c r="C38" s="348" t="s">
        <v>152</v>
      </c>
      <c r="D38" s="349">
        <v>274.8</v>
      </c>
      <c r="E38" s="349">
        <v>45.800000000000004</v>
      </c>
      <c r="F38" s="350">
        <v>1456.78</v>
      </c>
      <c r="G38" s="351">
        <f t="shared" si="4"/>
        <v>400323.14400000003</v>
      </c>
      <c r="H38" s="351">
        <f t="shared" si="12"/>
        <v>66720.524000000005</v>
      </c>
      <c r="I38" s="325"/>
      <c r="J38" s="325"/>
      <c r="K38" s="325"/>
    </row>
    <row r="39" spans="1:11" ht="13.5">
      <c r="A39" s="346" t="s">
        <v>265</v>
      </c>
      <c r="B39" s="347">
        <v>116180</v>
      </c>
      <c r="C39" s="348" t="s">
        <v>153</v>
      </c>
      <c r="D39" s="349">
        <v>144.5</v>
      </c>
      <c r="E39" s="349">
        <v>48.166666666666664</v>
      </c>
      <c r="F39" s="350">
        <v>1456.78</v>
      </c>
      <c r="G39" s="351">
        <f t="shared" si="4"/>
        <v>210504.71</v>
      </c>
      <c r="H39" s="351">
        <f t="shared" si="12"/>
        <v>70168.236666666664</v>
      </c>
      <c r="I39" s="325"/>
      <c r="J39" s="325"/>
      <c r="K39" s="325"/>
    </row>
    <row r="40" spans="1:11" ht="13.5">
      <c r="A40" s="346" t="s">
        <v>265</v>
      </c>
      <c r="B40" s="347">
        <v>695413</v>
      </c>
      <c r="C40" s="348" t="s">
        <v>154</v>
      </c>
      <c r="D40" s="349">
        <v>244.5</v>
      </c>
      <c r="E40" s="349">
        <v>40.75</v>
      </c>
      <c r="F40" s="350">
        <v>1456.78</v>
      </c>
      <c r="G40" s="351">
        <f t="shared" si="4"/>
        <v>356182.71</v>
      </c>
      <c r="H40" s="351">
        <f t="shared" si="12"/>
        <v>59363.784999999996</v>
      </c>
      <c r="I40" s="325"/>
      <c r="J40" s="325"/>
      <c r="K40" s="325"/>
    </row>
    <row r="41" spans="1:11" ht="13.5">
      <c r="A41" s="346" t="s">
        <v>265</v>
      </c>
      <c r="B41" s="347">
        <v>699883</v>
      </c>
      <c r="C41" s="348" t="s">
        <v>155</v>
      </c>
      <c r="D41" s="349">
        <v>168</v>
      </c>
      <c r="E41" s="349">
        <v>28</v>
      </c>
      <c r="F41" s="350">
        <v>1456.78</v>
      </c>
      <c r="G41" s="351">
        <f t="shared" si="4"/>
        <v>244739.04</v>
      </c>
      <c r="H41" s="351">
        <f t="shared" si="12"/>
        <v>40789.839999999997</v>
      </c>
      <c r="I41" s="325"/>
      <c r="J41" s="325"/>
      <c r="K41" s="325"/>
    </row>
    <row r="42" spans="1:11" ht="13.5">
      <c r="A42" s="346" t="s">
        <v>265</v>
      </c>
      <c r="B42" s="347">
        <v>645380</v>
      </c>
      <c r="C42" s="348" t="s">
        <v>156</v>
      </c>
      <c r="D42" s="349">
        <v>249.60000000000002</v>
      </c>
      <c r="E42" s="349">
        <v>20.8</v>
      </c>
      <c r="F42" s="350">
        <v>1456.78</v>
      </c>
      <c r="G42" s="351">
        <f t="shared" si="4"/>
        <v>363612.288</v>
      </c>
      <c r="H42" s="351">
        <f t="shared" si="12"/>
        <v>30301.024000000001</v>
      </c>
      <c r="I42" s="325"/>
      <c r="J42" s="325"/>
      <c r="K42" s="325"/>
    </row>
    <row r="43" spans="1:11" ht="13.5">
      <c r="A43" s="346" t="s">
        <v>265</v>
      </c>
      <c r="B43" s="347">
        <v>578785</v>
      </c>
      <c r="C43" s="348" t="s">
        <v>157</v>
      </c>
      <c r="D43" s="349">
        <v>76.5</v>
      </c>
      <c r="E43" s="349">
        <v>7.65</v>
      </c>
      <c r="F43" s="350">
        <v>1456.78</v>
      </c>
      <c r="G43" s="351">
        <f t="shared" si="4"/>
        <v>111443.67</v>
      </c>
      <c r="H43" s="351">
        <f t="shared" si="12"/>
        <v>11144.367</v>
      </c>
      <c r="I43" s="325"/>
      <c r="J43" s="325"/>
      <c r="K43" s="325"/>
    </row>
    <row r="44" spans="1:11" ht="12.75">
      <c r="I44" s="325"/>
      <c r="J44" s="325"/>
      <c r="K44" s="325"/>
    </row>
    <row r="45" spans="1:11" ht="12.75">
      <c r="I45" s="325"/>
      <c r="J45" s="325"/>
      <c r="K45" s="325"/>
    </row>
    <row r="46" spans="1:11" ht="12.75">
      <c r="I46" s="325"/>
      <c r="J46" s="325"/>
      <c r="K46" s="325"/>
    </row>
    <row r="47" spans="1:11" ht="12.75">
      <c r="I47" s="325"/>
      <c r="J47" s="325"/>
      <c r="K47" s="325"/>
    </row>
    <row r="48" spans="1:11" ht="12.75">
      <c r="I48" s="325"/>
      <c r="J48" s="325"/>
      <c r="K48" s="325"/>
    </row>
    <row r="49" spans="9:11" ht="12.75">
      <c r="I49" s="325"/>
      <c r="J49" s="325"/>
      <c r="K49" s="325"/>
    </row>
    <row r="50" spans="9:11" ht="12.75">
      <c r="I50" s="325"/>
      <c r="J50" s="325"/>
      <c r="K50" s="325"/>
    </row>
    <row r="51" spans="9:11" ht="12.75">
      <c r="I51" s="325"/>
      <c r="J51" s="325"/>
      <c r="K51" s="325"/>
    </row>
    <row r="52" spans="9:11" ht="12.75">
      <c r="I52" s="325"/>
      <c r="J52" s="325"/>
      <c r="K52" s="325"/>
    </row>
    <row r="53" spans="9:11" ht="12.75">
      <c r="I53" s="325"/>
      <c r="J53" s="325"/>
      <c r="K53" s="325"/>
    </row>
    <row r="54" spans="9:11" ht="12.75">
      <c r="I54" s="325"/>
      <c r="J54" s="325"/>
      <c r="K54" s="325"/>
    </row>
    <row r="55" spans="9:11" ht="12.75">
      <c r="I55" s="325"/>
      <c r="J55" s="325"/>
      <c r="K55" s="325"/>
    </row>
    <row r="56" spans="9:11" ht="12.75">
      <c r="I56" s="325"/>
      <c r="J56" s="325"/>
      <c r="K56" s="325"/>
    </row>
    <row r="57" spans="9:11" ht="12.75">
      <c r="I57" s="325"/>
      <c r="J57" s="325"/>
      <c r="K57" s="325"/>
    </row>
    <row r="58" spans="9:11" ht="12.75">
      <c r="I58" s="325"/>
      <c r="J58" s="325"/>
      <c r="K58" s="325"/>
    </row>
    <row r="59" spans="9:11" ht="12.75">
      <c r="I59" s="325"/>
      <c r="J59" s="325"/>
      <c r="K59" s="325"/>
    </row>
    <row r="60" spans="9:11" ht="12.75">
      <c r="I60" s="325"/>
      <c r="J60" s="325"/>
      <c r="K60" s="325"/>
    </row>
    <row r="61" spans="9:11" ht="12.75">
      <c r="I61" s="325"/>
      <c r="J61" s="325"/>
      <c r="K61" s="325"/>
    </row>
    <row r="62" spans="9:11" ht="12.75">
      <c r="I62" s="325"/>
      <c r="J62" s="325"/>
      <c r="K62" s="325"/>
    </row>
    <row r="63" spans="9:11" ht="12.75">
      <c r="I63" s="325"/>
      <c r="J63" s="325"/>
      <c r="K63" s="325"/>
    </row>
    <row r="64" spans="9:11" ht="12.75">
      <c r="I64" s="325"/>
      <c r="J64" s="325"/>
      <c r="K64" s="325"/>
    </row>
    <row r="65" spans="9:11" ht="12.75">
      <c r="I65" s="325"/>
      <c r="J65" s="325"/>
      <c r="K65" s="325"/>
    </row>
    <row r="66" spans="9:11" ht="12.75">
      <c r="I66" s="325"/>
      <c r="J66" s="325"/>
      <c r="K66" s="325"/>
    </row>
    <row r="67" spans="9:11" ht="12.75">
      <c r="I67" s="325"/>
      <c r="J67" s="325"/>
      <c r="K67" s="325"/>
    </row>
    <row r="68" spans="9:11" ht="12.75">
      <c r="I68" s="325"/>
      <c r="J68" s="325"/>
      <c r="K68" s="325"/>
    </row>
    <row r="69" spans="9:11" ht="12.75">
      <c r="I69" s="325"/>
      <c r="J69" s="325"/>
      <c r="K69" s="325"/>
    </row>
    <row r="70" spans="9:11" ht="12.75">
      <c r="I70" s="325"/>
      <c r="J70" s="325"/>
      <c r="K70" s="325"/>
    </row>
    <row r="71" spans="9:11" ht="12.75">
      <c r="I71" s="325"/>
      <c r="J71" s="325"/>
      <c r="K71" s="325"/>
    </row>
    <row r="72" spans="9:11" ht="12.75">
      <c r="I72" s="325"/>
      <c r="J72" s="325"/>
      <c r="K72" s="325"/>
    </row>
    <row r="73" spans="9:11" ht="12.75">
      <c r="I73" s="325"/>
      <c r="J73" s="325"/>
      <c r="K73" s="325"/>
    </row>
    <row r="74" spans="9:11" ht="12.75">
      <c r="I74" s="325"/>
      <c r="J74" s="325"/>
      <c r="K74" s="325"/>
    </row>
    <row r="75" spans="9:11" ht="12.75">
      <c r="I75" s="325"/>
      <c r="J75" s="325"/>
      <c r="K75" s="325"/>
    </row>
    <row r="76" spans="9:11" ht="12.75">
      <c r="I76" s="325"/>
      <c r="J76" s="325"/>
      <c r="K76" s="325"/>
    </row>
    <row r="77" spans="9:11" ht="12.75">
      <c r="I77" s="325"/>
      <c r="J77" s="325"/>
      <c r="K77" s="325"/>
    </row>
    <row r="78" spans="9:11" ht="12.75">
      <c r="I78" s="325"/>
      <c r="J78" s="325"/>
      <c r="K78" s="325"/>
    </row>
    <row r="79" spans="9:11" ht="12.75">
      <c r="I79" s="325"/>
      <c r="J79" s="325"/>
      <c r="K79" s="325"/>
    </row>
    <row r="80" spans="9:11" ht="12.75">
      <c r="I80" s="325"/>
      <c r="J80" s="325"/>
      <c r="K80" s="325"/>
    </row>
    <row r="81" spans="9:11" ht="12.75">
      <c r="I81" s="325"/>
      <c r="J81" s="325"/>
      <c r="K81" s="325"/>
    </row>
    <row r="82" spans="9:11" ht="12.75">
      <c r="I82" s="325"/>
      <c r="J82" s="325"/>
      <c r="K82" s="325"/>
    </row>
    <row r="83" spans="9:11" ht="12.75">
      <c r="I83" s="325"/>
      <c r="J83" s="325"/>
      <c r="K83" s="325"/>
    </row>
    <row r="84" spans="9:11" ht="12.75">
      <c r="I84" s="325"/>
      <c r="J84" s="325"/>
      <c r="K84" s="325"/>
    </row>
    <row r="85" spans="9:11" ht="12.75">
      <c r="I85" s="325"/>
      <c r="J85" s="325"/>
      <c r="K85" s="325"/>
    </row>
    <row r="86" spans="9:11" ht="12.75">
      <c r="I86" s="325"/>
      <c r="J86" s="325"/>
      <c r="K86" s="325"/>
    </row>
    <row r="87" spans="9:11" ht="12.75">
      <c r="I87" s="325"/>
      <c r="J87" s="325"/>
      <c r="K87" s="325"/>
    </row>
    <row r="88" spans="9:11" ht="12.75">
      <c r="I88" s="325"/>
      <c r="J88" s="325"/>
      <c r="K88" s="325"/>
    </row>
    <row r="89" spans="9:11" ht="12.75">
      <c r="I89" s="325"/>
      <c r="J89" s="325"/>
      <c r="K89" s="325"/>
    </row>
    <row r="90" spans="9:11" ht="12.75">
      <c r="I90" s="325"/>
      <c r="J90" s="325"/>
      <c r="K90" s="325"/>
    </row>
    <row r="91" spans="9:11" ht="12.75">
      <c r="I91" s="325"/>
      <c r="J91" s="325"/>
      <c r="K91" s="325"/>
    </row>
    <row r="92" spans="9:11" ht="12.75">
      <c r="I92" s="325"/>
      <c r="J92" s="325"/>
      <c r="K92" s="325"/>
    </row>
    <row r="93" spans="9:11" ht="12.75">
      <c r="I93" s="325"/>
      <c r="J93" s="325"/>
      <c r="K93" s="325"/>
    </row>
    <row r="94" spans="9:11" ht="12.75">
      <c r="I94" s="325"/>
      <c r="J94" s="325"/>
      <c r="K94" s="325"/>
    </row>
    <row r="95" spans="9:11" ht="12.75">
      <c r="I95" s="325"/>
      <c r="J95" s="325"/>
      <c r="K95" s="325"/>
    </row>
    <row r="96" spans="9:11" ht="12.75">
      <c r="I96" s="325"/>
      <c r="J96" s="325"/>
      <c r="K96" s="325"/>
    </row>
    <row r="97" spans="9:11" ht="12.75">
      <c r="I97" s="325"/>
      <c r="J97" s="325"/>
      <c r="K97" s="325"/>
    </row>
    <row r="98" spans="9:11" ht="12.75">
      <c r="I98" s="325"/>
      <c r="J98" s="325"/>
      <c r="K98" s="325"/>
    </row>
    <row r="99" spans="9:11" ht="12.75">
      <c r="I99" s="325"/>
      <c r="J99" s="325"/>
      <c r="K99" s="325"/>
    </row>
    <row r="100" spans="9:11" ht="12.75">
      <c r="I100" s="325"/>
      <c r="J100" s="325"/>
      <c r="K100" s="325"/>
    </row>
    <row r="101" spans="9:11" ht="12.75">
      <c r="I101" s="325"/>
      <c r="J101" s="325"/>
      <c r="K101" s="325"/>
    </row>
    <row r="102" spans="9:11" ht="12.75">
      <c r="I102" s="325"/>
      <c r="J102" s="325"/>
      <c r="K102" s="325"/>
    </row>
    <row r="103" spans="9:11" ht="12.75">
      <c r="I103" s="325"/>
      <c r="J103" s="325"/>
      <c r="K103" s="325"/>
    </row>
    <row r="104" spans="9:11" ht="12.75">
      <c r="I104" s="325"/>
      <c r="J104" s="325"/>
      <c r="K104" s="325"/>
    </row>
    <row r="105" spans="9:11" ht="12.75">
      <c r="I105" s="325"/>
      <c r="J105" s="325"/>
      <c r="K105" s="325"/>
    </row>
    <row r="106" spans="9:11" ht="12.75">
      <c r="I106" s="325"/>
      <c r="J106" s="325"/>
      <c r="K106" s="325"/>
    </row>
    <row r="107" spans="9:11" ht="12.75">
      <c r="I107" s="325"/>
      <c r="J107" s="325"/>
      <c r="K107" s="325"/>
    </row>
    <row r="108" spans="9:11" ht="12.75">
      <c r="I108" s="325"/>
      <c r="J108" s="325"/>
      <c r="K108" s="325"/>
    </row>
    <row r="109" spans="9:11" ht="12.75">
      <c r="I109" s="325"/>
      <c r="J109" s="325"/>
      <c r="K109" s="325"/>
    </row>
    <row r="110" spans="9:11" ht="12.75">
      <c r="I110" s="325"/>
      <c r="J110" s="325"/>
      <c r="K110" s="325"/>
    </row>
    <row r="111" spans="9:11" ht="12.75">
      <c r="I111" s="325"/>
      <c r="J111" s="325"/>
      <c r="K111" s="325"/>
    </row>
    <row r="112" spans="9:11" ht="12.75">
      <c r="I112" s="325"/>
      <c r="J112" s="325"/>
      <c r="K112" s="325"/>
    </row>
    <row r="113" spans="9:11" ht="12.75">
      <c r="I113" s="325"/>
      <c r="J113" s="325"/>
      <c r="K113" s="325"/>
    </row>
    <row r="114" spans="9:11" ht="12.75">
      <c r="I114" s="325"/>
      <c r="J114" s="325"/>
      <c r="K114" s="325"/>
    </row>
    <row r="115" spans="9:11" ht="12.75">
      <c r="I115" s="325"/>
      <c r="J115" s="325"/>
      <c r="K115" s="325"/>
    </row>
    <row r="116" spans="9:11" ht="12.75">
      <c r="I116" s="325"/>
      <c r="J116" s="325"/>
      <c r="K116" s="325"/>
    </row>
    <row r="117" spans="9:11" ht="12.75">
      <c r="I117" s="325"/>
      <c r="J117" s="325"/>
      <c r="K117" s="325"/>
    </row>
    <row r="118" spans="9:11" ht="12.75">
      <c r="I118" s="325"/>
      <c r="J118" s="325"/>
      <c r="K118" s="325"/>
    </row>
    <row r="119" spans="9:11" ht="12.75">
      <c r="I119" s="325"/>
      <c r="J119" s="325"/>
      <c r="K119" s="325"/>
    </row>
    <row r="120" spans="9:11" ht="12.75">
      <c r="I120" s="325"/>
      <c r="J120" s="325"/>
      <c r="K120" s="325"/>
    </row>
    <row r="121" spans="9:11" ht="12.75">
      <c r="I121" s="325"/>
      <c r="J121" s="325"/>
      <c r="K121" s="325"/>
    </row>
    <row r="122" spans="9:11" ht="12.75">
      <c r="I122" s="325"/>
      <c r="J122" s="325"/>
      <c r="K122" s="325"/>
    </row>
    <row r="123" spans="9:11" ht="12.75">
      <c r="I123" s="325"/>
      <c r="J123" s="325"/>
      <c r="K123" s="325"/>
    </row>
    <row r="124" spans="9:11" ht="12.75">
      <c r="I124" s="325"/>
      <c r="J124" s="325"/>
      <c r="K124" s="325"/>
    </row>
    <row r="125" spans="9:11" ht="12.75">
      <c r="I125" s="325"/>
      <c r="J125" s="325"/>
      <c r="K125" s="325"/>
    </row>
    <row r="126" spans="9:11" ht="12.75">
      <c r="I126" s="325"/>
      <c r="J126" s="325"/>
      <c r="K126" s="325"/>
    </row>
    <row r="127" spans="9:11" ht="12.75">
      <c r="I127" s="325"/>
      <c r="J127" s="325"/>
      <c r="K127" s="325"/>
    </row>
    <row r="128" spans="9:11" ht="12.75">
      <c r="I128" s="325"/>
      <c r="J128" s="325"/>
      <c r="K128" s="325"/>
    </row>
    <row r="129" spans="9:11" ht="12.75">
      <c r="I129" s="325"/>
      <c r="J129" s="325"/>
      <c r="K129" s="325"/>
    </row>
    <row r="130" spans="9:11" ht="12.75">
      <c r="I130" s="325"/>
      <c r="J130" s="325"/>
      <c r="K130" s="325"/>
    </row>
    <row r="131" spans="9:11" ht="12.75">
      <c r="I131" s="325"/>
      <c r="J131" s="325"/>
      <c r="K131" s="325"/>
    </row>
    <row r="132" spans="9:11" ht="12.75">
      <c r="I132" s="325"/>
      <c r="J132" s="325"/>
      <c r="K132" s="325"/>
    </row>
    <row r="133" spans="9:11" ht="12.75">
      <c r="I133" s="325"/>
      <c r="J133" s="325"/>
      <c r="K133" s="325"/>
    </row>
    <row r="134" spans="9:11" ht="12.75">
      <c r="I134" s="325"/>
      <c r="J134" s="325"/>
      <c r="K134" s="325"/>
    </row>
    <row r="135" spans="9:11" ht="12.75">
      <c r="I135" s="325"/>
      <c r="J135" s="325"/>
      <c r="K135" s="325"/>
    </row>
    <row r="136" spans="9:11" ht="12.75">
      <c r="I136" s="325"/>
      <c r="J136" s="325"/>
      <c r="K136" s="325"/>
    </row>
    <row r="137" spans="9:11" ht="12.75">
      <c r="I137" s="325"/>
      <c r="J137" s="325"/>
      <c r="K137" s="325"/>
    </row>
    <row r="138" spans="9:11" ht="12.75">
      <c r="I138" s="325"/>
      <c r="J138" s="325"/>
      <c r="K138" s="325"/>
    </row>
    <row r="139" spans="9:11" ht="12.75">
      <c r="I139" s="325"/>
      <c r="J139" s="325"/>
      <c r="K139" s="325"/>
    </row>
    <row r="140" spans="9:11" ht="12.75">
      <c r="I140" s="325"/>
      <c r="J140" s="325"/>
      <c r="K140" s="325"/>
    </row>
    <row r="141" spans="9:11" ht="12.75">
      <c r="I141" s="325"/>
      <c r="J141" s="325"/>
      <c r="K141" s="325"/>
    </row>
    <row r="142" spans="9:11" ht="12.75">
      <c r="I142" s="325"/>
      <c r="J142" s="325"/>
      <c r="K142" s="325"/>
    </row>
    <row r="143" spans="9:11" ht="12.75">
      <c r="I143" s="325"/>
      <c r="J143" s="325"/>
      <c r="K143" s="325"/>
    </row>
    <row r="144" spans="9:11" ht="12.75">
      <c r="I144" s="325"/>
      <c r="J144" s="325"/>
      <c r="K144" s="325"/>
    </row>
    <row r="145" spans="9:11" ht="12.75">
      <c r="I145" s="325"/>
      <c r="J145" s="325"/>
      <c r="K145" s="325"/>
    </row>
    <row r="146" spans="9:11" ht="12.75">
      <c r="I146" s="325"/>
      <c r="J146" s="325"/>
      <c r="K146" s="325"/>
    </row>
    <row r="147" spans="9:11" ht="12.75">
      <c r="I147" s="325"/>
      <c r="J147" s="325"/>
      <c r="K147" s="325"/>
    </row>
    <row r="148" spans="9:11" ht="12.75">
      <c r="I148" s="325"/>
      <c r="J148" s="325"/>
      <c r="K148" s="325"/>
    </row>
    <row r="149" spans="9:11" ht="12.75">
      <c r="I149" s="325"/>
      <c r="J149" s="325"/>
      <c r="K149" s="325"/>
    </row>
    <row r="150" spans="9:11" ht="12.75">
      <c r="I150" s="325"/>
      <c r="J150" s="325"/>
      <c r="K150" s="325"/>
    </row>
    <row r="151" spans="9:11" ht="12.75">
      <c r="I151" s="325"/>
      <c r="J151" s="325"/>
      <c r="K151" s="325"/>
    </row>
    <row r="152" spans="9:11" ht="12.75">
      <c r="I152" s="325"/>
      <c r="J152" s="325"/>
      <c r="K152" s="325"/>
    </row>
    <row r="153" spans="9:11" ht="12.75">
      <c r="I153" s="325"/>
      <c r="J153" s="325"/>
      <c r="K153" s="325"/>
    </row>
    <row r="154" spans="9:11" ht="12.75">
      <c r="I154" s="325"/>
      <c r="J154" s="325"/>
      <c r="K154" s="325"/>
    </row>
    <row r="155" spans="9:11" ht="12.75">
      <c r="I155" s="325"/>
      <c r="J155" s="325"/>
      <c r="K155" s="325"/>
    </row>
    <row r="156" spans="9:11" ht="12.75">
      <c r="I156" s="325"/>
      <c r="J156" s="325"/>
      <c r="K156" s="325"/>
    </row>
    <row r="157" spans="9:11" ht="12.75">
      <c r="I157" s="325"/>
      <c r="J157" s="325"/>
      <c r="K157" s="325"/>
    </row>
    <row r="158" spans="9:11" ht="12.75">
      <c r="I158" s="325"/>
      <c r="J158" s="325"/>
      <c r="K158" s="325"/>
    </row>
    <row r="159" spans="9:11" ht="12.75">
      <c r="I159" s="325"/>
      <c r="J159" s="325"/>
      <c r="K159" s="325"/>
    </row>
    <row r="160" spans="9:11" ht="12.75">
      <c r="I160" s="325"/>
      <c r="J160" s="325"/>
      <c r="K160" s="325"/>
    </row>
    <row r="161" spans="9:11" ht="12.75">
      <c r="I161" s="325"/>
      <c r="J161" s="325"/>
      <c r="K161" s="325"/>
    </row>
    <row r="162" spans="9:11" ht="12.75">
      <c r="I162" s="325"/>
      <c r="J162" s="325"/>
      <c r="K162" s="325"/>
    </row>
    <row r="163" spans="9:11" ht="12.75">
      <c r="I163" s="325"/>
      <c r="J163" s="325"/>
      <c r="K163" s="325"/>
    </row>
    <row r="164" spans="9:11" ht="12.75">
      <c r="I164" s="325"/>
      <c r="J164" s="325"/>
      <c r="K164" s="325"/>
    </row>
    <row r="165" spans="9:11" ht="12.75">
      <c r="I165" s="325"/>
      <c r="J165" s="325"/>
      <c r="K165" s="325"/>
    </row>
    <row r="166" spans="9:11" ht="12.75">
      <c r="I166" s="325"/>
      <c r="J166" s="325"/>
      <c r="K166" s="325"/>
    </row>
    <row r="167" spans="9:11" ht="12.75">
      <c r="I167" s="325"/>
      <c r="J167" s="325"/>
      <c r="K167" s="325"/>
    </row>
    <row r="168" spans="9:11" ht="12.75">
      <c r="I168" s="325"/>
      <c r="J168" s="325"/>
      <c r="K168" s="325"/>
    </row>
    <row r="169" spans="9:11" ht="12.75">
      <c r="I169" s="325"/>
      <c r="J169" s="325"/>
      <c r="K169" s="325"/>
    </row>
    <row r="170" spans="9:11" ht="12.75">
      <c r="I170" s="325"/>
      <c r="J170" s="325"/>
      <c r="K170" s="325"/>
    </row>
    <row r="171" spans="9:11" ht="12.75">
      <c r="I171" s="325"/>
      <c r="J171" s="325"/>
      <c r="K171" s="325"/>
    </row>
    <row r="172" spans="9:11" ht="12.75">
      <c r="I172" s="325"/>
      <c r="J172" s="325"/>
      <c r="K172" s="325"/>
    </row>
    <row r="173" spans="9:11" ht="12.75">
      <c r="I173" s="325"/>
      <c r="J173" s="325"/>
      <c r="K173" s="325"/>
    </row>
    <row r="174" spans="9:11" ht="12.75">
      <c r="I174" s="325"/>
      <c r="J174" s="325"/>
      <c r="K174" s="325"/>
    </row>
    <row r="175" spans="9:11" ht="12.75">
      <c r="I175" s="325"/>
      <c r="J175" s="325"/>
      <c r="K175" s="325"/>
    </row>
    <row r="176" spans="9:11" ht="12.75">
      <c r="I176" s="325"/>
      <c r="J176" s="325"/>
      <c r="K176" s="325"/>
    </row>
    <row r="177" spans="9:11" ht="12.75">
      <c r="I177" s="325"/>
      <c r="J177" s="325"/>
      <c r="K177" s="325"/>
    </row>
    <row r="178" spans="9:11" ht="12.75">
      <c r="I178" s="325"/>
      <c r="J178" s="325"/>
      <c r="K178" s="325"/>
    </row>
    <row r="179" spans="9:11" ht="12.75">
      <c r="I179" s="325"/>
      <c r="J179" s="325"/>
      <c r="K179" s="325"/>
    </row>
    <row r="180" spans="9:11" ht="12.75">
      <c r="I180" s="325"/>
      <c r="J180" s="325"/>
      <c r="K180" s="325"/>
    </row>
    <row r="181" spans="9:11" ht="12.75">
      <c r="I181" s="325"/>
      <c r="J181" s="325"/>
      <c r="K181" s="325"/>
    </row>
    <row r="182" spans="9:11" ht="12.75">
      <c r="I182" s="325"/>
      <c r="J182" s="325"/>
      <c r="K182" s="325"/>
    </row>
    <row r="183" spans="9:11" ht="12.75">
      <c r="I183" s="325"/>
      <c r="J183" s="325"/>
      <c r="K183" s="325"/>
    </row>
    <row r="184" spans="9:11" ht="12.75">
      <c r="I184" s="325"/>
      <c r="J184" s="325"/>
      <c r="K184" s="325"/>
    </row>
    <row r="185" spans="9:11" ht="12.75">
      <c r="I185" s="325"/>
      <c r="J185" s="325"/>
      <c r="K185" s="325"/>
    </row>
    <row r="186" spans="9:11" ht="12.75">
      <c r="I186" s="325"/>
      <c r="J186" s="325"/>
      <c r="K186" s="325"/>
    </row>
    <row r="187" spans="9:11" ht="12.75">
      <c r="I187" s="325"/>
      <c r="J187" s="325"/>
      <c r="K187" s="325"/>
    </row>
    <row r="188" spans="9:11" ht="12.75">
      <c r="I188" s="325"/>
      <c r="J188" s="325"/>
      <c r="K188" s="325"/>
    </row>
    <row r="189" spans="9:11" ht="12.75">
      <c r="I189" s="325"/>
      <c r="J189" s="325"/>
      <c r="K189" s="325"/>
    </row>
    <row r="190" spans="9:11" ht="12.75">
      <c r="I190" s="325"/>
      <c r="J190" s="325"/>
      <c r="K190" s="325"/>
    </row>
    <row r="191" spans="9:11" ht="12.75">
      <c r="I191" s="325"/>
      <c r="J191" s="325"/>
      <c r="K191" s="325"/>
    </row>
    <row r="192" spans="9:11" ht="12.75">
      <c r="I192" s="325"/>
      <c r="J192" s="325"/>
      <c r="K192" s="325"/>
    </row>
    <row r="193" spans="9:11" ht="12.75">
      <c r="I193" s="325"/>
      <c r="J193" s="325"/>
      <c r="K193" s="325"/>
    </row>
    <row r="194" spans="9:11" ht="12.75">
      <c r="I194" s="325"/>
      <c r="J194" s="325"/>
      <c r="K194" s="325"/>
    </row>
    <row r="195" spans="9:11" ht="12.75">
      <c r="I195" s="325"/>
      <c r="J195" s="325"/>
      <c r="K195" s="325"/>
    </row>
    <row r="196" spans="9:11" ht="12.75">
      <c r="I196" s="325"/>
      <c r="J196" s="325"/>
      <c r="K196" s="325"/>
    </row>
    <row r="197" spans="9:11" ht="12.75">
      <c r="I197" s="325"/>
      <c r="J197" s="325"/>
      <c r="K197" s="325"/>
    </row>
    <row r="198" spans="9:11" ht="12.75">
      <c r="I198" s="325"/>
      <c r="J198" s="325"/>
      <c r="K198" s="325"/>
    </row>
    <row r="199" spans="9:11" ht="12.75">
      <c r="I199" s="325"/>
      <c r="J199" s="325"/>
      <c r="K199" s="325"/>
    </row>
    <row r="200" spans="9:11" ht="12.75">
      <c r="I200" s="325"/>
      <c r="J200" s="325"/>
      <c r="K200" s="325"/>
    </row>
    <row r="201" spans="9:11" ht="12.75">
      <c r="I201" s="325"/>
      <c r="J201" s="325"/>
      <c r="K201" s="325"/>
    </row>
    <row r="202" spans="9:11" ht="12.75">
      <c r="I202" s="325"/>
      <c r="J202" s="325"/>
      <c r="K202" s="325"/>
    </row>
    <row r="203" spans="9:11" ht="12.75">
      <c r="I203" s="325"/>
      <c r="J203" s="325"/>
      <c r="K203" s="325"/>
    </row>
    <row r="204" spans="9:11" ht="12.75">
      <c r="I204" s="325"/>
      <c r="J204" s="325"/>
      <c r="K204" s="325"/>
    </row>
    <row r="205" spans="9:11" ht="12.75">
      <c r="I205" s="325"/>
      <c r="J205" s="325"/>
      <c r="K205" s="325"/>
    </row>
    <row r="206" spans="9:11" ht="12.75">
      <c r="I206" s="325"/>
      <c r="J206" s="325"/>
      <c r="K206" s="325"/>
    </row>
    <row r="207" spans="9:11" ht="12.75">
      <c r="I207" s="325"/>
      <c r="J207" s="325"/>
      <c r="K207" s="325"/>
    </row>
    <row r="208" spans="9:11" ht="12.75">
      <c r="I208" s="325"/>
      <c r="J208" s="325"/>
      <c r="K208" s="325"/>
    </row>
    <row r="209" spans="9:11" ht="12.75">
      <c r="I209" s="325"/>
      <c r="J209" s="325"/>
      <c r="K209" s="325"/>
    </row>
    <row r="210" spans="9:11" ht="12.75">
      <c r="I210" s="325"/>
      <c r="J210" s="325"/>
      <c r="K210" s="325"/>
    </row>
    <row r="211" spans="9:11" ht="12.75">
      <c r="I211" s="325"/>
      <c r="J211" s="325"/>
      <c r="K211" s="325"/>
    </row>
    <row r="212" spans="9:11" ht="12.75">
      <c r="I212" s="325"/>
      <c r="J212" s="325"/>
      <c r="K212" s="325"/>
    </row>
    <row r="213" spans="9:11" ht="12.75">
      <c r="I213" s="325"/>
      <c r="J213" s="325"/>
      <c r="K213" s="325"/>
    </row>
    <row r="214" spans="9:11" ht="12.75">
      <c r="I214" s="325"/>
      <c r="J214" s="325"/>
      <c r="K214" s="325"/>
    </row>
    <row r="215" spans="9:11" ht="12.75">
      <c r="I215" s="325"/>
      <c r="J215" s="325"/>
      <c r="K215" s="325"/>
    </row>
    <row r="216" spans="9:11" ht="12.75">
      <c r="I216" s="325"/>
      <c r="J216" s="325"/>
      <c r="K216" s="325"/>
    </row>
    <row r="217" spans="9:11" ht="12.75">
      <c r="I217" s="325"/>
      <c r="J217" s="325"/>
      <c r="K217" s="325"/>
    </row>
    <row r="218" spans="9:11" ht="12.75">
      <c r="I218" s="325"/>
      <c r="J218" s="325"/>
      <c r="K218" s="325"/>
    </row>
    <row r="219" spans="9:11" ht="12.75">
      <c r="I219" s="325"/>
      <c r="J219" s="325"/>
      <c r="K219" s="325"/>
    </row>
    <row r="220" spans="9:11" ht="12.75">
      <c r="I220" s="325"/>
      <c r="J220" s="325"/>
      <c r="K220" s="325"/>
    </row>
    <row r="221" spans="9:11" ht="12.75">
      <c r="I221" s="325"/>
      <c r="J221" s="325"/>
      <c r="K221" s="325"/>
    </row>
    <row r="222" spans="9:11" ht="12.75">
      <c r="I222" s="325"/>
      <c r="J222" s="325"/>
      <c r="K222" s="325"/>
    </row>
    <row r="223" spans="9:11" ht="12.75">
      <c r="I223" s="325"/>
      <c r="J223" s="325"/>
      <c r="K223" s="325"/>
    </row>
    <row r="224" spans="9:11" ht="12.75">
      <c r="I224" s="325"/>
      <c r="J224" s="325"/>
      <c r="K224" s="325"/>
    </row>
    <row r="225" spans="9:11" ht="12.75">
      <c r="I225" s="325"/>
      <c r="J225" s="325"/>
      <c r="K225" s="325"/>
    </row>
    <row r="226" spans="9:11" ht="12.75">
      <c r="I226" s="325"/>
      <c r="J226" s="325"/>
      <c r="K226" s="325"/>
    </row>
    <row r="227" spans="9:11" ht="12.75">
      <c r="I227" s="325"/>
      <c r="J227" s="325"/>
      <c r="K227" s="325"/>
    </row>
    <row r="228" spans="9:11" ht="12.75">
      <c r="I228" s="325"/>
      <c r="J228" s="325"/>
      <c r="K228" s="325"/>
    </row>
    <row r="229" spans="9:11" ht="12.75">
      <c r="I229" s="325"/>
      <c r="J229" s="325"/>
      <c r="K229" s="325"/>
    </row>
    <row r="230" spans="9:11" ht="12.75">
      <c r="I230" s="325"/>
      <c r="J230" s="325"/>
      <c r="K230" s="325"/>
    </row>
    <row r="231" spans="9:11" ht="12.75">
      <c r="I231" s="325"/>
      <c r="J231" s="325"/>
      <c r="K231" s="325"/>
    </row>
    <row r="232" spans="9:11" ht="12.75">
      <c r="I232" s="325"/>
      <c r="J232" s="325"/>
      <c r="K232" s="325"/>
    </row>
    <row r="233" spans="9:11" ht="12.75">
      <c r="I233" s="325"/>
      <c r="J233" s="325"/>
      <c r="K233" s="325"/>
    </row>
    <row r="234" spans="9:11" ht="12.75">
      <c r="I234" s="325"/>
      <c r="J234" s="325"/>
      <c r="K234" s="325"/>
    </row>
    <row r="235" spans="9:11" ht="12.75">
      <c r="I235" s="325"/>
      <c r="J235" s="325"/>
      <c r="K235" s="325"/>
    </row>
    <row r="236" spans="9:11" ht="12.75">
      <c r="I236" s="325"/>
      <c r="J236" s="325"/>
      <c r="K236" s="325"/>
    </row>
    <row r="237" spans="9:11" ht="12.75">
      <c r="I237" s="325"/>
      <c r="J237" s="325"/>
      <c r="K237" s="325"/>
    </row>
    <row r="238" spans="9:11" ht="12.75">
      <c r="I238" s="325"/>
      <c r="J238" s="325"/>
      <c r="K238" s="325"/>
    </row>
    <row r="239" spans="9:11" ht="12.75">
      <c r="I239" s="325"/>
      <c r="J239" s="325"/>
      <c r="K239" s="325"/>
    </row>
    <row r="240" spans="9:11" ht="12.75">
      <c r="I240" s="325"/>
      <c r="J240" s="325"/>
      <c r="K240" s="325"/>
    </row>
    <row r="241" spans="9:11" ht="12.75">
      <c r="I241" s="325"/>
      <c r="J241" s="325"/>
      <c r="K241" s="325"/>
    </row>
    <row r="242" spans="9:11" ht="12.75">
      <c r="I242" s="325"/>
      <c r="J242" s="325"/>
      <c r="K242" s="325"/>
    </row>
    <row r="243" spans="9:11" ht="12.75">
      <c r="I243" s="325"/>
      <c r="J243" s="325"/>
      <c r="K243" s="325"/>
    </row>
    <row r="244" spans="9:11" ht="12.75">
      <c r="I244" s="325"/>
      <c r="J244" s="325"/>
      <c r="K244" s="325"/>
    </row>
    <row r="245" spans="9:11" ht="12.75">
      <c r="I245" s="325"/>
      <c r="J245" s="325"/>
      <c r="K245" s="325"/>
    </row>
    <row r="246" spans="9:11" ht="12.75">
      <c r="I246" s="325"/>
      <c r="J246" s="325"/>
      <c r="K246" s="325"/>
    </row>
    <row r="247" spans="9:11" ht="12.75">
      <c r="I247" s="325"/>
      <c r="J247" s="325"/>
      <c r="K247" s="325"/>
    </row>
    <row r="248" spans="9:11" ht="12.75">
      <c r="I248" s="325"/>
      <c r="J248" s="325"/>
      <c r="K248" s="325"/>
    </row>
    <row r="249" spans="9:11" ht="12.75">
      <c r="I249" s="325"/>
      <c r="J249" s="325"/>
      <c r="K249" s="325"/>
    </row>
    <row r="250" spans="9:11" ht="12.75">
      <c r="I250" s="325"/>
      <c r="J250" s="325"/>
      <c r="K250" s="325"/>
    </row>
    <row r="251" spans="9:11" ht="12.75">
      <c r="I251" s="325"/>
      <c r="J251" s="325"/>
      <c r="K251" s="325"/>
    </row>
    <row r="252" spans="9:11" ht="12.75">
      <c r="I252" s="325"/>
      <c r="J252" s="325"/>
      <c r="K252" s="325"/>
    </row>
    <row r="253" spans="9:11" ht="12.75">
      <c r="I253" s="325"/>
      <c r="J253" s="325"/>
      <c r="K253" s="325"/>
    </row>
    <row r="254" spans="9:11" ht="12.75">
      <c r="I254" s="325"/>
      <c r="J254" s="325"/>
      <c r="K254" s="325"/>
    </row>
    <row r="255" spans="9:11" ht="12.75">
      <c r="I255" s="325"/>
      <c r="J255" s="325"/>
      <c r="K255" s="325"/>
    </row>
    <row r="256" spans="9:11" ht="12.75">
      <c r="I256" s="325"/>
      <c r="J256" s="325"/>
      <c r="K256" s="325"/>
    </row>
    <row r="257" spans="9:11" ht="12.75">
      <c r="I257" s="325"/>
      <c r="J257" s="325"/>
      <c r="K257" s="325"/>
    </row>
    <row r="258" spans="9:11" ht="12.75">
      <c r="I258" s="325"/>
      <c r="J258" s="325"/>
      <c r="K258" s="325"/>
    </row>
    <row r="259" spans="9:11" ht="12.75">
      <c r="I259" s="325"/>
      <c r="J259" s="325"/>
      <c r="K259" s="325"/>
    </row>
    <row r="260" spans="9:11" ht="12.75">
      <c r="I260" s="325"/>
      <c r="J260" s="325"/>
      <c r="K260" s="325"/>
    </row>
    <row r="261" spans="9:11" ht="12.75">
      <c r="I261" s="325"/>
      <c r="J261" s="325"/>
      <c r="K261" s="325"/>
    </row>
    <row r="262" spans="9:11" ht="12.75">
      <c r="I262" s="325"/>
      <c r="J262" s="325"/>
      <c r="K262" s="325"/>
    </row>
    <row r="263" spans="9:11" ht="12.75">
      <c r="I263" s="325"/>
      <c r="J263" s="325"/>
      <c r="K263" s="325"/>
    </row>
    <row r="264" spans="9:11" ht="12.75">
      <c r="I264" s="325"/>
      <c r="J264" s="325"/>
      <c r="K264" s="325"/>
    </row>
    <row r="265" spans="9:11" ht="12.75">
      <c r="I265" s="325"/>
      <c r="J265" s="325"/>
      <c r="K265" s="325"/>
    </row>
    <row r="266" spans="9:11" ht="12.75">
      <c r="I266" s="325"/>
      <c r="J266" s="325"/>
      <c r="K266" s="325"/>
    </row>
    <row r="267" spans="9:11" ht="12.75">
      <c r="I267" s="325"/>
      <c r="J267" s="325"/>
      <c r="K267" s="325"/>
    </row>
    <row r="268" spans="9:11" ht="12.75">
      <c r="I268" s="325"/>
      <c r="J268" s="325"/>
      <c r="K268" s="325"/>
    </row>
    <row r="269" spans="9:11" ht="12.75">
      <c r="I269" s="325"/>
      <c r="J269" s="325"/>
      <c r="K269" s="325"/>
    </row>
    <row r="270" spans="9:11" ht="12.75">
      <c r="I270" s="325"/>
      <c r="J270" s="325"/>
      <c r="K270" s="325"/>
    </row>
    <row r="271" spans="9:11" ht="12.75">
      <c r="I271" s="325"/>
      <c r="J271" s="325"/>
      <c r="K271" s="325"/>
    </row>
    <row r="272" spans="9:11" ht="12.75">
      <c r="I272" s="325"/>
      <c r="J272" s="325"/>
      <c r="K272" s="325"/>
    </row>
    <row r="273" spans="9:11" ht="12.75">
      <c r="I273" s="325"/>
      <c r="J273" s="325"/>
      <c r="K273" s="325"/>
    </row>
    <row r="274" spans="9:11" ht="12.75">
      <c r="I274" s="325"/>
      <c r="J274" s="325"/>
      <c r="K274" s="325"/>
    </row>
    <row r="275" spans="9:11" ht="12.75">
      <c r="I275" s="325"/>
      <c r="J275" s="325"/>
      <c r="K275" s="325"/>
    </row>
    <row r="276" spans="9:11" ht="12.75">
      <c r="I276" s="325"/>
      <c r="J276" s="325"/>
      <c r="K276" s="325"/>
    </row>
    <row r="277" spans="9:11" ht="12.75">
      <c r="I277" s="325"/>
      <c r="J277" s="325"/>
      <c r="K277" s="325"/>
    </row>
    <row r="278" spans="9:11" ht="12.75">
      <c r="I278" s="325"/>
      <c r="J278" s="325"/>
      <c r="K278" s="325"/>
    </row>
    <row r="279" spans="9:11" ht="12.75">
      <c r="I279" s="325"/>
      <c r="J279" s="325"/>
      <c r="K279" s="325"/>
    </row>
    <row r="280" spans="9:11" ht="12.75">
      <c r="I280" s="325"/>
      <c r="J280" s="325"/>
      <c r="K280" s="325"/>
    </row>
    <row r="281" spans="9:11" ht="12.75">
      <c r="I281" s="325"/>
      <c r="J281" s="325"/>
      <c r="K281" s="325"/>
    </row>
    <row r="282" spans="9:11" ht="12.75">
      <c r="I282" s="325"/>
      <c r="J282" s="325"/>
      <c r="K282" s="325"/>
    </row>
    <row r="283" spans="9:11" ht="12.75">
      <c r="I283" s="325"/>
      <c r="J283" s="325"/>
      <c r="K283" s="325"/>
    </row>
    <row r="284" spans="9:11" ht="12.75">
      <c r="I284" s="325"/>
      <c r="J284" s="325"/>
      <c r="K284" s="325"/>
    </row>
    <row r="285" spans="9:11" ht="12.75">
      <c r="I285" s="325"/>
      <c r="J285" s="325"/>
      <c r="K285" s="325"/>
    </row>
    <row r="286" spans="9:11" ht="12.75">
      <c r="I286" s="325"/>
      <c r="J286" s="325"/>
      <c r="K286" s="325"/>
    </row>
    <row r="287" spans="9:11" ht="12.75">
      <c r="I287" s="325"/>
      <c r="J287" s="325"/>
      <c r="K287" s="325"/>
    </row>
    <row r="288" spans="9:11" ht="12.75">
      <c r="I288" s="325"/>
      <c r="J288" s="325"/>
      <c r="K288" s="325"/>
    </row>
    <row r="289" spans="9:11" ht="12.75">
      <c r="I289" s="325"/>
      <c r="J289" s="325"/>
      <c r="K289" s="325"/>
    </row>
    <row r="290" spans="9:11" ht="12.75">
      <c r="I290" s="325"/>
      <c r="J290" s="325"/>
      <c r="K290" s="325"/>
    </row>
    <row r="291" spans="9:11" ht="12.75">
      <c r="I291" s="325"/>
      <c r="J291" s="325"/>
      <c r="K291" s="325"/>
    </row>
    <row r="292" spans="9:11" ht="12.75">
      <c r="I292" s="325"/>
      <c r="J292" s="325"/>
      <c r="K292" s="325"/>
    </row>
    <row r="293" spans="9:11" ht="12.75">
      <c r="I293" s="325"/>
      <c r="J293" s="325"/>
      <c r="K293" s="325"/>
    </row>
    <row r="294" spans="9:11" ht="12.75">
      <c r="I294" s="325"/>
      <c r="J294" s="325"/>
      <c r="K294" s="325"/>
    </row>
    <row r="295" spans="9:11" ht="12.75">
      <c r="I295" s="325"/>
      <c r="J295" s="325"/>
      <c r="K295" s="325"/>
    </row>
    <row r="296" spans="9:11" ht="12.75">
      <c r="I296" s="325"/>
      <c r="J296" s="325"/>
      <c r="K296" s="325"/>
    </row>
    <row r="297" spans="9:11" ht="12.75">
      <c r="I297" s="325"/>
      <c r="J297" s="325"/>
      <c r="K297" s="325"/>
    </row>
    <row r="298" spans="9:11" ht="12.75">
      <c r="I298" s="325"/>
      <c r="J298" s="325"/>
      <c r="K298" s="325"/>
    </row>
    <row r="299" spans="9:11" ht="12.75">
      <c r="I299" s="325"/>
      <c r="J299" s="325"/>
      <c r="K299" s="325"/>
    </row>
    <row r="300" spans="9:11" ht="12.75">
      <c r="I300" s="325"/>
      <c r="J300" s="325"/>
      <c r="K300" s="325"/>
    </row>
    <row r="301" spans="9:11" ht="12.75">
      <c r="I301" s="325"/>
      <c r="J301" s="325"/>
      <c r="K301" s="325"/>
    </row>
    <row r="302" spans="9:11" ht="12.75">
      <c r="I302" s="325"/>
      <c r="J302" s="325"/>
      <c r="K302" s="325"/>
    </row>
    <row r="303" spans="9:11" ht="12.75">
      <c r="I303" s="325"/>
      <c r="J303" s="325"/>
      <c r="K303" s="325"/>
    </row>
    <row r="304" spans="9:11" ht="12.75">
      <c r="I304" s="325"/>
      <c r="J304" s="325"/>
      <c r="K304" s="325"/>
    </row>
    <row r="305" spans="9:11" ht="12.75">
      <c r="I305" s="325"/>
      <c r="J305" s="325"/>
      <c r="K305" s="325"/>
    </row>
    <row r="306" spans="9:11" ht="12.75">
      <c r="I306" s="325"/>
      <c r="J306" s="325"/>
      <c r="K306" s="325"/>
    </row>
    <row r="307" spans="9:11" ht="12.75">
      <c r="I307" s="325"/>
      <c r="J307" s="325"/>
      <c r="K307" s="325"/>
    </row>
    <row r="308" spans="9:11" ht="12.75">
      <c r="I308" s="325"/>
      <c r="J308" s="325"/>
      <c r="K308" s="325"/>
    </row>
    <row r="309" spans="9:11" ht="12.75">
      <c r="I309" s="325"/>
      <c r="J309" s="325"/>
      <c r="K309" s="325"/>
    </row>
    <row r="310" spans="9:11" ht="12.75">
      <c r="I310" s="325"/>
      <c r="J310" s="325"/>
      <c r="K310" s="325"/>
    </row>
    <row r="311" spans="9:11" ht="12.75">
      <c r="I311" s="325"/>
      <c r="J311" s="325"/>
      <c r="K311" s="325"/>
    </row>
    <row r="312" spans="9:11" ht="12.75">
      <c r="I312" s="325"/>
      <c r="J312" s="325"/>
      <c r="K312" s="325"/>
    </row>
    <row r="313" spans="9:11" ht="12.75">
      <c r="I313" s="325"/>
      <c r="J313" s="325"/>
      <c r="K313" s="325"/>
    </row>
    <row r="314" spans="9:11" ht="12.75">
      <c r="I314" s="325"/>
      <c r="J314" s="325"/>
      <c r="K314" s="325"/>
    </row>
    <row r="315" spans="9:11" ht="12.75">
      <c r="I315" s="325"/>
      <c r="J315" s="325"/>
      <c r="K315" s="325"/>
    </row>
    <row r="316" spans="9:11" ht="12.75">
      <c r="I316" s="325"/>
      <c r="J316" s="325"/>
      <c r="K316" s="325"/>
    </row>
    <row r="317" spans="9:11" ht="12.75">
      <c r="I317" s="325"/>
      <c r="J317" s="325"/>
      <c r="K317" s="325"/>
    </row>
    <row r="318" spans="9:11" ht="12.75">
      <c r="I318" s="325"/>
      <c r="J318" s="325"/>
      <c r="K318" s="325"/>
    </row>
    <row r="319" spans="9:11" ht="12.75">
      <c r="I319" s="325"/>
      <c r="J319" s="325"/>
      <c r="K319" s="325"/>
    </row>
    <row r="320" spans="9:11" ht="12.75">
      <c r="I320" s="325"/>
      <c r="J320" s="325"/>
      <c r="K320" s="325"/>
    </row>
    <row r="321" spans="9:11" ht="12.75">
      <c r="I321" s="325"/>
      <c r="J321" s="325"/>
      <c r="K321" s="325"/>
    </row>
    <row r="322" spans="9:11" ht="12.75">
      <c r="I322" s="325"/>
      <c r="J322" s="325"/>
      <c r="K322" s="325"/>
    </row>
    <row r="323" spans="9:11" ht="12.75">
      <c r="I323" s="325"/>
      <c r="J323" s="325"/>
      <c r="K323" s="325"/>
    </row>
    <row r="324" spans="9:11" ht="12.75">
      <c r="I324" s="325"/>
      <c r="J324" s="325"/>
      <c r="K324" s="325"/>
    </row>
    <row r="325" spans="9:11" ht="12.75">
      <c r="I325" s="325"/>
      <c r="J325" s="325"/>
      <c r="K325" s="325"/>
    </row>
    <row r="326" spans="9:11" ht="12.75">
      <c r="I326" s="325"/>
      <c r="J326" s="325"/>
      <c r="K326" s="325"/>
    </row>
    <row r="327" spans="9:11" ht="12.75">
      <c r="I327" s="325"/>
      <c r="J327" s="325"/>
      <c r="K327" s="325"/>
    </row>
    <row r="328" spans="9:11" ht="12.75">
      <c r="I328" s="325"/>
      <c r="J328" s="325"/>
      <c r="K328" s="325"/>
    </row>
    <row r="329" spans="9:11" ht="12.75">
      <c r="I329" s="325"/>
      <c r="J329" s="325"/>
      <c r="K329" s="325"/>
    </row>
    <row r="330" spans="9:11" ht="12.75">
      <c r="I330" s="325"/>
      <c r="J330" s="325"/>
      <c r="K330" s="325"/>
    </row>
    <row r="331" spans="9:11" ht="12.75">
      <c r="I331" s="325"/>
      <c r="J331" s="325"/>
      <c r="K331" s="325"/>
    </row>
    <row r="332" spans="9:11" ht="12.75">
      <c r="I332" s="325"/>
      <c r="J332" s="325"/>
      <c r="K332" s="325"/>
    </row>
    <row r="333" spans="9:11" ht="12.75">
      <c r="I333" s="325"/>
      <c r="J333" s="325"/>
      <c r="K333" s="325"/>
    </row>
    <row r="334" spans="9:11" ht="12.75">
      <c r="I334" s="325"/>
      <c r="J334" s="325"/>
      <c r="K334" s="325"/>
    </row>
    <row r="335" spans="9:11" ht="12.75">
      <c r="I335" s="325"/>
      <c r="J335" s="325"/>
      <c r="K335" s="325"/>
    </row>
    <row r="336" spans="9:11" ht="12.75">
      <c r="I336" s="325"/>
      <c r="J336" s="325"/>
      <c r="K336" s="325"/>
    </row>
    <row r="337" spans="9:11" ht="12.75">
      <c r="I337" s="325"/>
      <c r="J337" s="325"/>
      <c r="K337" s="325"/>
    </row>
    <row r="338" spans="9:11" ht="12.75">
      <c r="I338" s="325"/>
      <c r="J338" s="325"/>
      <c r="K338" s="325"/>
    </row>
    <row r="339" spans="9:11" ht="12.75">
      <c r="I339" s="325"/>
      <c r="J339" s="325"/>
      <c r="K339" s="325"/>
    </row>
    <row r="340" spans="9:11" ht="12.75">
      <c r="I340" s="325"/>
      <c r="J340" s="325"/>
      <c r="K340" s="325"/>
    </row>
    <row r="341" spans="9:11" ht="12.75">
      <c r="I341" s="325"/>
      <c r="J341" s="325"/>
      <c r="K341" s="325"/>
    </row>
    <row r="342" spans="9:11" ht="12.75">
      <c r="I342" s="325"/>
      <c r="J342" s="325"/>
      <c r="K342" s="325"/>
    </row>
    <row r="343" spans="9:11" ht="12.75">
      <c r="I343" s="325"/>
      <c r="J343" s="325"/>
      <c r="K343" s="325"/>
    </row>
    <row r="344" spans="9:11" ht="12.75">
      <c r="I344" s="325"/>
      <c r="J344" s="325"/>
      <c r="K344" s="325"/>
    </row>
    <row r="345" spans="9:11" ht="12.75">
      <c r="I345" s="325"/>
      <c r="J345" s="325"/>
      <c r="K345" s="325"/>
    </row>
    <row r="346" spans="9:11" ht="12.75">
      <c r="I346" s="325"/>
      <c r="J346" s="325"/>
      <c r="K346" s="325"/>
    </row>
    <row r="347" spans="9:11" ht="12.75">
      <c r="I347" s="325"/>
      <c r="J347" s="325"/>
      <c r="K347" s="325"/>
    </row>
    <row r="348" spans="9:11" ht="12.75">
      <c r="I348" s="325"/>
      <c r="J348" s="325"/>
      <c r="K348" s="325"/>
    </row>
    <row r="349" spans="9:11" ht="12.75">
      <c r="I349" s="325"/>
      <c r="J349" s="325"/>
      <c r="K349" s="325"/>
    </row>
    <row r="350" spans="9:11" ht="12.75">
      <c r="I350" s="325"/>
      <c r="J350" s="325"/>
      <c r="K350" s="325"/>
    </row>
    <row r="351" spans="9:11" ht="12.75">
      <c r="I351" s="325"/>
      <c r="J351" s="325"/>
      <c r="K351" s="325"/>
    </row>
    <row r="352" spans="9:11" ht="12.75">
      <c r="I352" s="325"/>
      <c r="J352" s="325"/>
      <c r="K352" s="325"/>
    </row>
    <row r="353" spans="9:11" ht="12.75">
      <c r="I353" s="325"/>
      <c r="J353" s="325"/>
      <c r="K353" s="325"/>
    </row>
    <row r="354" spans="9:11" ht="12.75">
      <c r="I354" s="325"/>
      <c r="J354" s="325"/>
      <c r="K354" s="325"/>
    </row>
    <row r="355" spans="9:11" ht="12.75">
      <c r="I355" s="325"/>
      <c r="J355" s="325"/>
      <c r="K355" s="325"/>
    </row>
    <row r="356" spans="9:11" ht="12.75">
      <c r="I356" s="325"/>
      <c r="J356" s="325"/>
      <c r="K356" s="325"/>
    </row>
    <row r="357" spans="9:11" ht="12.75">
      <c r="I357" s="325"/>
      <c r="J357" s="325"/>
      <c r="K357" s="325"/>
    </row>
    <row r="358" spans="9:11" ht="12.75">
      <c r="I358" s="325"/>
      <c r="J358" s="325"/>
      <c r="K358" s="325"/>
    </row>
    <row r="359" spans="9:11" ht="12.75">
      <c r="I359" s="325"/>
      <c r="J359" s="325"/>
      <c r="K359" s="325"/>
    </row>
    <row r="360" spans="9:11" ht="12.75">
      <c r="I360" s="325"/>
      <c r="J360" s="325"/>
      <c r="K360" s="325"/>
    </row>
    <row r="361" spans="9:11" ht="12.75">
      <c r="I361" s="325"/>
      <c r="J361" s="325"/>
      <c r="K361" s="325"/>
    </row>
    <row r="362" spans="9:11" ht="12.75">
      <c r="I362" s="325"/>
      <c r="J362" s="325"/>
      <c r="K362" s="325"/>
    </row>
    <row r="363" spans="9:11" ht="12.75">
      <c r="I363" s="325"/>
      <c r="J363" s="325"/>
      <c r="K363" s="325"/>
    </row>
    <row r="364" spans="9:11" ht="12.75">
      <c r="I364" s="325"/>
      <c r="J364" s="325"/>
      <c r="K364" s="325"/>
    </row>
    <row r="365" spans="9:11" ht="12.75">
      <c r="I365" s="325"/>
      <c r="J365" s="325"/>
      <c r="K365" s="325"/>
    </row>
    <row r="366" spans="9:11" ht="12.75">
      <c r="I366" s="325"/>
      <c r="J366" s="325"/>
      <c r="K366" s="325"/>
    </row>
    <row r="367" spans="9:11" ht="12.75">
      <c r="I367" s="325"/>
      <c r="J367" s="325"/>
      <c r="K367" s="325"/>
    </row>
    <row r="368" spans="9:11" ht="12.75">
      <c r="I368" s="325"/>
      <c r="J368" s="325"/>
      <c r="K368" s="325"/>
    </row>
    <row r="369" spans="9:11" ht="12.75">
      <c r="I369" s="325"/>
      <c r="J369" s="325"/>
      <c r="K369" s="325"/>
    </row>
    <row r="370" spans="9:11" ht="12.75">
      <c r="I370" s="325"/>
      <c r="J370" s="325"/>
      <c r="K370" s="325"/>
    </row>
    <row r="371" spans="9:11" ht="12.75">
      <c r="I371" s="325"/>
      <c r="J371" s="325"/>
      <c r="K371" s="325"/>
    </row>
    <row r="372" spans="9:11" ht="12.75">
      <c r="I372" s="325"/>
      <c r="J372" s="325"/>
      <c r="K372" s="325"/>
    </row>
    <row r="373" spans="9:11" ht="12.75">
      <c r="I373" s="325"/>
      <c r="J373" s="325"/>
      <c r="K373" s="325"/>
    </row>
    <row r="374" spans="9:11" ht="12.75">
      <c r="I374" s="325"/>
      <c r="J374" s="325"/>
      <c r="K374" s="325"/>
    </row>
    <row r="375" spans="9:11" ht="12.75">
      <c r="I375" s="325"/>
      <c r="J375" s="325"/>
      <c r="K375" s="325"/>
    </row>
    <row r="376" spans="9:11" ht="12.75">
      <c r="I376" s="325"/>
      <c r="J376" s="325"/>
      <c r="K376" s="325"/>
    </row>
    <row r="377" spans="9:11" ht="12.75">
      <c r="I377" s="325"/>
      <c r="J377" s="325"/>
      <c r="K377" s="325"/>
    </row>
    <row r="378" spans="9:11" ht="12.75">
      <c r="I378" s="325"/>
      <c r="J378" s="325"/>
      <c r="K378" s="325"/>
    </row>
    <row r="379" spans="9:11" ht="12.75">
      <c r="I379" s="325"/>
      <c r="J379" s="325"/>
      <c r="K379" s="325"/>
    </row>
    <row r="380" spans="9:11" ht="12.75">
      <c r="I380" s="325"/>
      <c r="J380" s="325"/>
      <c r="K380" s="325"/>
    </row>
    <row r="381" spans="9:11" ht="12.75">
      <c r="I381" s="325"/>
      <c r="J381" s="325"/>
      <c r="K381" s="325"/>
    </row>
    <row r="382" spans="9:11" ht="12.75">
      <c r="I382" s="325"/>
      <c r="J382" s="325"/>
      <c r="K382" s="325"/>
    </row>
    <row r="383" spans="9:11" ht="12.75">
      <c r="I383" s="325"/>
      <c r="J383" s="325"/>
      <c r="K383" s="325"/>
    </row>
    <row r="384" spans="9:11" ht="12.75">
      <c r="I384" s="325"/>
      <c r="J384" s="325"/>
      <c r="K384" s="325"/>
    </row>
    <row r="385" spans="9:11" ht="12.75">
      <c r="I385" s="325"/>
      <c r="J385" s="325"/>
      <c r="K385" s="325"/>
    </row>
    <row r="386" spans="9:11" ht="12.75">
      <c r="I386" s="325"/>
      <c r="J386" s="325"/>
      <c r="K386" s="325"/>
    </row>
    <row r="387" spans="9:11" ht="12.75">
      <c r="I387" s="325"/>
      <c r="J387" s="325"/>
      <c r="K387" s="325"/>
    </row>
    <row r="388" spans="9:11" ht="12.75">
      <c r="I388" s="325"/>
      <c r="J388" s="325"/>
      <c r="K388" s="325"/>
    </row>
    <row r="389" spans="9:11" ht="12.75">
      <c r="I389" s="325"/>
      <c r="J389" s="325"/>
      <c r="K389" s="325"/>
    </row>
    <row r="390" spans="9:11" ht="12.75">
      <c r="I390" s="325"/>
      <c r="J390" s="325"/>
      <c r="K390" s="325"/>
    </row>
    <row r="391" spans="9:11" ht="12.75">
      <c r="I391" s="325"/>
      <c r="J391" s="325"/>
      <c r="K391" s="325"/>
    </row>
    <row r="392" spans="9:11" ht="12.75">
      <c r="I392" s="325"/>
      <c r="J392" s="325"/>
      <c r="K392" s="325"/>
    </row>
    <row r="393" spans="9:11" ht="12.75">
      <c r="I393" s="325"/>
      <c r="J393" s="325"/>
      <c r="K393" s="325"/>
    </row>
    <row r="394" spans="9:11" ht="12.75">
      <c r="I394" s="325"/>
      <c r="J394" s="325"/>
      <c r="K394" s="325"/>
    </row>
    <row r="395" spans="9:11" ht="12.75">
      <c r="I395" s="325"/>
      <c r="J395" s="325"/>
      <c r="K395" s="325"/>
    </row>
    <row r="396" spans="9:11" ht="12.75">
      <c r="I396" s="325"/>
      <c r="J396" s="325"/>
      <c r="K396" s="325"/>
    </row>
    <row r="397" spans="9:11" ht="12.75">
      <c r="I397" s="325"/>
      <c r="J397" s="325"/>
      <c r="K397" s="325"/>
    </row>
    <row r="398" spans="9:11" ht="12.75">
      <c r="I398" s="325"/>
      <c r="J398" s="325"/>
      <c r="K398" s="325"/>
    </row>
    <row r="399" spans="9:11" ht="12.75">
      <c r="I399" s="325"/>
      <c r="J399" s="325"/>
      <c r="K399" s="325"/>
    </row>
    <row r="400" spans="9:11" ht="12.75">
      <c r="I400" s="325"/>
      <c r="J400" s="325"/>
      <c r="K400" s="325"/>
    </row>
    <row r="401" spans="9:11" ht="12.75">
      <c r="I401" s="325"/>
      <c r="J401" s="325"/>
      <c r="K401" s="325"/>
    </row>
    <row r="402" spans="9:11" ht="12.75">
      <c r="I402" s="325"/>
      <c r="J402" s="325"/>
      <c r="K402" s="325"/>
    </row>
    <row r="403" spans="9:11" ht="12.75">
      <c r="I403" s="325"/>
      <c r="J403" s="325"/>
      <c r="K403" s="325"/>
    </row>
    <row r="404" spans="9:11" ht="12.75">
      <c r="I404" s="325"/>
      <c r="J404" s="325"/>
      <c r="K404" s="325"/>
    </row>
    <row r="405" spans="9:11" ht="12.75">
      <c r="I405" s="325"/>
      <c r="J405" s="325"/>
      <c r="K405" s="325"/>
    </row>
    <row r="406" spans="9:11" ht="12.75">
      <c r="I406" s="325"/>
      <c r="J406" s="325"/>
      <c r="K406" s="325"/>
    </row>
    <row r="407" spans="9:11" ht="12.75">
      <c r="I407" s="325"/>
      <c r="J407" s="325"/>
      <c r="K407" s="325"/>
    </row>
    <row r="408" spans="9:11" ht="12.75">
      <c r="I408" s="325"/>
      <c r="J408" s="325"/>
      <c r="K408" s="325"/>
    </row>
    <row r="409" spans="9:11" ht="12.75">
      <c r="I409" s="325"/>
      <c r="J409" s="325"/>
      <c r="K409" s="325"/>
    </row>
    <row r="410" spans="9:11" ht="12.75">
      <c r="I410" s="325"/>
      <c r="J410" s="325"/>
      <c r="K410" s="325"/>
    </row>
    <row r="411" spans="9:11" ht="12.75">
      <c r="I411" s="325"/>
      <c r="J411" s="325"/>
      <c r="K411" s="325"/>
    </row>
    <row r="412" spans="9:11" ht="12.75">
      <c r="I412" s="325"/>
      <c r="J412" s="325"/>
      <c r="K412" s="325"/>
    </row>
    <row r="413" spans="9:11" ht="12.75">
      <c r="I413" s="325"/>
      <c r="J413" s="325"/>
      <c r="K413" s="325"/>
    </row>
    <row r="414" spans="9:11" ht="12.75">
      <c r="I414" s="325"/>
      <c r="J414" s="325"/>
      <c r="K414" s="325"/>
    </row>
    <row r="415" spans="9:11" ht="12.75">
      <c r="I415" s="325"/>
      <c r="J415" s="325"/>
      <c r="K415" s="325"/>
    </row>
    <row r="416" spans="9:11" ht="12.75">
      <c r="I416" s="325"/>
      <c r="J416" s="325"/>
      <c r="K416" s="325"/>
    </row>
    <row r="417" spans="9:11" ht="12.75">
      <c r="I417" s="325"/>
      <c r="J417" s="325"/>
      <c r="K417" s="325"/>
    </row>
    <row r="418" spans="9:11" ht="12.75">
      <c r="I418" s="325"/>
      <c r="J418" s="325"/>
      <c r="K418" s="325"/>
    </row>
    <row r="419" spans="9:11" ht="12.75">
      <c r="I419" s="325"/>
      <c r="J419" s="325"/>
      <c r="K419" s="325"/>
    </row>
    <row r="420" spans="9:11" ht="12.75">
      <c r="I420" s="325"/>
      <c r="J420" s="325"/>
      <c r="K420" s="325"/>
    </row>
    <row r="421" spans="9:11" ht="12.75">
      <c r="I421" s="325"/>
      <c r="J421" s="325"/>
      <c r="K421" s="325"/>
    </row>
    <row r="422" spans="9:11" ht="12.75">
      <c r="I422" s="325"/>
      <c r="J422" s="325"/>
      <c r="K422" s="325"/>
    </row>
    <row r="423" spans="9:11" ht="12.75">
      <c r="I423" s="325"/>
      <c r="J423" s="325"/>
      <c r="K423" s="325"/>
    </row>
    <row r="424" spans="9:11" ht="12.75">
      <c r="I424" s="325"/>
      <c r="J424" s="325"/>
      <c r="K424" s="325"/>
    </row>
    <row r="425" spans="9:11" ht="12.75">
      <c r="I425" s="325"/>
      <c r="J425" s="325"/>
      <c r="K425" s="325"/>
    </row>
    <row r="426" spans="9:11" ht="12.75">
      <c r="I426" s="325"/>
      <c r="J426" s="325"/>
      <c r="K426" s="325"/>
    </row>
    <row r="427" spans="9:11" ht="12.75">
      <c r="I427" s="325"/>
      <c r="J427" s="325"/>
      <c r="K427" s="325"/>
    </row>
    <row r="428" spans="9:11" ht="12.75">
      <c r="I428" s="325"/>
      <c r="J428" s="325"/>
      <c r="K428" s="325"/>
    </row>
    <row r="429" spans="9:11" ht="12.75">
      <c r="I429" s="325"/>
      <c r="J429" s="325"/>
      <c r="K429" s="325"/>
    </row>
    <row r="430" spans="9:11" ht="12.75">
      <c r="I430" s="325"/>
      <c r="J430" s="325"/>
      <c r="K430" s="325"/>
    </row>
    <row r="431" spans="9:11" ht="12.75">
      <c r="I431" s="325"/>
      <c r="J431" s="325"/>
      <c r="K431" s="325"/>
    </row>
    <row r="432" spans="9:11" ht="12.75">
      <c r="I432" s="325"/>
      <c r="J432" s="325"/>
      <c r="K432" s="325"/>
    </row>
    <row r="433" spans="9:11" ht="12.75">
      <c r="I433" s="325"/>
      <c r="J433" s="325"/>
      <c r="K433" s="325"/>
    </row>
    <row r="434" spans="9:11" ht="12.75">
      <c r="I434" s="325"/>
      <c r="J434" s="325"/>
      <c r="K434" s="325"/>
    </row>
    <row r="435" spans="9:11" ht="12.75">
      <c r="I435" s="325"/>
      <c r="J435" s="325"/>
      <c r="K435" s="325"/>
    </row>
    <row r="436" spans="9:11" ht="12.75">
      <c r="I436" s="325"/>
      <c r="J436" s="325"/>
      <c r="K436" s="325"/>
    </row>
    <row r="437" spans="9:11" ht="12.75">
      <c r="I437" s="325"/>
      <c r="J437" s="325"/>
      <c r="K437" s="325"/>
    </row>
    <row r="438" spans="9:11" ht="12.75">
      <c r="I438" s="325"/>
      <c r="J438" s="325"/>
      <c r="K438" s="325"/>
    </row>
    <row r="439" spans="9:11" ht="12.75">
      <c r="I439" s="325"/>
      <c r="J439" s="325"/>
      <c r="K439" s="325"/>
    </row>
    <row r="440" spans="9:11" ht="12.75">
      <c r="I440" s="325"/>
      <c r="J440" s="325"/>
      <c r="K440" s="325"/>
    </row>
    <row r="441" spans="9:11" ht="12.75">
      <c r="I441" s="325"/>
      <c r="J441" s="325"/>
      <c r="K441" s="325"/>
    </row>
    <row r="442" spans="9:11" ht="12.75">
      <c r="I442" s="325"/>
      <c r="J442" s="325"/>
      <c r="K442" s="325"/>
    </row>
    <row r="443" spans="9:11" ht="12.75">
      <c r="I443" s="325"/>
      <c r="J443" s="325"/>
      <c r="K443" s="325"/>
    </row>
    <row r="444" spans="9:11" ht="12.75">
      <c r="I444" s="325"/>
      <c r="J444" s="325"/>
      <c r="K444" s="325"/>
    </row>
    <row r="445" spans="9:11" ht="12.75">
      <c r="I445" s="325"/>
      <c r="J445" s="325"/>
      <c r="K445" s="325"/>
    </row>
    <row r="446" spans="9:11" ht="12.75">
      <c r="I446" s="325"/>
      <c r="J446" s="325"/>
      <c r="K446" s="325"/>
    </row>
    <row r="447" spans="9:11" ht="12.75">
      <c r="I447" s="325"/>
      <c r="J447" s="325"/>
      <c r="K447" s="325"/>
    </row>
    <row r="448" spans="9:11" ht="12.75">
      <c r="I448" s="325"/>
      <c r="J448" s="325"/>
      <c r="K448" s="325"/>
    </row>
    <row r="449" spans="9:11" ht="12.75">
      <c r="I449" s="325"/>
      <c r="J449" s="325"/>
      <c r="K449" s="325"/>
    </row>
    <row r="450" spans="9:11" ht="12.75">
      <c r="I450" s="325"/>
      <c r="J450" s="325"/>
      <c r="K450" s="325"/>
    </row>
    <row r="451" spans="9:11" ht="12.75">
      <c r="I451" s="325"/>
      <c r="J451" s="325"/>
      <c r="K451" s="325"/>
    </row>
    <row r="452" spans="9:11" ht="12.75">
      <c r="I452" s="325"/>
      <c r="J452" s="325"/>
      <c r="K452" s="325"/>
    </row>
    <row r="453" spans="9:11" ht="12.75">
      <c r="I453" s="325"/>
      <c r="J453" s="325"/>
      <c r="K453" s="325"/>
    </row>
    <row r="454" spans="9:11" ht="12.75">
      <c r="I454" s="325"/>
      <c r="J454" s="325"/>
      <c r="K454" s="325"/>
    </row>
    <row r="455" spans="9:11" ht="12.75">
      <c r="I455" s="325"/>
      <c r="J455" s="325"/>
      <c r="K455" s="325"/>
    </row>
    <row r="456" spans="9:11" ht="12.75">
      <c r="I456" s="325"/>
      <c r="J456" s="325"/>
      <c r="K456" s="325"/>
    </row>
    <row r="457" spans="9:11" ht="12.75">
      <c r="I457" s="325"/>
      <c r="J457" s="325"/>
      <c r="K457" s="325"/>
    </row>
    <row r="458" spans="9:11" ht="12.75">
      <c r="I458" s="325"/>
      <c r="J458" s="325"/>
      <c r="K458" s="325"/>
    </row>
    <row r="459" spans="9:11" ht="12.75">
      <c r="I459" s="325"/>
      <c r="J459" s="325"/>
      <c r="K459" s="325"/>
    </row>
    <row r="460" spans="9:11" ht="12.75">
      <c r="I460" s="325"/>
      <c r="J460" s="325"/>
      <c r="K460" s="325"/>
    </row>
    <row r="461" spans="9:11" ht="12.75">
      <c r="I461" s="325"/>
      <c r="J461" s="325"/>
      <c r="K461" s="325"/>
    </row>
    <row r="462" spans="9:11" ht="12.75">
      <c r="I462" s="325"/>
      <c r="J462" s="325"/>
      <c r="K462" s="325"/>
    </row>
    <row r="463" spans="9:11" ht="12.75">
      <c r="I463" s="325"/>
      <c r="J463" s="325"/>
      <c r="K463" s="325"/>
    </row>
    <row r="464" spans="9:11" ht="12.75">
      <c r="I464" s="325"/>
      <c r="J464" s="325"/>
      <c r="K464" s="325"/>
    </row>
    <row r="465" spans="9:11" ht="12.75">
      <c r="I465" s="325"/>
      <c r="J465" s="325"/>
      <c r="K465" s="325"/>
    </row>
    <row r="466" spans="9:11" ht="12.75">
      <c r="I466" s="325"/>
      <c r="J466" s="325"/>
      <c r="K466" s="325"/>
    </row>
    <row r="467" spans="9:11" ht="12.75">
      <c r="I467" s="325"/>
      <c r="J467" s="325"/>
      <c r="K467" s="325"/>
    </row>
    <row r="468" spans="9:11" ht="12.75">
      <c r="I468" s="325"/>
      <c r="J468" s="325"/>
      <c r="K468" s="325"/>
    </row>
    <row r="469" spans="9:11" ht="12.75">
      <c r="I469" s="325"/>
      <c r="J469" s="325"/>
      <c r="K469" s="325"/>
    </row>
    <row r="470" spans="9:11" ht="12.75">
      <c r="I470" s="325"/>
      <c r="J470" s="325"/>
      <c r="K470" s="325"/>
    </row>
    <row r="471" spans="9:11" ht="12.75">
      <c r="I471" s="325"/>
      <c r="J471" s="325"/>
      <c r="K471" s="325"/>
    </row>
    <row r="472" spans="9:11" ht="12.75">
      <c r="I472" s="325"/>
      <c r="J472" s="325"/>
      <c r="K472" s="325"/>
    </row>
    <row r="473" spans="9:11" ht="12.75">
      <c r="I473" s="325"/>
      <c r="J473" s="325"/>
      <c r="K473" s="325"/>
    </row>
    <row r="474" spans="9:11" ht="12.75">
      <c r="I474" s="325"/>
      <c r="J474" s="325"/>
      <c r="K474" s="325"/>
    </row>
    <row r="475" spans="9:11" ht="12.75">
      <c r="I475" s="325"/>
      <c r="J475" s="325"/>
      <c r="K475" s="325"/>
    </row>
    <row r="476" spans="9:11" ht="12.75">
      <c r="I476" s="325"/>
      <c r="J476" s="325"/>
      <c r="K476" s="325"/>
    </row>
    <row r="477" spans="9:11" ht="12.75">
      <c r="I477" s="325"/>
      <c r="J477" s="325"/>
      <c r="K477" s="325"/>
    </row>
    <row r="478" spans="9:11" ht="12.75">
      <c r="I478" s="325"/>
      <c r="J478" s="325"/>
      <c r="K478" s="325"/>
    </row>
    <row r="479" spans="9:11" ht="12.75">
      <c r="I479" s="325"/>
      <c r="J479" s="325"/>
      <c r="K479" s="325"/>
    </row>
    <row r="480" spans="9:11" ht="12.75">
      <c r="I480" s="325"/>
      <c r="J480" s="325"/>
      <c r="K480" s="325"/>
    </row>
    <row r="481" spans="9:11" ht="12.75">
      <c r="I481" s="325"/>
      <c r="J481" s="325"/>
      <c r="K481" s="325"/>
    </row>
    <row r="482" spans="9:11" ht="12.75">
      <c r="I482" s="325"/>
      <c r="J482" s="325"/>
      <c r="K482" s="325"/>
    </row>
    <row r="483" spans="9:11" ht="12.75">
      <c r="I483" s="325"/>
      <c r="J483" s="325"/>
      <c r="K483" s="325"/>
    </row>
    <row r="484" spans="9:11" ht="12.75">
      <c r="I484" s="325"/>
      <c r="J484" s="325"/>
      <c r="K484" s="325"/>
    </row>
    <row r="485" spans="9:11" ht="12.75">
      <c r="I485" s="325"/>
      <c r="J485" s="325"/>
      <c r="K485" s="325"/>
    </row>
    <row r="486" spans="9:11" ht="12.75">
      <c r="I486" s="325"/>
      <c r="J486" s="325"/>
      <c r="K486" s="325"/>
    </row>
    <row r="487" spans="9:11" ht="12.75">
      <c r="I487" s="325"/>
      <c r="J487" s="325"/>
      <c r="K487" s="325"/>
    </row>
    <row r="488" spans="9:11" ht="12.75">
      <c r="I488" s="325"/>
      <c r="J488" s="325"/>
      <c r="K488" s="325"/>
    </row>
    <row r="489" spans="9:11" ht="12.75">
      <c r="I489" s="325"/>
      <c r="J489" s="325"/>
      <c r="K489" s="325"/>
    </row>
    <row r="490" spans="9:11" ht="12.75">
      <c r="I490" s="325"/>
      <c r="J490" s="325"/>
      <c r="K490" s="325"/>
    </row>
    <row r="491" spans="9:11" ht="12.75">
      <c r="I491" s="325"/>
      <c r="J491" s="325"/>
      <c r="K491" s="325"/>
    </row>
    <row r="492" spans="9:11" ht="12.75">
      <c r="I492" s="325"/>
      <c r="J492" s="325"/>
      <c r="K492" s="325"/>
    </row>
    <row r="493" spans="9:11" ht="12.75">
      <c r="I493" s="325"/>
      <c r="J493" s="325"/>
      <c r="K493" s="325"/>
    </row>
    <row r="494" spans="9:11" ht="12.75">
      <c r="I494" s="325"/>
      <c r="J494" s="325"/>
      <c r="K494" s="325"/>
    </row>
    <row r="495" spans="9:11" ht="12.75">
      <c r="I495" s="325"/>
      <c r="J495" s="325"/>
      <c r="K495" s="325"/>
    </row>
    <row r="496" spans="9:11" ht="12.75">
      <c r="I496" s="325"/>
      <c r="J496" s="325"/>
      <c r="K496" s="325"/>
    </row>
    <row r="497" spans="9:11" ht="12.75">
      <c r="I497" s="325"/>
      <c r="J497" s="325"/>
      <c r="K497" s="325"/>
    </row>
    <row r="498" spans="9:11" ht="12.75">
      <c r="I498" s="325"/>
      <c r="J498" s="325"/>
      <c r="K498" s="325"/>
    </row>
    <row r="499" spans="9:11" ht="12.75">
      <c r="I499" s="325"/>
      <c r="J499" s="325"/>
      <c r="K499" s="325"/>
    </row>
    <row r="500" spans="9:11" ht="12.75">
      <c r="I500" s="325"/>
      <c r="J500" s="325"/>
      <c r="K500" s="325"/>
    </row>
    <row r="501" spans="9:11" ht="12.75">
      <c r="I501" s="325"/>
      <c r="J501" s="325"/>
      <c r="K501" s="325"/>
    </row>
    <row r="502" spans="9:11" ht="12.75">
      <c r="I502" s="325"/>
      <c r="J502" s="325"/>
      <c r="K502" s="325"/>
    </row>
    <row r="503" spans="9:11" ht="12.75">
      <c r="I503" s="325"/>
      <c r="J503" s="325"/>
      <c r="K503" s="325"/>
    </row>
    <row r="504" spans="9:11" ht="12.75">
      <c r="I504" s="325"/>
      <c r="J504" s="325"/>
      <c r="K504" s="325"/>
    </row>
    <row r="505" spans="9:11" ht="12.75">
      <c r="I505" s="325"/>
      <c r="J505" s="325"/>
      <c r="K505" s="325"/>
    </row>
    <row r="506" spans="9:11" ht="12.75">
      <c r="I506" s="325"/>
      <c r="J506" s="325"/>
      <c r="K506" s="325"/>
    </row>
    <row r="507" spans="9:11" ht="12.75">
      <c r="I507" s="325"/>
      <c r="J507" s="325"/>
      <c r="K507" s="325"/>
    </row>
    <row r="508" spans="9:11" ht="12.75">
      <c r="I508" s="325"/>
      <c r="J508" s="325"/>
      <c r="K508" s="325"/>
    </row>
    <row r="509" spans="9:11" ht="12.75">
      <c r="I509" s="325"/>
      <c r="J509" s="325"/>
      <c r="K509" s="325"/>
    </row>
    <row r="510" spans="9:11" ht="12.75">
      <c r="I510" s="325"/>
      <c r="J510" s="325"/>
      <c r="K510" s="325"/>
    </row>
    <row r="511" spans="9:11" ht="12.75">
      <c r="I511" s="325"/>
      <c r="J511" s="325"/>
      <c r="K511" s="325"/>
    </row>
    <row r="512" spans="9:11" ht="12.75">
      <c r="I512" s="325"/>
      <c r="J512" s="325"/>
      <c r="K512" s="325"/>
    </row>
    <row r="513" spans="9:11" ht="12.75">
      <c r="I513" s="325"/>
      <c r="J513" s="325"/>
      <c r="K513" s="325"/>
    </row>
    <row r="514" spans="9:11" ht="12.75">
      <c r="I514" s="325"/>
      <c r="J514" s="325"/>
      <c r="K514" s="325"/>
    </row>
    <row r="515" spans="9:11" ht="12.75">
      <c r="I515" s="325"/>
      <c r="J515" s="325"/>
      <c r="K515" s="325"/>
    </row>
    <row r="516" spans="9:11" ht="12.75">
      <c r="I516" s="325"/>
      <c r="J516" s="325"/>
      <c r="K516" s="325"/>
    </row>
    <row r="517" spans="9:11" ht="12.75">
      <c r="I517" s="325"/>
      <c r="J517" s="325"/>
      <c r="K517" s="325"/>
    </row>
    <row r="518" spans="9:11" ht="12.75">
      <c r="I518" s="325"/>
      <c r="J518" s="325"/>
      <c r="K518" s="325"/>
    </row>
    <row r="519" spans="9:11" ht="12.75">
      <c r="I519" s="325"/>
      <c r="J519" s="325"/>
      <c r="K519" s="325"/>
    </row>
    <row r="520" spans="9:11" ht="12.75">
      <c r="I520" s="325"/>
      <c r="J520" s="325"/>
      <c r="K520" s="325"/>
    </row>
    <row r="521" spans="9:11" ht="12.75">
      <c r="I521" s="325"/>
      <c r="J521" s="325"/>
      <c r="K521" s="325"/>
    </row>
    <row r="522" spans="9:11" ht="12.75">
      <c r="I522" s="325"/>
      <c r="J522" s="325"/>
      <c r="K522" s="325"/>
    </row>
    <row r="523" spans="9:11" ht="12.75">
      <c r="I523" s="325"/>
      <c r="J523" s="325"/>
      <c r="K523" s="325"/>
    </row>
    <row r="524" spans="9:11" ht="12.75">
      <c r="I524" s="325"/>
      <c r="J524" s="325"/>
      <c r="K524" s="325"/>
    </row>
    <row r="525" spans="9:11" ht="12.75">
      <c r="I525" s="325"/>
      <c r="J525" s="325"/>
      <c r="K525" s="325"/>
    </row>
    <row r="526" spans="9:11" ht="12.75">
      <c r="I526" s="325"/>
      <c r="J526" s="325"/>
      <c r="K526" s="325"/>
    </row>
    <row r="527" spans="9:11" ht="12.75">
      <c r="I527" s="325"/>
      <c r="J527" s="325"/>
      <c r="K527" s="325"/>
    </row>
    <row r="528" spans="9:11" ht="12.75">
      <c r="I528" s="325"/>
      <c r="J528" s="325"/>
      <c r="K528" s="325"/>
    </row>
    <row r="529" spans="9:11" ht="12.75">
      <c r="I529" s="325"/>
      <c r="J529" s="325"/>
      <c r="K529" s="325"/>
    </row>
    <row r="530" spans="9:11" ht="12.75">
      <c r="I530" s="325"/>
      <c r="J530" s="325"/>
      <c r="K530" s="325"/>
    </row>
    <row r="531" spans="9:11" ht="12.75">
      <c r="I531" s="325"/>
      <c r="J531" s="325"/>
      <c r="K531" s="325"/>
    </row>
    <row r="532" spans="9:11" ht="12.75">
      <c r="I532" s="325"/>
      <c r="J532" s="325"/>
      <c r="K532" s="325"/>
    </row>
    <row r="533" spans="9:11" ht="12.75">
      <c r="I533" s="325"/>
      <c r="J533" s="325"/>
      <c r="K533" s="325"/>
    </row>
    <row r="534" spans="9:11" ht="12.75">
      <c r="I534" s="325"/>
      <c r="J534" s="325"/>
      <c r="K534" s="325"/>
    </row>
    <row r="535" spans="9:11" ht="12.75">
      <c r="I535" s="325"/>
      <c r="J535" s="325"/>
      <c r="K535" s="325"/>
    </row>
    <row r="536" spans="9:11" ht="12.75">
      <c r="I536" s="325"/>
      <c r="J536" s="325"/>
      <c r="K536" s="325"/>
    </row>
    <row r="537" spans="9:11" ht="12.75">
      <c r="I537" s="325"/>
      <c r="J537" s="325"/>
      <c r="K537" s="325"/>
    </row>
    <row r="538" spans="9:11" ht="12.75">
      <c r="I538" s="325"/>
      <c r="J538" s="325"/>
      <c r="K538" s="325"/>
    </row>
    <row r="539" spans="9:11" ht="12.75">
      <c r="I539" s="325"/>
      <c r="J539" s="325"/>
      <c r="K539" s="325"/>
    </row>
    <row r="540" spans="9:11" ht="12.75">
      <c r="I540" s="325"/>
      <c r="J540" s="325"/>
      <c r="K540" s="325"/>
    </row>
    <row r="541" spans="9:11" ht="12.75">
      <c r="I541" s="325"/>
      <c r="J541" s="325"/>
      <c r="K541" s="325"/>
    </row>
    <row r="542" spans="9:11" ht="12.75">
      <c r="I542" s="325"/>
      <c r="J542" s="325"/>
      <c r="K542" s="325"/>
    </row>
    <row r="543" spans="9:11" ht="12.75">
      <c r="I543" s="325"/>
      <c r="J543" s="325"/>
      <c r="K543" s="325"/>
    </row>
    <row r="544" spans="9:11" ht="12.75">
      <c r="I544" s="325"/>
      <c r="J544" s="325"/>
      <c r="K544" s="325"/>
    </row>
    <row r="545" spans="9:11" ht="12.75">
      <c r="I545" s="325"/>
      <c r="J545" s="325"/>
      <c r="K545" s="325"/>
    </row>
    <row r="546" spans="9:11" ht="12.75">
      <c r="I546" s="325"/>
      <c r="J546" s="325"/>
      <c r="K546" s="325"/>
    </row>
    <row r="547" spans="9:11" ht="12.75">
      <c r="I547" s="325"/>
      <c r="J547" s="325"/>
      <c r="K547" s="325"/>
    </row>
    <row r="548" spans="9:11" ht="12.75">
      <c r="I548" s="325"/>
      <c r="J548" s="325"/>
      <c r="K548" s="325"/>
    </row>
    <row r="549" spans="9:11" ht="12.75">
      <c r="I549" s="325"/>
      <c r="J549" s="325"/>
      <c r="K549" s="325"/>
    </row>
    <row r="550" spans="9:11" ht="12.75">
      <c r="I550" s="325"/>
      <c r="J550" s="325"/>
      <c r="K550" s="325"/>
    </row>
    <row r="551" spans="9:11" ht="12.75">
      <c r="I551" s="325"/>
      <c r="J551" s="325"/>
      <c r="K551" s="325"/>
    </row>
    <row r="552" spans="9:11" ht="12.75">
      <c r="I552" s="325"/>
      <c r="J552" s="325"/>
      <c r="K552" s="325"/>
    </row>
    <row r="553" spans="9:11" ht="12.75">
      <c r="I553" s="325"/>
      <c r="J553" s="325"/>
      <c r="K553" s="325"/>
    </row>
    <row r="554" spans="9:11" ht="12.75">
      <c r="I554" s="325"/>
      <c r="J554" s="325"/>
      <c r="K554" s="325"/>
    </row>
    <row r="555" spans="9:11" ht="12.75">
      <c r="I555" s="325"/>
      <c r="J555" s="325"/>
      <c r="K555" s="325"/>
    </row>
    <row r="556" spans="9:11" ht="12.75">
      <c r="I556" s="325"/>
      <c r="J556" s="325"/>
      <c r="K556" s="325"/>
    </row>
    <row r="557" spans="9:11" ht="12.75">
      <c r="I557" s="325"/>
      <c r="J557" s="325"/>
      <c r="K557" s="325"/>
    </row>
    <row r="558" spans="9:11" ht="12.75">
      <c r="I558" s="325"/>
      <c r="J558" s="325"/>
      <c r="K558" s="325"/>
    </row>
    <row r="559" spans="9:11" ht="12.75">
      <c r="I559" s="325"/>
      <c r="J559" s="325"/>
      <c r="K559" s="325"/>
    </row>
    <row r="560" spans="9:11" ht="12.75">
      <c r="I560" s="325"/>
      <c r="J560" s="325"/>
      <c r="K560" s="325"/>
    </row>
    <row r="561" spans="9:11" ht="12.75">
      <c r="I561" s="325"/>
      <c r="J561" s="325"/>
      <c r="K561" s="325"/>
    </row>
    <row r="562" spans="9:11" ht="12.75">
      <c r="I562" s="325"/>
      <c r="J562" s="325"/>
      <c r="K562" s="325"/>
    </row>
    <row r="563" spans="9:11" ht="12.75">
      <c r="I563" s="325"/>
      <c r="J563" s="325"/>
      <c r="K563" s="325"/>
    </row>
    <row r="564" spans="9:11" ht="12.75">
      <c r="I564" s="325"/>
      <c r="J564" s="325"/>
      <c r="K564" s="325"/>
    </row>
    <row r="565" spans="9:11" ht="12.75">
      <c r="I565" s="325"/>
      <c r="J565" s="325"/>
      <c r="K565" s="325"/>
    </row>
    <row r="566" spans="9:11" ht="12.75">
      <c r="I566" s="325"/>
      <c r="J566" s="325"/>
      <c r="K566" s="325"/>
    </row>
    <row r="567" spans="9:11" ht="12.75">
      <c r="I567" s="325"/>
      <c r="J567" s="325"/>
      <c r="K567" s="325"/>
    </row>
    <row r="568" spans="9:11" ht="12.75">
      <c r="I568" s="325"/>
      <c r="J568" s="325"/>
      <c r="K568" s="325"/>
    </row>
    <row r="569" spans="9:11" ht="12.75">
      <c r="I569" s="325"/>
      <c r="J569" s="325"/>
      <c r="K569" s="325"/>
    </row>
    <row r="570" spans="9:11" ht="12.75">
      <c r="I570" s="325"/>
      <c r="J570" s="325"/>
      <c r="K570" s="325"/>
    </row>
    <row r="571" spans="9:11" ht="12.75">
      <c r="I571" s="325"/>
      <c r="J571" s="325"/>
      <c r="K571" s="325"/>
    </row>
    <row r="572" spans="9:11" ht="12.75">
      <c r="I572" s="325"/>
      <c r="J572" s="325"/>
      <c r="K572" s="325"/>
    </row>
    <row r="573" spans="9:11" ht="12.75">
      <c r="I573" s="325"/>
      <c r="J573" s="325"/>
      <c r="K573" s="325"/>
    </row>
    <row r="574" spans="9:11" ht="12.75">
      <c r="I574" s="325"/>
      <c r="J574" s="325"/>
      <c r="K574" s="325"/>
    </row>
    <row r="575" spans="9:11" ht="12.75">
      <c r="I575" s="325"/>
      <c r="J575" s="325"/>
      <c r="K575" s="325"/>
    </row>
    <row r="576" spans="9:11" ht="12.75">
      <c r="I576" s="325"/>
      <c r="J576" s="325"/>
      <c r="K576" s="325"/>
    </row>
    <row r="577" spans="9:11" ht="12.75">
      <c r="I577" s="325"/>
      <c r="J577" s="325"/>
      <c r="K577" s="325"/>
    </row>
    <row r="578" spans="9:11" ht="12.75">
      <c r="I578" s="325"/>
      <c r="J578" s="325"/>
      <c r="K578" s="325"/>
    </row>
    <row r="579" spans="9:11" ht="12.75">
      <c r="I579" s="325"/>
      <c r="J579" s="325"/>
      <c r="K579" s="325"/>
    </row>
    <row r="580" spans="9:11" ht="12.75">
      <c r="I580" s="325"/>
      <c r="J580" s="325"/>
      <c r="K580" s="325"/>
    </row>
    <row r="581" spans="9:11" ht="12.75">
      <c r="I581" s="325"/>
      <c r="J581" s="325"/>
      <c r="K581" s="325"/>
    </row>
    <row r="582" spans="9:11" ht="12.75">
      <c r="I582" s="325"/>
      <c r="J582" s="325"/>
      <c r="K582" s="325"/>
    </row>
    <row r="583" spans="9:11" ht="12.75">
      <c r="I583" s="325"/>
      <c r="J583" s="325"/>
      <c r="K583" s="325"/>
    </row>
    <row r="584" spans="9:11" ht="12.75">
      <c r="I584" s="325"/>
      <c r="J584" s="325"/>
      <c r="K584" s="325"/>
    </row>
    <row r="585" spans="9:11" ht="12.75">
      <c r="I585" s="325"/>
      <c r="J585" s="325"/>
      <c r="K585" s="325"/>
    </row>
    <row r="586" spans="9:11" ht="12.75">
      <c r="I586" s="325"/>
      <c r="J586" s="325"/>
      <c r="K586" s="325"/>
    </row>
    <row r="587" spans="9:11" ht="12.75">
      <c r="I587" s="325"/>
      <c r="J587" s="325"/>
      <c r="K587" s="325"/>
    </row>
    <row r="588" spans="9:11" ht="12.75">
      <c r="I588" s="325"/>
      <c r="J588" s="325"/>
      <c r="K588" s="325"/>
    </row>
    <row r="589" spans="9:11" ht="12.75">
      <c r="I589" s="325"/>
      <c r="J589" s="325"/>
      <c r="K589" s="325"/>
    </row>
    <row r="590" spans="9:11" ht="12.75">
      <c r="I590" s="325"/>
      <c r="J590" s="325"/>
      <c r="K590" s="325"/>
    </row>
    <row r="591" spans="9:11" ht="12.75">
      <c r="I591" s="325"/>
      <c r="J591" s="325"/>
      <c r="K591" s="325"/>
    </row>
    <row r="592" spans="9:11" ht="12.75">
      <c r="I592" s="325"/>
      <c r="J592" s="325"/>
      <c r="K592" s="325"/>
    </row>
    <row r="593" spans="9:11" ht="12.75">
      <c r="I593" s="325"/>
      <c r="J593" s="325"/>
      <c r="K593" s="325"/>
    </row>
    <row r="594" spans="9:11" ht="12.75">
      <c r="I594" s="325"/>
      <c r="J594" s="325"/>
      <c r="K594" s="325"/>
    </row>
    <row r="595" spans="9:11" ht="12.75">
      <c r="I595" s="325"/>
      <c r="J595" s="325"/>
      <c r="K595" s="325"/>
    </row>
    <row r="596" spans="9:11" ht="12.75">
      <c r="I596" s="325"/>
      <c r="J596" s="325"/>
      <c r="K596" s="325"/>
    </row>
    <row r="597" spans="9:11" ht="12.75">
      <c r="I597" s="325"/>
      <c r="J597" s="325"/>
      <c r="K597" s="325"/>
    </row>
    <row r="598" spans="9:11" ht="12.75">
      <c r="I598" s="325"/>
      <c r="J598" s="325"/>
      <c r="K598" s="325"/>
    </row>
    <row r="599" spans="9:11" ht="12.75">
      <c r="I599" s="325"/>
      <c r="J599" s="325"/>
      <c r="K599" s="325"/>
    </row>
    <row r="600" spans="9:11" ht="12.75">
      <c r="I600" s="325"/>
      <c r="J600" s="325"/>
      <c r="K600" s="325"/>
    </row>
    <row r="601" spans="9:11" ht="12.75">
      <c r="I601" s="325"/>
      <c r="J601" s="325"/>
      <c r="K601" s="325"/>
    </row>
    <row r="602" spans="9:11" ht="12.75">
      <c r="I602" s="325"/>
      <c r="J602" s="325"/>
      <c r="K602" s="325"/>
    </row>
    <row r="603" spans="9:11" ht="12.75">
      <c r="I603" s="325"/>
      <c r="J603" s="325"/>
      <c r="K603" s="325"/>
    </row>
    <row r="604" spans="9:11" ht="12.75">
      <c r="I604" s="325"/>
      <c r="J604" s="325"/>
      <c r="K604" s="325"/>
    </row>
    <row r="605" spans="9:11" ht="12.75">
      <c r="I605" s="325"/>
      <c r="J605" s="325"/>
      <c r="K605" s="325"/>
    </row>
    <row r="606" spans="9:11" ht="12.75">
      <c r="I606" s="325"/>
      <c r="J606" s="325"/>
      <c r="K606" s="325"/>
    </row>
    <row r="607" spans="9:11" ht="12.75">
      <c r="I607" s="325"/>
      <c r="J607" s="325"/>
      <c r="K607" s="325"/>
    </row>
    <row r="608" spans="9:11" ht="12.75">
      <c r="I608" s="325"/>
      <c r="J608" s="325"/>
      <c r="K608" s="325"/>
    </row>
    <row r="609" spans="9:11" ht="12.75">
      <c r="I609" s="325"/>
      <c r="J609" s="325"/>
      <c r="K609" s="325"/>
    </row>
    <row r="610" spans="9:11" ht="12.75">
      <c r="I610" s="325"/>
      <c r="J610" s="325"/>
      <c r="K610" s="325"/>
    </row>
    <row r="611" spans="9:11" ht="12.75">
      <c r="I611" s="325"/>
      <c r="J611" s="325"/>
      <c r="K611" s="325"/>
    </row>
    <row r="612" spans="9:11" ht="12.75">
      <c r="I612" s="325"/>
      <c r="J612" s="325"/>
      <c r="K612" s="325"/>
    </row>
    <row r="613" spans="9:11" ht="12.75">
      <c r="I613" s="325"/>
      <c r="J613" s="325"/>
      <c r="K613" s="325"/>
    </row>
    <row r="614" spans="9:11" ht="12.75">
      <c r="I614" s="325"/>
      <c r="J614" s="325"/>
      <c r="K614" s="325"/>
    </row>
    <row r="615" spans="9:11" ht="12.75">
      <c r="I615" s="325"/>
      <c r="J615" s="325"/>
      <c r="K615" s="325"/>
    </row>
    <row r="616" spans="9:11" ht="12.75">
      <c r="I616" s="325"/>
      <c r="J616" s="325"/>
      <c r="K616" s="325"/>
    </row>
    <row r="617" spans="9:11" ht="12.75">
      <c r="I617" s="325"/>
      <c r="J617" s="325"/>
      <c r="K617" s="325"/>
    </row>
    <row r="618" spans="9:11" ht="12.75">
      <c r="I618" s="325"/>
      <c r="J618" s="325"/>
      <c r="K618" s="325"/>
    </row>
    <row r="619" spans="9:11" ht="12.75">
      <c r="I619" s="325"/>
      <c r="J619" s="325"/>
      <c r="K619" s="325"/>
    </row>
    <row r="620" spans="9:11" ht="12.75">
      <c r="I620" s="325"/>
      <c r="J620" s="325"/>
      <c r="K620" s="325"/>
    </row>
    <row r="621" spans="9:11" ht="12.75">
      <c r="I621" s="325"/>
      <c r="J621" s="325"/>
      <c r="K621" s="325"/>
    </row>
    <row r="622" spans="9:11" ht="12.75">
      <c r="I622" s="325"/>
      <c r="J622" s="325"/>
      <c r="K622" s="325"/>
    </row>
    <row r="623" spans="9:11" ht="12.75">
      <c r="I623" s="325"/>
      <c r="J623" s="325"/>
      <c r="K623" s="325"/>
    </row>
    <row r="624" spans="9:11" ht="12.75">
      <c r="I624" s="325"/>
      <c r="J624" s="325"/>
      <c r="K624" s="325"/>
    </row>
    <row r="625" spans="9:11" ht="12.75">
      <c r="I625" s="325"/>
      <c r="J625" s="325"/>
      <c r="K625" s="325"/>
    </row>
    <row r="626" spans="9:11" ht="12.75">
      <c r="I626" s="325"/>
      <c r="J626" s="325"/>
      <c r="K626" s="325"/>
    </row>
    <row r="627" spans="9:11" ht="12.75">
      <c r="I627" s="325"/>
      <c r="J627" s="325"/>
      <c r="K627" s="325"/>
    </row>
    <row r="628" spans="9:11" ht="12.75">
      <c r="I628" s="325"/>
      <c r="J628" s="325"/>
      <c r="K628" s="325"/>
    </row>
    <row r="629" spans="9:11" ht="12.75">
      <c r="I629" s="325"/>
      <c r="J629" s="325"/>
      <c r="K629" s="325"/>
    </row>
    <row r="630" spans="9:11" ht="12.75">
      <c r="I630" s="325"/>
      <c r="J630" s="325"/>
      <c r="K630" s="325"/>
    </row>
    <row r="631" spans="9:11" ht="12.75">
      <c r="I631" s="325"/>
      <c r="J631" s="325"/>
      <c r="K631" s="325"/>
    </row>
    <row r="632" spans="9:11" ht="12.75">
      <c r="I632" s="325"/>
      <c r="J632" s="325"/>
      <c r="K632" s="325"/>
    </row>
    <row r="633" spans="9:11" ht="12.75">
      <c r="I633" s="325"/>
      <c r="J633" s="325"/>
      <c r="K633" s="325"/>
    </row>
    <row r="634" spans="9:11" ht="12.75">
      <c r="I634" s="325"/>
      <c r="J634" s="325"/>
      <c r="K634" s="325"/>
    </row>
    <row r="635" spans="9:11" ht="12.75">
      <c r="I635" s="325"/>
      <c r="J635" s="325"/>
      <c r="K635" s="325"/>
    </row>
    <row r="636" spans="9:11" ht="12.75">
      <c r="I636" s="325"/>
      <c r="J636" s="325"/>
      <c r="K636" s="325"/>
    </row>
    <row r="637" spans="9:11" ht="12.75">
      <c r="I637" s="325"/>
      <c r="J637" s="325"/>
      <c r="K637" s="325"/>
    </row>
    <row r="638" spans="9:11" ht="12.75">
      <c r="I638" s="325"/>
      <c r="J638" s="325"/>
      <c r="K638" s="325"/>
    </row>
    <row r="639" spans="9:11" ht="12.75">
      <c r="I639" s="325"/>
      <c r="J639" s="325"/>
      <c r="K639" s="325"/>
    </row>
    <row r="640" spans="9:11" ht="12.75">
      <c r="I640" s="325"/>
      <c r="J640" s="325"/>
      <c r="K640" s="325"/>
    </row>
    <row r="641" spans="9:11" ht="12.75">
      <c r="I641" s="325"/>
      <c r="J641" s="325"/>
      <c r="K641" s="325"/>
    </row>
    <row r="642" spans="9:11" ht="12.75">
      <c r="I642" s="325"/>
      <c r="J642" s="325"/>
      <c r="K642" s="325"/>
    </row>
    <row r="643" spans="9:11" ht="12.75">
      <c r="I643" s="325"/>
      <c r="J643" s="325"/>
      <c r="K643" s="325"/>
    </row>
    <row r="644" spans="9:11" ht="12.75">
      <c r="I644" s="325"/>
      <c r="J644" s="325"/>
      <c r="K644" s="325"/>
    </row>
    <row r="645" spans="9:11" ht="12.75">
      <c r="I645" s="325"/>
      <c r="J645" s="325"/>
      <c r="K645" s="325"/>
    </row>
    <row r="646" spans="9:11" ht="12.75">
      <c r="I646" s="325"/>
      <c r="J646" s="325"/>
      <c r="K646" s="325"/>
    </row>
    <row r="647" spans="9:11" ht="12.75">
      <c r="I647" s="325"/>
      <c r="J647" s="325"/>
      <c r="K647" s="325"/>
    </row>
    <row r="648" spans="9:11" ht="12.75">
      <c r="I648" s="325"/>
      <c r="J648" s="325"/>
      <c r="K648" s="325"/>
    </row>
    <row r="649" spans="9:11" ht="12.75">
      <c r="I649" s="325"/>
      <c r="J649" s="325"/>
      <c r="K649" s="325"/>
    </row>
    <row r="650" spans="9:11" ht="12.75">
      <c r="I650" s="325"/>
      <c r="J650" s="325"/>
      <c r="K650" s="325"/>
    </row>
    <row r="651" spans="9:11" ht="12.75">
      <c r="I651" s="325"/>
      <c r="J651" s="325"/>
      <c r="K651" s="325"/>
    </row>
    <row r="652" spans="9:11" ht="12.75">
      <c r="I652" s="325"/>
      <c r="J652" s="325"/>
      <c r="K652" s="325"/>
    </row>
    <row r="653" spans="9:11" ht="12.75">
      <c r="I653" s="325"/>
      <c r="J653" s="325"/>
      <c r="K653" s="325"/>
    </row>
    <row r="654" spans="9:11" ht="12.75">
      <c r="I654" s="325"/>
      <c r="J654" s="325"/>
      <c r="K654" s="325"/>
    </row>
    <row r="655" spans="9:11" ht="12.75">
      <c r="I655" s="325"/>
      <c r="J655" s="325"/>
      <c r="K655" s="325"/>
    </row>
    <row r="656" spans="9:11" ht="12.75">
      <c r="I656" s="325"/>
      <c r="J656" s="325"/>
      <c r="K656" s="325"/>
    </row>
    <row r="657" spans="9:11" ht="12.75">
      <c r="I657" s="325"/>
      <c r="J657" s="325"/>
      <c r="K657" s="325"/>
    </row>
    <row r="658" spans="9:11" ht="12.75">
      <c r="I658" s="325"/>
      <c r="J658" s="325"/>
      <c r="K658" s="325"/>
    </row>
    <row r="659" spans="9:11" ht="12.75">
      <c r="I659" s="325"/>
      <c r="J659" s="325"/>
      <c r="K659" s="325"/>
    </row>
    <row r="660" spans="9:11" ht="12.75">
      <c r="I660" s="325"/>
      <c r="J660" s="325"/>
      <c r="K660" s="325"/>
    </row>
    <row r="661" spans="9:11" ht="12.75">
      <c r="I661" s="325"/>
      <c r="J661" s="325"/>
      <c r="K661" s="325"/>
    </row>
    <row r="662" spans="9:11" ht="12.75">
      <c r="I662" s="325"/>
      <c r="J662" s="325"/>
      <c r="K662" s="325"/>
    </row>
    <row r="663" spans="9:11" ht="12.75">
      <c r="I663" s="325"/>
      <c r="J663" s="325"/>
      <c r="K663" s="325"/>
    </row>
    <row r="664" spans="9:11" ht="12.75">
      <c r="I664" s="325"/>
      <c r="J664" s="325"/>
      <c r="K664" s="325"/>
    </row>
    <row r="665" spans="9:11" ht="12.75">
      <c r="I665" s="325"/>
      <c r="J665" s="325"/>
      <c r="K665" s="325"/>
    </row>
    <row r="666" spans="9:11" ht="12.75">
      <c r="I666" s="325"/>
      <c r="J666" s="325"/>
      <c r="K666" s="325"/>
    </row>
    <row r="667" spans="9:11" ht="12.75">
      <c r="I667" s="325"/>
      <c r="J667" s="325"/>
      <c r="K667" s="325"/>
    </row>
    <row r="668" spans="9:11" ht="12.75">
      <c r="I668" s="325"/>
      <c r="J668" s="325"/>
      <c r="K668" s="325"/>
    </row>
    <row r="669" spans="9:11" ht="12.75">
      <c r="I669" s="325"/>
      <c r="J669" s="325"/>
      <c r="K669" s="325"/>
    </row>
    <row r="670" spans="9:11" ht="12.75">
      <c r="I670" s="325"/>
      <c r="J670" s="325"/>
      <c r="K670" s="325"/>
    </row>
    <row r="671" spans="9:11" ht="12.75">
      <c r="I671" s="325"/>
      <c r="J671" s="325"/>
      <c r="K671" s="325"/>
    </row>
    <row r="672" spans="9:11" ht="12.75">
      <c r="I672" s="325"/>
      <c r="J672" s="325"/>
      <c r="K672" s="325"/>
    </row>
    <row r="673" spans="9:11" ht="12.75">
      <c r="I673" s="325"/>
      <c r="J673" s="325"/>
      <c r="K673" s="325"/>
    </row>
    <row r="674" spans="9:11" ht="12.75">
      <c r="I674" s="325"/>
      <c r="J674" s="325"/>
      <c r="K674" s="325"/>
    </row>
    <row r="675" spans="9:11" ht="12.75">
      <c r="I675" s="325"/>
      <c r="J675" s="325"/>
      <c r="K675" s="325"/>
    </row>
    <row r="676" spans="9:11" ht="12.75">
      <c r="I676" s="325"/>
      <c r="J676" s="325"/>
      <c r="K676" s="325"/>
    </row>
    <row r="677" spans="9:11" ht="12.75">
      <c r="I677" s="325"/>
      <c r="J677" s="325"/>
      <c r="K677" s="325"/>
    </row>
    <row r="678" spans="9:11" ht="12.75">
      <c r="I678" s="325"/>
      <c r="J678" s="325"/>
      <c r="K678" s="325"/>
    </row>
    <row r="679" spans="9:11" ht="12.75">
      <c r="I679" s="325"/>
      <c r="J679" s="325"/>
      <c r="K679" s="325"/>
    </row>
    <row r="680" spans="9:11" ht="12.75">
      <c r="I680" s="325"/>
      <c r="J680" s="325"/>
      <c r="K680" s="325"/>
    </row>
    <row r="681" spans="9:11" ht="12.75">
      <c r="I681" s="325"/>
      <c r="J681" s="325"/>
      <c r="K681" s="325"/>
    </row>
    <row r="682" spans="9:11" ht="12.75">
      <c r="I682" s="325"/>
      <c r="J682" s="325"/>
      <c r="K682" s="325"/>
    </row>
    <row r="683" spans="9:11" ht="12.75">
      <c r="I683" s="325"/>
      <c r="J683" s="325"/>
      <c r="K683" s="325"/>
    </row>
    <row r="684" spans="9:11" ht="12.75">
      <c r="I684" s="325"/>
      <c r="J684" s="325"/>
      <c r="K684" s="325"/>
    </row>
    <row r="685" spans="9:11" ht="12.75">
      <c r="I685" s="325"/>
      <c r="J685" s="325"/>
      <c r="K685" s="325"/>
    </row>
    <row r="686" spans="9:11" ht="12.75">
      <c r="I686" s="325"/>
      <c r="J686" s="325"/>
      <c r="K686" s="325"/>
    </row>
    <row r="687" spans="9:11" ht="12.75">
      <c r="I687" s="325"/>
      <c r="J687" s="325"/>
      <c r="K687" s="325"/>
    </row>
    <row r="688" spans="9:11" ht="12.75">
      <c r="I688" s="325"/>
      <c r="J688" s="325"/>
      <c r="K688" s="325"/>
    </row>
    <row r="689" spans="9:11" ht="12.75">
      <c r="I689" s="325"/>
      <c r="J689" s="325"/>
      <c r="K689" s="325"/>
    </row>
    <row r="690" spans="9:11" ht="12.75">
      <c r="I690" s="325"/>
      <c r="J690" s="325"/>
      <c r="K690" s="325"/>
    </row>
    <row r="691" spans="9:11" ht="12.75">
      <c r="I691" s="325"/>
      <c r="J691" s="325"/>
      <c r="K691" s="325"/>
    </row>
    <row r="692" spans="9:11" ht="12.75">
      <c r="I692" s="325"/>
      <c r="J692" s="325"/>
      <c r="K692" s="325"/>
    </row>
    <row r="693" spans="9:11" ht="12.75">
      <c r="I693" s="325"/>
      <c r="J693" s="325"/>
      <c r="K693" s="325"/>
    </row>
    <row r="694" spans="9:11" ht="12.75">
      <c r="I694" s="325"/>
      <c r="J694" s="325"/>
      <c r="K694" s="325"/>
    </row>
    <row r="695" spans="9:11" ht="12.75">
      <c r="I695" s="325"/>
      <c r="J695" s="325"/>
      <c r="K695" s="325"/>
    </row>
    <row r="696" spans="9:11" ht="12.75">
      <c r="I696" s="325"/>
      <c r="J696" s="325"/>
      <c r="K696" s="325"/>
    </row>
    <row r="697" spans="9:11" ht="12.75">
      <c r="I697" s="325"/>
      <c r="J697" s="325"/>
      <c r="K697" s="325"/>
    </row>
    <row r="698" spans="9:11" ht="12.75">
      <c r="I698" s="325"/>
      <c r="J698" s="325"/>
      <c r="K698" s="325"/>
    </row>
    <row r="699" spans="9:11" ht="12.75">
      <c r="I699" s="325"/>
      <c r="J699" s="325"/>
      <c r="K699" s="325"/>
    </row>
    <row r="700" spans="9:11" ht="12.75">
      <c r="I700" s="325"/>
      <c r="J700" s="325"/>
      <c r="K700" s="325"/>
    </row>
    <row r="701" spans="9:11" ht="12.75">
      <c r="I701" s="325"/>
      <c r="J701" s="325"/>
      <c r="K701" s="325"/>
    </row>
    <row r="702" spans="9:11" ht="12.75">
      <c r="I702" s="325"/>
      <c r="J702" s="325"/>
      <c r="K702" s="325"/>
    </row>
    <row r="703" spans="9:11" ht="12.75">
      <c r="I703" s="325"/>
      <c r="J703" s="325"/>
      <c r="K703" s="325"/>
    </row>
    <row r="704" spans="9:11" ht="12.75">
      <c r="I704" s="325"/>
      <c r="J704" s="325"/>
      <c r="K704" s="325"/>
    </row>
    <row r="705" spans="9:11" ht="12.75">
      <c r="I705" s="325"/>
      <c r="J705" s="325"/>
      <c r="K705" s="325"/>
    </row>
    <row r="706" spans="9:11" ht="12.75">
      <c r="I706" s="325"/>
      <c r="J706" s="325"/>
      <c r="K706" s="325"/>
    </row>
    <row r="707" spans="9:11" ht="12.75">
      <c r="I707" s="325"/>
      <c r="J707" s="325"/>
      <c r="K707" s="325"/>
    </row>
    <row r="708" spans="9:11" ht="12.75">
      <c r="I708" s="325"/>
      <c r="J708" s="325"/>
      <c r="K708" s="325"/>
    </row>
    <row r="709" spans="9:11" ht="12.75">
      <c r="I709" s="325"/>
      <c r="J709" s="325"/>
      <c r="K709" s="325"/>
    </row>
    <row r="710" spans="9:11" ht="12.75">
      <c r="I710" s="325"/>
      <c r="J710" s="325"/>
      <c r="K710" s="325"/>
    </row>
    <row r="711" spans="9:11" ht="12.75">
      <c r="I711" s="325"/>
      <c r="J711" s="325"/>
      <c r="K711" s="325"/>
    </row>
    <row r="712" spans="9:11" ht="12.75">
      <c r="I712" s="325"/>
      <c r="J712" s="325"/>
      <c r="K712" s="325"/>
    </row>
    <row r="713" spans="9:11" ht="12.75">
      <c r="I713" s="325"/>
      <c r="J713" s="325"/>
      <c r="K713" s="325"/>
    </row>
    <row r="714" spans="9:11" ht="12.75">
      <c r="I714" s="325"/>
      <c r="J714" s="325"/>
      <c r="K714" s="325"/>
    </row>
    <row r="715" spans="9:11" ht="12.75">
      <c r="I715" s="325"/>
      <c r="J715" s="325"/>
      <c r="K715" s="325"/>
    </row>
    <row r="716" spans="9:11" ht="12.75">
      <c r="I716" s="325"/>
      <c r="J716" s="325"/>
      <c r="K716" s="325"/>
    </row>
    <row r="717" spans="9:11" ht="12.75">
      <c r="I717" s="325"/>
      <c r="J717" s="325"/>
      <c r="K717" s="325"/>
    </row>
    <row r="718" spans="9:11" ht="12.75">
      <c r="I718" s="325"/>
      <c r="J718" s="325"/>
      <c r="K718" s="325"/>
    </row>
    <row r="719" spans="9:11" ht="12.75">
      <c r="I719" s="325"/>
      <c r="J719" s="325"/>
      <c r="K719" s="325"/>
    </row>
    <row r="720" spans="9:11" ht="12.75">
      <c r="I720" s="325"/>
      <c r="J720" s="325"/>
      <c r="K720" s="325"/>
    </row>
    <row r="721" spans="9:11" ht="12.75">
      <c r="I721" s="325"/>
      <c r="J721" s="325"/>
      <c r="K721" s="325"/>
    </row>
    <row r="722" spans="9:11" ht="12.75">
      <c r="I722" s="325"/>
      <c r="J722" s="325"/>
      <c r="K722" s="325"/>
    </row>
    <row r="723" spans="9:11" ht="12.75">
      <c r="I723" s="325"/>
      <c r="J723" s="325"/>
      <c r="K723" s="325"/>
    </row>
    <row r="724" spans="9:11" ht="12.75">
      <c r="I724" s="325"/>
      <c r="J724" s="325"/>
      <c r="K724" s="325"/>
    </row>
    <row r="725" spans="9:11" ht="12.75">
      <c r="I725" s="325"/>
      <c r="J725" s="325"/>
      <c r="K725" s="325"/>
    </row>
    <row r="726" spans="9:11" ht="12.75">
      <c r="I726" s="325"/>
      <c r="J726" s="325"/>
      <c r="K726" s="325"/>
    </row>
    <row r="727" spans="9:11" ht="12.75">
      <c r="I727" s="325"/>
      <c r="J727" s="325"/>
      <c r="K727" s="325"/>
    </row>
    <row r="728" spans="9:11" ht="12.75">
      <c r="I728" s="325"/>
      <c r="J728" s="325"/>
      <c r="K728" s="325"/>
    </row>
    <row r="729" spans="9:11" ht="12.75">
      <c r="I729" s="325"/>
      <c r="J729" s="325"/>
      <c r="K729" s="325"/>
    </row>
    <row r="730" spans="9:11" ht="12.75">
      <c r="I730" s="325"/>
      <c r="J730" s="325"/>
      <c r="K730" s="325"/>
    </row>
    <row r="731" spans="9:11" ht="12.75">
      <c r="I731" s="325"/>
      <c r="J731" s="325"/>
      <c r="K731" s="325"/>
    </row>
    <row r="732" spans="9:11" ht="12.75">
      <c r="I732" s="325"/>
      <c r="J732" s="325"/>
      <c r="K732" s="325"/>
    </row>
    <row r="733" spans="9:11" ht="12.75">
      <c r="I733" s="325"/>
      <c r="J733" s="325"/>
      <c r="K733" s="325"/>
    </row>
    <row r="734" spans="9:11" ht="12.75">
      <c r="I734" s="325"/>
      <c r="J734" s="325"/>
      <c r="K734" s="325"/>
    </row>
    <row r="735" spans="9:11" ht="12.75">
      <c r="I735" s="325"/>
      <c r="J735" s="325"/>
      <c r="K735" s="325"/>
    </row>
    <row r="736" spans="9:11" ht="12.75">
      <c r="I736" s="325"/>
      <c r="J736" s="325"/>
      <c r="K736" s="325"/>
    </row>
    <row r="737" spans="9:11" ht="12.75">
      <c r="I737" s="325"/>
      <c r="J737" s="325"/>
      <c r="K737" s="325"/>
    </row>
    <row r="738" spans="9:11" ht="12.75">
      <c r="I738" s="325"/>
      <c r="J738" s="325"/>
      <c r="K738" s="325"/>
    </row>
    <row r="739" spans="9:11" ht="12.75">
      <c r="I739" s="325"/>
      <c r="J739" s="325"/>
      <c r="K739" s="325"/>
    </row>
    <row r="740" spans="9:11" ht="12.75">
      <c r="I740" s="325"/>
      <c r="J740" s="325"/>
      <c r="K740" s="325"/>
    </row>
    <row r="741" spans="9:11" ht="12.75">
      <c r="I741" s="325"/>
      <c r="J741" s="325"/>
      <c r="K741" s="325"/>
    </row>
    <row r="742" spans="9:11" ht="12.75">
      <c r="I742" s="325"/>
      <c r="J742" s="325"/>
      <c r="K742" s="325"/>
    </row>
    <row r="743" spans="9:11" ht="12.75">
      <c r="I743" s="325"/>
      <c r="J743" s="325"/>
      <c r="K743" s="325"/>
    </row>
    <row r="744" spans="9:11" ht="12.75">
      <c r="I744" s="325"/>
      <c r="J744" s="325"/>
      <c r="K744" s="325"/>
    </row>
    <row r="745" spans="9:11" ht="12.75">
      <c r="I745" s="325"/>
      <c r="J745" s="325"/>
      <c r="K745" s="325"/>
    </row>
    <row r="746" spans="9:11" ht="12.75">
      <c r="I746" s="325"/>
      <c r="J746" s="325"/>
      <c r="K746" s="325"/>
    </row>
    <row r="747" spans="9:11" ht="12.75">
      <c r="I747" s="325"/>
      <c r="J747" s="325"/>
      <c r="K747" s="325"/>
    </row>
    <row r="748" spans="9:11" ht="12.75">
      <c r="I748" s="325"/>
      <c r="J748" s="325"/>
      <c r="K748" s="325"/>
    </row>
    <row r="749" spans="9:11" ht="12.75">
      <c r="I749" s="325"/>
      <c r="J749" s="325"/>
      <c r="K749" s="325"/>
    </row>
    <row r="750" spans="9:11" ht="12.75">
      <c r="I750" s="325"/>
      <c r="J750" s="325"/>
      <c r="K750" s="325"/>
    </row>
    <row r="751" spans="9:11" ht="12.75">
      <c r="I751" s="325"/>
      <c r="J751" s="325"/>
      <c r="K751" s="325"/>
    </row>
    <row r="752" spans="9:11" ht="12.75">
      <c r="I752" s="325"/>
      <c r="J752" s="325"/>
      <c r="K752" s="325"/>
    </row>
    <row r="753" spans="9:11" ht="12.75">
      <c r="I753" s="325"/>
      <c r="J753" s="325"/>
      <c r="K753" s="325"/>
    </row>
    <row r="754" spans="9:11" ht="12.75">
      <c r="I754" s="325"/>
      <c r="J754" s="325"/>
      <c r="K754" s="325"/>
    </row>
    <row r="755" spans="9:11" ht="12.75">
      <c r="I755" s="325"/>
      <c r="J755" s="325"/>
      <c r="K755" s="325"/>
    </row>
    <row r="756" spans="9:11" ht="12.75">
      <c r="I756" s="325"/>
      <c r="J756" s="325"/>
      <c r="K756" s="325"/>
    </row>
    <row r="757" spans="9:11" ht="12.75">
      <c r="I757" s="325"/>
      <c r="J757" s="325"/>
      <c r="K757" s="325"/>
    </row>
    <row r="758" spans="9:11" ht="12.75">
      <c r="I758" s="325"/>
      <c r="J758" s="325"/>
      <c r="K758" s="325"/>
    </row>
    <row r="759" spans="9:11" ht="12.75">
      <c r="I759" s="325"/>
      <c r="J759" s="325"/>
      <c r="K759" s="325"/>
    </row>
    <row r="760" spans="9:11" ht="12.75">
      <c r="I760" s="325"/>
      <c r="J760" s="325"/>
      <c r="K760" s="325"/>
    </row>
    <row r="761" spans="9:11" ht="12.75">
      <c r="I761" s="325"/>
      <c r="J761" s="325"/>
      <c r="K761" s="325"/>
    </row>
    <row r="762" spans="9:11" ht="12.75">
      <c r="I762" s="325"/>
      <c r="J762" s="325"/>
      <c r="K762" s="325"/>
    </row>
    <row r="763" spans="9:11" ht="12.75">
      <c r="I763" s="325"/>
      <c r="J763" s="325"/>
      <c r="K763" s="325"/>
    </row>
    <row r="764" spans="9:11" ht="12.75">
      <c r="I764" s="325"/>
      <c r="J764" s="325"/>
      <c r="K764" s="325"/>
    </row>
    <row r="765" spans="9:11" ht="12.75">
      <c r="I765" s="325"/>
      <c r="J765" s="325"/>
      <c r="K765" s="325"/>
    </row>
    <row r="766" spans="9:11" ht="12.75">
      <c r="I766" s="325"/>
      <c r="J766" s="325"/>
      <c r="K766" s="325"/>
    </row>
    <row r="767" spans="9:11" ht="12.75">
      <c r="I767" s="325"/>
      <c r="J767" s="325"/>
      <c r="K767" s="325"/>
    </row>
    <row r="768" spans="9:11" ht="12.75">
      <c r="I768" s="325"/>
      <c r="J768" s="325"/>
      <c r="K768" s="325"/>
    </row>
    <row r="769" spans="9:11" ht="12.75">
      <c r="I769" s="325"/>
      <c r="J769" s="325"/>
      <c r="K769" s="325"/>
    </row>
    <row r="770" spans="9:11" ht="12.75">
      <c r="I770" s="325"/>
      <c r="J770" s="325"/>
      <c r="K770" s="325"/>
    </row>
    <row r="771" spans="9:11" ht="12.75">
      <c r="I771" s="325"/>
      <c r="J771" s="325"/>
      <c r="K771" s="325"/>
    </row>
    <row r="772" spans="9:11" ht="12.75">
      <c r="I772" s="325"/>
      <c r="J772" s="325"/>
      <c r="K772" s="325"/>
    </row>
    <row r="773" spans="9:11" ht="12.75">
      <c r="I773" s="325"/>
      <c r="J773" s="325"/>
      <c r="K773" s="325"/>
    </row>
    <row r="774" spans="9:11" ht="12.75">
      <c r="I774" s="325"/>
      <c r="J774" s="325"/>
      <c r="K774" s="325"/>
    </row>
    <row r="775" spans="9:11" ht="12.75">
      <c r="I775" s="325"/>
      <c r="J775" s="325"/>
      <c r="K775" s="325"/>
    </row>
    <row r="776" spans="9:11" ht="12.75">
      <c r="I776" s="325"/>
      <c r="J776" s="325"/>
      <c r="K776" s="325"/>
    </row>
    <row r="777" spans="9:11" ht="12.75">
      <c r="I777" s="325"/>
      <c r="J777" s="325"/>
      <c r="K777" s="325"/>
    </row>
    <row r="778" spans="9:11" ht="12.75">
      <c r="I778" s="325"/>
      <c r="J778" s="325"/>
      <c r="K778" s="325"/>
    </row>
    <row r="779" spans="9:11" ht="12.75">
      <c r="I779" s="325"/>
      <c r="J779" s="325"/>
      <c r="K779" s="325"/>
    </row>
    <row r="780" spans="9:11" ht="12.75">
      <c r="I780" s="325"/>
      <c r="J780" s="325"/>
      <c r="K780" s="325"/>
    </row>
    <row r="781" spans="9:11" ht="12.75">
      <c r="I781" s="325"/>
      <c r="J781" s="325"/>
      <c r="K781" s="325"/>
    </row>
    <row r="782" spans="9:11" ht="12.75">
      <c r="I782" s="325"/>
      <c r="J782" s="325"/>
      <c r="K782" s="325"/>
    </row>
    <row r="783" spans="9:11" ht="12.75">
      <c r="I783" s="325"/>
      <c r="J783" s="325"/>
      <c r="K783" s="325"/>
    </row>
    <row r="784" spans="9:11" ht="12.75">
      <c r="I784" s="325"/>
      <c r="J784" s="325"/>
      <c r="K784" s="325"/>
    </row>
    <row r="785" spans="9:11" ht="12.75">
      <c r="I785" s="325"/>
      <c r="J785" s="325"/>
      <c r="K785" s="325"/>
    </row>
    <row r="786" spans="9:11" ht="12.75">
      <c r="I786" s="325"/>
      <c r="J786" s="325"/>
      <c r="K786" s="325"/>
    </row>
    <row r="787" spans="9:11" ht="12.75">
      <c r="I787" s="325"/>
      <c r="J787" s="325"/>
      <c r="K787" s="325"/>
    </row>
    <row r="788" spans="9:11" ht="12.75">
      <c r="I788" s="325"/>
      <c r="J788" s="325"/>
      <c r="K788" s="325"/>
    </row>
    <row r="789" spans="9:11" ht="12.75">
      <c r="I789" s="325"/>
      <c r="J789" s="325"/>
      <c r="K789" s="325"/>
    </row>
    <row r="790" spans="9:11" ht="12.75">
      <c r="I790" s="325"/>
      <c r="J790" s="325"/>
      <c r="K790" s="325"/>
    </row>
    <row r="791" spans="9:11" ht="12.75">
      <c r="I791" s="325"/>
      <c r="J791" s="325"/>
      <c r="K791" s="325"/>
    </row>
    <row r="792" spans="9:11" ht="12.75">
      <c r="I792" s="325"/>
      <c r="J792" s="325"/>
      <c r="K792" s="325"/>
    </row>
    <row r="793" spans="9:11" ht="12.75">
      <c r="I793" s="325"/>
      <c r="J793" s="325"/>
      <c r="K793" s="325"/>
    </row>
    <row r="794" spans="9:11" ht="12.75">
      <c r="I794" s="325"/>
      <c r="J794" s="325"/>
      <c r="K794" s="325"/>
    </row>
    <row r="795" spans="9:11" ht="12.75">
      <c r="I795" s="325"/>
      <c r="J795" s="325"/>
      <c r="K795" s="325"/>
    </row>
    <row r="796" spans="9:11" ht="12.75">
      <c r="I796" s="325"/>
      <c r="J796" s="325"/>
      <c r="K796" s="325"/>
    </row>
    <row r="797" spans="9:11" ht="12.75">
      <c r="I797" s="325"/>
      <c r="J797" s="325"/>
      <c r="K797" s="325"/>
    </row>
    <row r="798" spans="9:11" ht="12.75">
      <c r="I798" s="325"/>
      <c r="J798" s="325"/>
      <c r="K798" s="325"/>
    </row>
    <row r="799" spans="9:11" ht="12.75">
      <c r="I799" s="325"/>
      <c r="J799" s="325"/>
      <c r="K799" s="325"/>
    </row>
    <row r="800" spans="9:11" ht="12.75">
      <c r="I800" s="325"/>
      <c r="J800" s="325"/>
      <c r="K800" s="325"/>
    </row>
    <row r="801" spans="9:11" ht="12.75">
      <c r="I801" s="325"/>
      <c r="J801" s="325"/>
      <c r="K801" s="325"/>
    </row>
    <row r="802" spans="9:11" ht="12.75">
      <c r="I802" s="325"/>
      <c r="J802" s="325"/>
      <c r="K802" s="325"/>
    </row>
    <row r="803" spans="9:11" ht="12.75">
      <c r="I803" s="325"/>
      <c r="J803" s="325"/>
      <c r="K803" s="325"/>
    </row>
    <row r="804" spans="9:11" ht="12.75">
      <c r="I804" s="325"/>
      <c r="J804" s="325"/>
      <c r="K804" s="325"/>
    </row>
    <row r="805" spans="9:11" ht="12.75">
      <c r="I805" s="325"/>
      <c r="J805" s="325"/>
      <c r="K805" s="325"/>
    </row>
    <row r="806" spans="9:11" ht="12.75">
      <c r="I806" s="325"/>
      <c r="J806" s="325"/>
      <c r="K806" s="325"/>
    </row>
    <row r="807" spans="9:11" ht="12.75">
      <c r="I807" s="325"/>
      <c r="J807" s="325"/>
      <c r="K807" s="325"/>
    </row>
    <row r="808" spans="9:11" ht="12.75">
      <c r="I808" s="325"/>
      <c r="J808" s="325"/>
      <c r="K808" s="325"/>
    </row>
    <row r="809" spans="9:11" ht="12.75">
      <c r="I809" s="325"/>
      <c r="J809" s="325"/>
      <c r="K809" s="325"/>
    </row>
    <row r="810" spans="9:11" ht="12.75">
      <c r="I810" s="325"/>
      <c r="J810" s="325"/>
      <c r="K810" s="325"/>
    </row>
    <row r="811" spans="9:11" ht="12.75">
      <c r="I811" s="325"/>
      <c r="J811" s="325"/>
      <c r="K811" s="325"/>
    </row>
    <row r="812" spans="9:11" ht="12.75">
      <c r="I812" s="325"/>
      <c r="J812" s="325"/>
      <c r="K812" s="325"/>
    </row>
    <row r="813" spans="9:11" ht="12.75">
      <c r="I813" s="325"/>
      <c r="J813" s="325"/>
      <c r="K813" s="325"/>
    </row>
    <row r="814" spans="9:11" ht="12.75">
      <c r="I814" s="325"/>
      <c r="J814" s="325"/>
      <c r="K814" s="325"/>
    </row>
    <row r="815" spans="9:11" ht="12.75">
      <c r="I815" s="325"/>
      <c r="J815" s="325"/>
      <c r="K815" s="325"/>
    </row>
    <row r="816" spans="9:11" ht="12.75">
      <c r="I816" s="325"/>
      <c r="J816" s="325"/>
      <c r="K816" s="325"/>
    </row>
    <row r="817" spans="9:11" ht="12.75">
      <c r="I817" s="325"/>
      <c r="J817" s="325"/>
      <c r="K817" s="325"/>
    </row>
    <row r="818" spans="9:11" ht="12.75">
      <c r="I818" s="325"/>
      <c r="J818" s="325"/>
      <c r="K818" s="325"/>
    </row>
    <row r="819" spans="9:11" ht="12.75">
      <c r="I819" s="325"/>
      <c r="J819" s="325"/>
      <c r="K819" s="325"/>
    </row>
    <row r="820" spans="9:11" ht="12.75">
      <c r="I820" s="325"/>
      <c r="J820" s="325"/>
      <c r="K820" s="325"/>
    </row>
    <row r="821" spans="9:11" ht="12.75">
      <c r="I821" s="325"/>
      <c r="J821" s="325"/>
      <c r="K821" s="325"/>
    </row>
    <row r="822" spans="9:11" ht="12.75">
      <c r="I822" s="325"/>
      <c r="J822" s="325"/>
      <c r="K822" s="325"/>
    </row>
    <row r="823" spans="9:11" ht="12.75">
      <c r="I823" s="325"/>
      <c r="J823" s="325"/>
      <c r="K823" s="325"/>
    </row>
    <row r="824" spans="9:11" ht="12.75">
      <c r="I824" s="325"/>
      <c r="J824" s="325"/>
      <c r="K824" s="325"/>
    </row>
    <row r="825" spans="9:11" ht="12.75">
      <c r="I825" s="325"/>
      <c r="J825" s="325"/>
      <c r="K825" s="325"/>
    </row>
    <row r="826" spans="9:11" ht="12.75">
      <c r="I826" s="325"/>
      <c r="J826" s="325"/>
      <c r="K826" s="325"/>
    </row>
    <row r="827" spans="9:11" ht="12.75">
      <c r="I827" s="325"/>
      <c r="J827" s="325"/>
      <c r="K827" s="325"/>
    </row>
    <row r="828" spans="9:11" ht="12.75">
      <c r="I828" s="325"/>
      <c r="J828" s="325"/>
      <c r="K828" s="325"/>
    </row>
    <row r="829" spans="9:11" ht="12.75">
      <c r="I829" s="325"/>
      <c r="J829" s="325"/>
      <c r="K829" s="325"/>
    </row>
    <row r="830" spans="9:11" ht="12.75">
      <c r="I830" s="325"/>
      <c r="J830" s="325"/>
      <c r="K830" s="325"/>
    </row>
    <row r="831" spans="9:11" ht="12.75">
      <c r="I831" s="325"/>
      <c r="J831" s="325"/>
      <c r="K831" s="325"/>
    </row>
    <row r="832" spans="9:11" ht="12.75">
      <c r="I832" s="325"/>
      <c r="J832" s="325"/>
      <c r="K832" s="325"/>
    </row>
    <row r="833" spans="9:11" ht="12.75">
      <c r="I833" s="325"/>
      <c r="J833" s="325"/>
      <c r="K833" s="325"/>
    </row>
    <row r="834" spans="9:11" ht="12.75">
      <c r="I834" s="325"/>
      <c r="J834" s="325"/>
      <c r="K834" s="325"/>
    </row>
    <row r="835" spans="9:11" ht="12.75">
      <c r="I835" s="325"/>
      <c r="J835" s="325"/>
      <c r="K835" s="325"/>
    </row>
    <row r="836" spans="9:11" ht="12.75">
      <c r="I836" s="325"/>
      <c r="J836" s="325"/>
      <c r="K836" s="325"/>
    </row>
    <row r="837" spans="9:11" ht="12.75">
      <c r="I837" s="325"/>
      <c r="J837" s="325"/>
      <c r="K837" s="325"/>
    </row>
    <row r="838" spans="9:11" ht="12.75">
      <c r="I838" s="325"/>
      <c r="J838" s="325"/>
      <c r="K838" s="325"/>
    </row>
    <row r="839" spans="9:11" ht="12.75">
      <c r="I839" s="325"/>
      <c r="J839" s="325"/>
      <c r="K839" s="325"/>
    </row>
    <row r="840" spans="9:11" ht="12.75">
      <c r="I840" s="325"/>
      <c r="J840" s="325"/>
      <c r="K840" s="325"/>
    </row>
    <row r="841" spans="9:11" ht="12.75">
      <c r="I841" s="325"/>
      <c r="J841" s="325"/>
      <c r="K841" s="325"/>
    </row>
    <row r="842" spans="9:11" ht="12.75">
      <c r="I842" s="325"/>
      <c r="J842" s="325"/>
      <c r="K842" s="325"/>
    </row>
    <row r="843" spans="9:11" ht="12.75">
      <c r="I843" s="325"/>
      <c r="J843" s="325"/>
      <c r="K843" s="325"/>
    </row>
    <row r="844" spans="9:11" ht="12.75">
      <c r="I844" s="325"/>
      <c r="J844" s="325"/>
      <c r="K844" s="325"/>
    </row>
    <row r="845" spans="9:11" ht="12.75">
      <c r="I845" s="325"/>
      <c r="J845" s="325"/>
      <c r="K845" s="325"/>
    </row>
    <row r="846" spans="9:11" ht="12.75">
      <c r="I846" s="325"/>
      <c r="J846" s="325"/>
      <c r="K846" s="325"/>
    </row>
    <row r="847" spans="9:11" ht="12.75">
      <c r="I847" s="325"/>
      <c r="J847" s="325"/>
      <c r="K847" s="325"/>
    </row>
    <row r="848" spans="9:11" ht="12.75">
      <c r="I848" s="325"/>
      <c r="J848" s="325"/>
      <c r="K848" s="325"/>
    </row>
    <row r="849" spans="9:11" ht="12.75">
      <c r="I849" s="325"/>
      <c r="J849" s="325"/>
      <c r="K849" s="325"/>
    </row>
    <row r="850" spans="9:11" ht="12.75">
      <c r="I850" s="325"/>
      <c r="J850" s="325"/>
      <c r="K850" s="325"/>
    </row>
    <row r="851" spans="9:11" ht="12.75">
      <c r="I851" s="325"/>
      <c r="J851" s="325"/>
      <c r="K851" s="325"/>
    </row>
    <row r="852" spans="9:11" ht="12.75">
      <c r="I852" s="325"/>
      <c r="J852" s="325"/>
      <c r="K852" s="325"/>
    </row>
    <row r="853" spans="9:11" ht="12.75">
      <c r="I853" s="325"/>
      <c r="J853" s="325"/>
      <c r="K853" s="325"/>
    </row>
    <row r="854" spans="9:11" ht="12.75">
      <c r="I854" s="325"/>
      <c r="J854" s="325"/>
      <c r="K854" s="325"/>
    </row>
    <row r="855" spans="9:11" ht="12.75">
      <c r="I855" s="325"/>
      <c r="J855" s="325"/>
      <c r="K855" s="325"/>
    </row>
    <row r="856" spans="9:11" ht="12.75">
      <c r="I856" s="325"/>
      <c r="J856" s="325"/>
      <c r="K856" s="325"/>
    </row>
    <row r="857" spans="9:11" ht="12.75">
      <c r="I857" s="325"/>
      <c r="J857" s="325"/>
      <c r="K857" s="325"/>
    </row>
    <row r="858" spans="9:11" ht="12.75">
      <c r="I858" s="325"/>
      <c r="J858" s="325"/>
      <c r="K858" s="325"/>
    </row>
    <row r="859" spans="9:11" ht="12.75">
      <c r="I859" s="325"/>
      <c r="J859" s="325"/>
      <c r="K859" s="325"/>
    </row>
    <row r="860" spans="9:11" ht="12.75">
      <c r="I860" s="325"/>
      <c r="J860" s="325"/>
      <c r="K860" s="325"/>
    </row>
    <row r="861" spans="9:11" ht="12.75">
      <c r="I861" s="325"/>
      <c r="J861" s="325"/>
      <c r="K861" s="325"/>
    </row>
    <row r="862" spans="9:11" ht="12.75">
      <c r="I862" s="325"/>
      <c r="J862" s="325"/>
      <c r="K862" s="325"/>
    </row>
    <row r="863" spans="9:11" ht="12.75">
      <c r="I863" s="325"/>
      <c r="J863" s="325"/>
      <c r="K863" s="325"/>
    </row>
    <row r="864" spans="9:11" ht="12.75">
      <c r="I864" s="325"/>
      <c r="J864" s="325"/>
      <c r="K864" s="325"/>
    </row>
    <row r="865" spans="9:11" ht="12.75">
      <c r="I865" s="325"/>
      <c r="J865" s="325"/>
      <c r="K865" s="325"/>
    </row>
    <row r="866" spans="9:11" ht="12.75">
      <c r="I866" s="325"/>
      <c r="J866" s="325"/>
      <c r="K866" s="325"/>
    </row>
    <row r="867" spans="9:11" ht="12.75">
      <c r="I867" s="325"/>
      <c r="J867" s="325"/>
      <c r="K867" s="325"/>
    </row>
    <row r="868" spans="9:11" ht="12.75">
      <c r="I868" s="325"/>
      <c r="J868" s="325"/>
      <c r="K868" s="325"/>
    </row>
    <row r="869" spans="9:11" ht="12.75">
      <c r="I869" s="325"/>
      <c r="J869" s="325"/>
      <c r="K869" s="325"/>
    </row>
    <row r="870" spans="9:11" ht="12.75">
      <c r="I870" s="325"/>
      <c r="J870" s="325"/>
      <c r="K870" s="325"/>
    </row>
    <row r="871" spans="9:11" ht="12.75">
      <c r="I871" s="325"/>
      <c r="J871" s="325"/>
      <c r="K871" s="325"/>
    </row>
    <row r="872" spans="9:11" ht="12.75">
      <c r="I872" s="325"/>
      <c r="J872" s="325"/>
      <c r="K872" s="325"/>
    </row>
    <row r="873" spans="9:11" ht="12.75">
      <c r="I873" s="325"/>
      <c r="J873" s="325"/>
      <c r="K873" s="325"/>
    </row>
    <row r="874" spans="9:11" ht="12.75">
      <c r="I874" s="325"/>
      <c r="J874" s="325"/>
      <c r="K874" s="325"/>
    </row>
    <row r="875" spans="9:11" ht="12.75">
      <c r="I875" s="325"/>
      <c r="J875" s="325"/>
      <c r="K875" s="325"/>
    </row>
    <row r="876" spans="9:11" ht="12.75">
      <c r="I876" s="325"/>
      <c r="J876" s="325"/>
      <c r="K876" s="325"/>
    </row>
    <row r="877" spans="9:11" ht="12.75">
      <c r="I877" s="325"/>
      <c r="J877" s="325"/>
      <c r="K877" s="325"/>
    </row>
    <row r="878" spans="9:11" ht="12.75">
      <c r="I878" s="325"/>
      <c r="J878" s="325"/>
      <c r="K878" s="325"/>
    </row>
    <row r="879" spans="9:11" ht="12.75">
      <c r="I879" s="325"/>
      <c r="J879" s="325"/>
      <c r="K879" s="325"/>
    </row>
    <row r="880" spans="9:11" ht="12.75">
      <c r="I880" s="325"/>
      <c r="J880" s="325"/>
      <c r="K880" s="325"/>
    </row>
    <row r="881" spans="9:11" ht="12.75">
      <c r="I881" s="325"/>
      <c r="J881" s="325"/>
      <c r="K881" s="325"/>
    </row>
    <row r="882" spans="9:11" ht="12.75">
      <c r="I882" s="325"/>
      <c r="J882" s="325"/>
      <c r="K882" s="325"/>
    </row>
    <row r="883" spans="9:11" ht="12.75">
      <c r="I883" s="325"/>
      <c r="J883" s="325"/>
      <c r="K883" s="325"/>
    </row>
    <row r="884" spans="9:11" ht="12.75">
      <c r="I884" s="325"/>
      <c r="J884" s="325"/>
      <c r="K884" s="325"/>
    </row>
    <row r="885" spans="9:11" ht="12.75">
      <c r="I885" s="325"/>
      <c r="J885" s="325"/>
      <c r="K885" s="325"/>
    </row>
    <row r="886" spans="9:11" ht="12.75">
      <c r="I886" s="325"/>
      <c r="J886" s="325"/>
      <c r="K886" s="325"/>
    </row>
    <row r="887" spans="9:11" ht="12.75">
      <c r="I887" s="325"/>
      <c r="J887" s="325"/>
      <c r="K887" s="325"/>
    </row>
    <row r="888" spans="9:11" ht="12.75">
      <c r="I888" s="325"/>
      <c r="J888" s="325"/>
      <c r="K888" s="325"/>
    </row>
    <row r="889" spans="9:11" ht="12.75">
      <c r="I889" s="325"/>
      <c r="J889" s="325"/>
      <c r="K889" s="325"/>
    </row>
    <row r="890" spans="9:11" ht="12.75">
      <c r="I890" s="325"/>
      <c r="J890" s="325"/>
      <c r="K890" s="325"/>
    </row>
    <row r="891" spans="9:11" ht="12.75">
      <c r="I891" s="325"/>
      <c r="J891" s="325"/>
      <c r="K891" s="325"/>
    </row>
    <row r="892" spans="9:11" ht="12.75">
      <c r="I892" s="325"/>
      <c r="J892" s="325"/>
      <c r="K892" s="325"/>
    </row>
    <row r="893" spans="9:11" ht="12.75">
      <c r="I893" s="325"/>
      <c r="J893" s="325"/>
      <c r="K893" s="325"/>
    </row>
    <row r="894" spans="9:11" ht="12.75">
      <c r="I894" s="325"/>
      <c r="J894" s="325"/>
      <c r="K894" s="325"/>
    </row>
    <row r="895" spans="9:11" ht="12.75">
      <c r="I895" s="325"/>
      <c r="J895" s="325"/>
      <c r="K895" s="325"/>
    </row>
    <row r="896" spans="9:11" ht="12.75">
      <c r="I896" s="325"/>
      <c r="J896" s="325"/>
      <c r="K896" s="325"/>
    </row>
    <row r="897" spans="9:11" ht="12.75">
      <c r="I897" s="325"/>
      <c r="J897" s="325"/>
      <c r="K897" s="325"/>
    </row>
    <row r="898" spans="9:11" ht="12.75">
      <c r="I898" s="325"/>
      <c r="J898" s="325"/>
      <c r="K898" s="325"/>
    </row>
    <row r="899" spans="9:11" ht="12.75">
      <c r="I899" s="325"/>
      <c r="J899" s="325"/>
      <c r="K899" s="325"/>
    </row>
    <row r="900" spans="9:11" ht="12.75">
      <c r="I900" s="325"/>
      <c r="J900" s="325"/>
      <c r="K900" s="325"/>
    </row>
    <row r="901" spans="9:11" ht="12.75">
      <c r="I901" s="325"/>
      <c r="J901" s="325"/>
      <c r="K901" s="325"/>
    </row>
    <row r="902" spans="9:11" ht="12.75">
      <c r="I902" s="325"/>
      <c r="J902" s="325"/>
      <c r="K902" s="325"/>
    </row>
    <row r="903" spans="9:11" ht="12.75">
      <c r="I903" s="325"/>
      <c r="J903" s="325"/>
      <c r="K903" s="325"/>
    </row>
    <row r="904" spans="9:11" ht="12.75">
      <c r="I904" s="325"/>
      <c r="J904" s="325"/>
      <c r="K904" s="325"/>
    </row>
    <row r="905" spans="9:11" ht="12.75">
      <c r="I905" s="325"/>
      <c r="J905" s="325"/>
      <c r="K905" s="325"/>
    </row>
    <row r="906" spans="9:11" ht="12.75">
      <c r="I906" s="325"/>
      <c r="J906" s="325"/>
      <c r="K906" s="325"/>
    </row>
    <row r="907" spans="9:11" ht="12.75">
      <c r="I907" s="325"/>
      <c r="J907" s="325"/>
      <c r="K907" s="325"/>
    </row>
    <row r="908" spans="9:11" ht="12.75">
      <c r="I908" s="325"/>
      <c r="J908" s="325"/>
      <c r="K908" s="325"/>
    </row>
    <row r="909" spans="9:11" ht="12.75">
      <c r="I909" s="325"/>
      <c r="J909" s="325"/>
      <c r="K909" s="325"/>
    </row>
    <row r="910" spans="9:11" ht="12.75">
      <c r="I910" s="325"/>
      <c r="J910" s="325"/>
      <c r="K910" s="325"/>
    </row>
    <row r="911" spans="9:11" ht="12.75">
      <c r="I911" s="325"/>
      <c r="J911" s="325"/>
      <c r="K911" s="325"/>
    </row>
    <row r="912" spans="9:11" ht="12.75">
      <c r="I912" s="325"/>
      <c r="J912" s="325"/>
      <c r="K912" s="325"/>
    </row>
    <row r="913" spans="9:11" ht="12.75">
      <c r="I913" s="325"/>
      <c r="J913" s="325"/>
      <c r="K913" s="325"/>
    </row>
    <row r="914" spans="9:11" ht="12.75">
      <c r="I914" s="325"/>
      <c r="J914" s="325"/>
      <c r="K914" s="325"/>
    </row>
    <row r="915" spans="9:11" ht="12.75">
      <c r="I915" s="325"/>
      <c r="J915" s="325"/>
      <c r="K915" s="325"/>
    </row>
    <row r="916" spans="9:11" ht="12.75">
      <c r="I916" s="325"/>
      <c r="J916" s="325"/>
      <c r="K916" s="325"/>
    </row>
    <row r="917" spans="9:11" ht="12.75">
      <c r="I917" s="325"/>
      <c r="J917" s="325"/>
      <c r="K917" s="325"/>
    </row>
    <row r="918" spans="9:11" ht="12.75">
      <c r="I918" s="325"/>
      <c r="J918" s="325"/>
      <c r="K918" s="325"/>
    </row>
    <row r="919" spans="9:11" ht="12.75">
      <c r="I919" s="325"/>
      <c r="J919" s="325"/>
      <c r="K919" s="325"/>
    </row>
    <row r="920" spans="9:11" ht="12.75">
      <c r="I920" s="325"/>
      <c r="J920" s="325"/>
      <c r="K920" s="325"/>
    </row>
    <row r="921" spans="9:11" ht="12.75">
      <c r="I921" s="325"/>
      <c r="J921" s="325"/>
      <c r="K921" s="325"/>
    </row>
    <row r="922" spans="9:11" ht="12.75">
      <c r="I922" s="325"/>
      <c r="J922" s="325"/>
      <c r="K922" s="325"/>
    </row>
    <row r="923" spans="9:11" ht="12.75">
      <c r="I923" s="325"/>
      <c r="J923" s="325"/>
      <c r="K923" s="325"/>
    </row>
    <row r="924" spans="9:11" ht="12.75">
      <c r="I924" s="325"/>
      <c r="J924" s="325"/>
      <c r="K924" s="325"/>
    </row>
    <row r="925" spans="9:11" ht="12.75">
      <c r="I925" s="325"/>
      <c r="J925" s="325"/>
      <c r="K925" s="325"/>
    </row>
    <row r="926" spans="9:11" ht="12.75">
      <c r="I926" s="325"/>
      <c r="J926" s="325"/>
      <c r="K926" s="325"/>
    </row>
    <row r="927" spans="9:11" ht="12.75">
      <c r="I927" s="325"/>
      <c r="J927" s="325"/>
      <c r="K927" s="325"/>
    </row>
    <row r="928" spans="9:11" ht="12.75">
      <c r="I928" s="325"/>
      <c r="J928" s="325"/>
      <c r="K928" s="325"/>
    </row>
    <row r="929" spans="9:11" ht="12.75">
      <c r="I929" s="325"/>
      <c r="J929" s="325"/>
      <c r="K929" s="325"/>
    </row>
    <row r="930" spans="9:11" ht="12.75">
      <c r="I930" s="325"/>
      <c r="J930" s="325"/>
      <c r="K930" s="325"/>
    </row>
    <row r="931" spans="9:11" ht="12.75">
      <c r="I931" s="325"/>
      <c r="J931" s="325"/>
      <c r="K931" s="325"/>
    </row>
    <row r="932" spans="9:11" ht="12.75">
      <c r="I932" s="325"/>
      <c r="J932" s="325"/>
      <c r="K932" s="325"/>
    </row>
    <row r="933" spans="9:11" ht="12.75">
      <c r="I933" s="325"/>
      <c r="J933" s="325"/>
      <c r="K933" s="325"/>
    </row>
    <row r="934" spans="9:11" ht="12.75">
      <c r="I934" s="325"/>
      <c r="J934" s="325"/>
      <c r="K934" s="325"/>
    </row>
    <row r="935" spans="9:11" ht="12.75">
      <c r="I935" s="325"/>
      <c r="J935" s="325"/>
      <c r="K935" s="325"/>
    </row>
    <row r="936" spans="9:11" ht="12.75">
      <c r="I936" s="325"/>
      <c r="J936" s="325"/>
      <c r="K936" s="325"/>
    </row>
    <row r="937" spans="9:11" ht="12.75">
      <c r="I937" s="325"/>
      <c r="J937" s="325"/>
      <c r="K937" s="325"/>
    </row>
    <row r="938" spans="9:11" ht="12.75">
      <c r="I938" s="325"/>
      <c r="J938" s="325"/>
      <c r="K938" s="325"/>
    </row>
    <row r="939" spans="9:11" ht="12.75">
      <c r="I939" s="325"/>
      <c r="J939" s="325"/>
      <c r="K939" s="325"/>
    </row>
    <row r="940" spans="9:11" ht="12.75">
      <c r="I940" s="325"/>
      <c r="J940" s="325"/>
      <c r="K940" s="325"/>
    </row>
    <row r="941" spans="9:11" ht="12.75">
      <c r="I941" s="325"/>
      <c r="J941" s="325"/>
      <c r="K941" s="325"/>
    </row>
    <row r="942" spans="9:11" ht="12.75">
      <c r="I942" s="325"/>
      <c r="J942" s="325"/>
      <c r="K942" s="325"/>
    </row>
    <row r="943" spans="9:11" ht="12.75">
      <c r="I943" s="325"/>
      <c r="J943" s="325"/>
      <c r="K943" s="325"/>
    </row>
    <row r="944" spans="9:11" ht="12.75">
      <c r="I944" s="325"/>
      <c r="J944" s="325"/>
      <c r="K944" s="325"/>
    </row>
    <row r="945" spans="9:11" ht="12.75">
      <c r="I945" s="325"/>
      <c r="J945" s="325"/>
      <c r="K945" s="325"/>
    </row>
    <row r="946" spans="9:11" ht="12.75">
      <c r="I946" s="325"/>
      <c r="J946" s="325"/>
      <c r="K946" s="325"/>
    </row>
    <row r="947" spans="9:11" ht="12.75">
      <c r="I947" s="325"/>
      <c r="J947" s="325"/>
      <c r="K947" s="325"/>
    </row>
    <row r="948" spans="9:11" ht="12.75">
      <c r="I948" s="325"/>
      <c r="J948" s="325"/>
      <c r="K948" s="325"/>
    </row>
    <row r="949" spans="9:11" ht="12.75">
      <c r="I949" s="325"/>
      <c r="J949" s="325"/>
      <c r="K949" s="325"/>
    </row>
    <row r="950" spans="9:11" ht="12.75">
      <c r="I950" s="325"/>
      <c r="J950" s="325"/>
      <c r="K950" s="325"/>
    </row>
    <row r="951" spans="9:11" ht="12.75">
      <c r="I951" s="325"/>
      <c r="J951" s="325"/>
      <c r="K951" s="325"/>
    </row>
    <row r="952" spans="9:11" ht="12.75">
      <c r="I952" s="325"/>
      <c r="J952" s="325"/>
      <c r="K952" s="325"/>
    </row>
    <row r="953" spans="9:11" ht="12.75">
      <c r="I953" s="325"/>
      <c r="J953" s="325"/>
      <c r="K953" s="325"/>
    </row>
    <row r="954" spans="9:11" ht="12.75">
      <c r="I954" s="325"/>
      <c r="J954" s="325"/>
      <c r="K954" s="325"/>
    </row>
    <row r="955" spans="9:11" ht="12.75">
      <c r="I955" s="325"/>
      <c r="J955" s="325"/>
      <c r="K955" s="325"/>
    </row>
    <row r="956" spans="9:11" ht="12.75">
      <c r="I956" s="325"/>
      <c r="J956" s="325"/>
      <c r="K956" s="325"/>
    </row>
    <row r="957" spans="9:11" ht="12.75">
      <c r="I957" s="325"/>
      <c r="J957" s="325"/>
      <c r="K957" s="325"/>
    </row>
    <row r="958" spans="9:11" ht="12.75">
      <c r="I958" s="325"/>
      <c r="J958" s="325"/>
      <c r="K958" s="325"/>
    </row>
    <row r="959" spans="9:11" ht="12.75">
      <c r="I959" s="325"/>
      <c r="J959" s="325"/>
      <c r="K959" s="325"/>
    </row>
    <row r="960" spans="9:11" ht="12.75">
      <c r="I960" s="325"/>
      <c r="J960" s="325"/>
      <c r="K960" s="325"/>
    </row>
    <row r="961" spans="9:11" ht="12.75">
      <c r="I961" s="325"/>
      <c r="J961" s="325"/>
      <c r="K961" s="325"/>
    </row>
    <row r="962" spans="9:11" ht="12.75">
      <c r="I962" s="325"/>
      <c r="J962" s="325"/>
      <c r="K962" s="325"/>
    </row>
    <row r="963" spans="9:11" ht="12.75">
      <c r="I963" s="325"/>
      <c r="J963" s="325"/>
      <c r="K963" s="325"/>
    </row>
    <row r="964" spans="9:11" ht="12.75">
      <c r="I964" s="325"/>
      <c r="J964" s="325"/>
      <c r="K964" s="325"/>
    </row>
    <row r="965" spans="9:11" ht="12.75">
      <c r="I965" s="325"/>
      <c r="J965" s="325"/>
      <c r="K965" s="325"/>
    </row>
    <row r="966" spans="9:11" ht="12.75">
      <c r="I966" s="325"/>
      <c r="J966" s="325"/>
      <c r="K966" s="325"/>
    </row>
    <row r="967" spans="9:11" ht="12.75">
      <c r="I967" s="325"/>
      <c r="J967" s="325"/>
      <c r="K967" s="325"/>
    </row>
    <row r="968" spans="9:11" ht="12.75">
      <c r="I968" s="325"/>
      <c r="J968" s="325"/>
      <c r="K968" s="325"/>
    </row>
    <row r="969" spans="9:11" ht="12.75">
      <c r="I969" s="325"/>
      <c r="J969" s="325"/>
      <c r="K969" s="325"/>
    </row>
    <row r="970" spans="9:11" ht="12.75">
      <c r="I970" s="325"/>
      <c r="J970" s="325"/>
      <c r="K970" s="325"/>
    </row>
    <row r="971" spans="9:11" ht="12.75">
      <c r="I971" s="325"/>
      <c r="J971" s="325"/>
      <c r="K971" s="325"/>
    </row>
    <row r="972" spans="9:11" ht="12.75">
      <c r="I972" s="325"/>
      <c r="J972" s="325"/>
      <c r="K972" s="325"/>
    </row>
    <row r="973" spans="9:11" ht="12.75">
      <c r="I973" s="325"/>
      <c r="J973" s="325"/>
      <c r="K973" s="325"/>
    </row>
    <row r="974" spans="9:11" ht="12.75">
      <c r="I974" s="325"/>
      <c r="J974" s="325"/>
      <c r="K974" s="325"/>
    </row>
    <row r="975" spans="9:11" ht="12.75">
      <c r="I975" s="325"/>
      <c r="J975" s="325"/>
      <c r="K975" s="325"/>
    </row>
    <row r="976" spans="9:11" ht="12.75">
      <c r="I976" s="325"/>
      <c r="J976" s="325"/>
      <c r="K976" s="325"/>
    </row>
    <row r="977" spans="9:11" ht="12.75">
      <c r="I977" s="325"/>
      <c r="J977" s="325"/>
      <c r="K977" s="325"/>
    </row>
    <row r="978" spans="9:11" ht="12.75">
      <c r="I978" s="325"/>
      <c r="J978" s="325"/>
      <c r="K978" s="325"/>
    </row>
    <row r="979" spans="9:11" ht="12.75">
      <c r="I979" s="325"/>
      <c r="J979" s="325"/>
      <c r="K979" s="325"/>
    </row>
    <row r="980" spans="9:11" ht="12.75">
      <c r="I980" s="325"/>
      <c r="J980" s="325"/>
      <c r="K980" s="325"/>
    </row>
    <row r="981" spans="9:11" ht="12.75">
      <c r="I981" s="325"/>
      <c r="J981" s="325"/>
      <c r="K981" s="325"/>
    </row>
    <row r="982" spans="9:11" ht="12.75">
      <c r="I982" s="325"/>
      <c r="J982" s="325"/>
      <c r="K982" s="325"/>
    </row>
    <row r="983" spans="9:11" ht="12.75">
      <c r="I983" s="325"/>
      <c r="J983" s="325"/>
      <c r="K983" s="325"/>
    </row>
    <row r="984" spans="9:11" ht="12.75">
      <c r="I984" s="325"/>
      <c r="J984" s="325"/>
      <c r="K984" s="325"/>
    </row>
    <row r="985" spans="9:11" ht="12.75">
      <c r="I985" s="325"/>
      <c r="J985" s="325"/>
      <c r="K985" s="325"/>
    </row>
    <row r="986" spans="9:11" ht="12.75">
      <c r="I986" s="325"/>
      <c r="J986" s="325"/>
      <c r="K986" s="325"/>
    </row>
    <row r="987" spans="9:11" ht="12.75">
      <c r="I987" s="325"/>
      <c r="J987" s="325"/>
      <c r="K987" s="325"/>
    </row>
    <row r="988" spans="9:11" ht="12.75">
      <c r="I988" s="325"/>
      <c r="J988" s="325"/>
      <c r="K988" s="325"/>
    </row>
    <row r="989" spans="9:11" ht="12.75">
      <c r="I989" s="325"/>
      <c r="J989" s="325"/>
      <c r="K989" s="325"/>
    </row>
    <row r="990" spans="9:11" ht="12.75">
      <c r="I990" s="325"/>
      <c r="J990" s="325"/>
      <c r="K990" s="325"/>
    </row>
    <row r="991" spans="9:11" ht="12.75">
      <c r="I991" s="325"/>
      <c r="J991" s="325"/>
      <c r="K991" s="325"/>
    </row>
    <row r="992" spans="9:11" ht="12.75">
      <c r="I992" s="325"/>
      <c r="J992" s="325"/>
      <c r="K992" s="325"/>
    </row>
    <row r="993" spans="9:11" ht="12.75">
      <c r="I993" s="325"/>
      <c r="J993" s="325"/>
      <c r="K993" s="325"/>
    </row>
    <row r="994" spans="9:11" ht="12.75">
      <c r="I994" s="325"/>
      <c r="J994" s="325"/>
      <c r="K994" s="325"/>
    </row>
    <row r="995" spans="9:11" ht="12.75">
      <c r="I995" s="325"/>
      <c r="J995" s="325"/>
      <c r="K995" s="325"/>
    </row>
    <row r="996" spans="9:11" ht="12.75">
      <c r="I996" s="325"/>
      <c r="J996" s="325"/>
      <c r="K996" s="325"/>
    </row>
    <row r="997" spans="9:11" ht="12.75">
      <c r="I997" s="325"/>
      <c r="J997" s="325"/>
      <c r="K997" s="325"/>
    </row>
    <row r="998" spans="9:11" ht="12.75">
      <c r="I998" s="325"/>
      <c r="J998" s="325"/>
      <c r="K998" s="325"/>
    </row>
  </sheetData>
  <phoneticPr fontId="63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9EAD3"/>
    <outlinePr summaryBelow="0" summaryRight="0"/>
  </sheetPr>
  <dimension ref="A1:U1085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.75" customHeight="1"/>
  <cols>
    <col min="4" max="5" width="17.7109375" customWidth="1"/>
    <col min="7" max="7" width="20.7109375" customWidth="1"/>
    <col min="8" max="8" width="16.42578125" customWidth="1"/>
    <col min="9" max="10" width="14.85546875" customWidth="1"/>
    <col min="11" max="11" width="24.140625" customWidth="1"/>
    <col min="12" max="12" width="17.140625" customWidth="1"/>
    <col min="13" max="13" width="14.42578125" hidden="1"/>
    <col min="14" max="14" width="15.5703125" hidden="1" customWidth="1"/>
    <col min="15" max="17" width="14.42578125" hidden="1"/>
    <col min="18" max="18" width="24.140625" customWidth="1"/>
  </cols>
  <sheetData>
    <row r="1" spans="1:21" ht="12.75">
      <c r="A1" s="30" t="s">
        <v>266</v>
      </c>
      <c r="B1" s="287">
        <v>45603</v>
      </c>
      <c r="D1" s="30" t="s">
        <v>267</v>
      </c>
      <c r="E1" s="287">
        <v>45595</v>
      </c>
      <c r="F1" s="10"/>
    </row>
    <row r="2" spans="1:21" ht="17.25">
      <c r="A2" s="352" t="s">
        <v>268</v>
      </c>
      <c r="D2" s="28"/>
      <c r="E2" s="28"/>
      <c r="F2" s="10"/>
      <c r="I2" s="353" t="s">
        <v>269</v>
      </c>
      <c r="J2" s="353" t="s">
        <v>270</v>
      </c>
    </row>
    <row r="3" spans="1:21" ht="12.75">
      <c r="A3" s="354"/>
      <c r="B3" s="355"/>
      <c r="C3" s="355" t="s">
        <v>271</v>
      </c>
      <c r="D3" s="355" t="s">
        <v>272</v>
      </c>
      <c r="E3" s="356" t="s">
        <v>273</v>
      </c>
      <c r="F3" s="357" t="s">
        <v>274</v>
      </c>
      <c r="G3" s="355" t="s">
        <v>275</v>
      </c>
      <c r="H3" s="355" t="s">
        <v>276</v>
      </c>
      <c r="I3" s="355" t="s">
        <v>277</v>
      </c>
      <c r="J3" s="355" t="s">
        <v>278</v>
      </c>
      <c r="K3" s="355" t="s">
        <v>279</v>
      </c>
      <c r="L3" s="355" t="s">
        <v>280</v>
      </c>
    </row>
    <row r="4" spans="1:21" ht="14.25" hidden="1">
      <c r="A4" s="663" t="s">
        <v>14</v>
      </c>
      <c r="B4" s="663">
        <v>1</v>
      </c>
      <c r="C4" s="358">
        <v>45721</v>
      </c>
      <c r="D4" s="358">
        <v>45173</v>
      </c>
      <c r="E4" s="36">
        <v>0</v>
      </c>
      <c r="F4" s="359">
        <f t="shared" ref="F4:F39" si="0">(C4-$B$1)</f>
        <v>118</v>
      </c>
      <c r="G4" s="359">
        <f>(C4-$B$1-180)</f>
        <v>-62</v>
      </c>
      <c r="H4" s="360">
        <f t="shared" ref="H4:H39" si="1">(E4/G4)*7</f>
        <v>0</v>
      </c>
      <c r="I4" s="360">
        <v>2091</v>
      </c>
      <c r="J4" s="360">
        <v>2178</v>
      </c>
      <c r="K4" s="55" t="str">
        <f t="shared" ref="K4:K23" si="2">IF(H4-J4&lt;0,"",H4-J4)</f>
        <v/>
      </c>
      <c r="L4" s="360">
        <f t="shared" ref="L4:L23" si="3">IF(J4*(G4/7)&gt;E4,"",E4-J4*(G4/7))</f>
        <v>19290.857142857145</v>
      </c>
      <c r="P4" s="30" t="s">
        <v>281</v>
      </c>
    </row>
    <row r="5" spans="1:21" ht="14.25">
      <c r="A5" s="584"/>
      <c r="B5" s="584"/>
      <c r="C5" s="358">
        <v>45743</v>
      </c>
      <c r="D5" s="358">
        <v>45195</v>
      </c>
      <c r="E5" s="36">
        <v>7436</v>
      </c>
      <c r="F5" s="359">
        <f t="shared" si="0"/>
        <v>140</v>
      </c>
      <c r="G5" s="359">
        <f>(C5-$B$1-90)</f>
        <v>50</v>
      </c>
      <c r="H5" s="360">
        <f t="shared" si="1"/>
        <v>1041.04</v>
      </c>
      <c r="I5" s="360">
        <v>2139</v>
      </c>
      <c r="J5" s="360">
        <v>1100</v>
      </c>
      <c r="K5" s="55" t="str">
        <f t="shared" si="2"/>
        <v/>
      </c>
      <c r="L5" s="55" t="str">
        <f t="shared" si="3"/>
        <v/>
      </c>
      <c r="R5" s="28" t="s">
        <v>282</v>
      </c>
      <c r="S5" s="28"/>
    </row>
    <row r="6" spans="1:21" ht="14.25">
      <c r="A6" s="584"/>
      <c r="B6" s="584"/>
      <c r="C6" s="358">
        <v>45768</v>
      </c>
      <c r="D6" s="358">
        <v>45220</v>
      </c>
      <c r="E6" s="36">
        <v>11063</v>
      </c>
      <c r="F6" s="359">
        <f t="shared" si="0"/>
        <v>165</v>
      </c>
      <c r="G6" s="359">
        <f>(C6-$B$1-90)-G5</f>
        <v>25</v>
      </c>
      <c r="H6" s="360">
        <f t="shared" si="1"/>
        <v>3097.64</v>
      </c>
      <c r="I6" s="360">
        <f t="shared" ref="I6:I7" si="4">I5</f>
        <v>2139</v>
      </c>
      <c r="J6" s="360">
        <v>1189</v>
      </c>
      <c r="K6" s="360">
        <f t="shared" si="2"/>
        <v>1908.6399999999999</v>
      </c>
      <c r="L6" s="360">
        <f t="shared" si="3"/>
        <v>6816.5714285714284</v>
      </c>
      <c r="P6" s="361" t="s">
        <v>283</v>
      </c>
      <c r="Q6" s="362">
        <v>1857</v>
      </c>
      <c r="R6" s="28" t="s">
        <v>284</v>
      </c>
      <c r="S6" s="28"/>
    </row>
    <row r="7" spans="1:21" ht="14.25">
      <c r="A7" s="584"/>
      <c r="B7" s="584"/>
      <c r="C7" s="358">
        <v>45915</v>
      </c>
      <c r="D7" s="358">
        <v>45367</v>
      </c>
      <c r="E7" s="36">
        <v>5328</v>
      </c>
      <c r="F7" s="359">
        <f t="shared" si="0"/>
        <v>312</v>
      </c>
      <c r="G7" s="359">
        <f>(C7-$B$1-90)</f>
        <v>222</v>
      </c>
      <c r="H7" s="360">
        <f t="shared" si="1"/>
        <v>168</v>
      </c>
      <c r="I7" s="360">
        <f t="shared" si="4"/>
        <v>2139</v>
      </c>
      <c r="J7" s="360">
        <v>2074</v>
      </c>
      <c r="K7" s="55" t="str">
        <f t="shared" si="2"/>
        <v/>
      </c>
      <c r="L7" s="55" t="str">
        <f t="shared" si="3"/>
        <v/>
      </c>
      <c r="P7" s="361" t="s">
        <v>285</v>
      </c>
      <c r="Q7" s="362">
        <v>2415</v>
      </c>
    </row>
    <row r="8" spans="1:21" ht="14.25" hidden="1">
      <c r="A8" s="584"/>
      <c r="B8" s="597"/>
      <c r="C8" s="358"/>
      <c r="D8" s="36"/>
      <c r="E8" s="36"/>
      <c r="F8" s="359">
        <f t="shared" si="0"/>
        <v>-45603</v>
      </c>
      <c r="G8" s="359">
        <f t="shared" ref="G8:G11" si="5">(C8-$B$1-180)</f>
        <v>-45783</v>
      </c>
      <c r="H8" s="360">
        <f t="shared" si="1"/>
        <v>0</v>
      </c>
      <c r="I8" s="360">
        <v>2041</v>
      </c>
      <c r="J8" s="360">
        <v>2041</v>
      </c>
      <c r="K8" s="55" t="str">
        <f t="shared" si="2"/>
        <v/>
      </c>
      <c r="L8" s="360">
        <f t="shared" si="3"/>
        <v>13349014.714285715</v>
      </c>
      <c r="P8" s="361"/>
      <c r="Q8" s="363"/>
    </row>
    <row r="9" spans="1:21" ht="14.25" hidden="1">
      <c r="A9" s="584"/>
      <c r="B9" s="663">
        <v>2</v>
      </c>
      <c r="C9" s="358">
        <v>45719</v>
      </c>
      <c r="D9" s="358">
        <v>45171</v>
      </c>
      <c r="E9" s="36"/>
      <c r="F9" s="359">
        <f t="shared" si="0"/>
        <v>116</v>
      </c>
      <c r="G9" s="359">
        <f t="shared" si="5"/>
        <v>-64</v>
      </c>
      <c r="H9" s="360">
        <f t="shared" si="1"/>
        <v>0</v>
      </c>
      <c r="I9" s="360">
        <v>2097</v>
      </c>
      <c r="J9" s="360">
        <v>2097</v>
      </c>
      <c r="K9" s="55" t="str">
        <f t="shared" si="2"/>
        <v/>
      </c>
      <c r="L9" s="360">
        <f t="shared" si="3"/>
        <v>19172.571428571428</v>
      </c>
      <c r="P9" s="361" t="s">
        <v>286</v>
      </c>
      <c r="Q9" s="363">
        <v>820</v>
      </c>
    </row>
    <row r="10" spans="1:21" ht="14.25" hidden="1">
      <c r="A10" s="584"/>
      <c r="B10" s="584"/>
      <c r="C10" s="358">
        <v>45744</v>
      </c>
      <c r="D10" s="358">
        <v>45196</v>
      </c>
      <c r="E10" s="36"/>
      <c r="F10" s="359">
        <f t="shared" si="0"/>
        <v>141</v>
      </c>
      <c r="G10" s="359">
        <f t="shared" si="5"/>
        <v>-39</v>
      </c>
      <c r="H10" s="360">
        <f t="shared" si="1"/>
        <v>0</v>
      </c>
      <c r="I10" s="360">
        <f t="shared" ref="I10:J10" si="6">I9</f>
        <v>2097</v>
      </c>
      <c r="J10" s="360">
        <f t="shared" si="6"/>
        <v>2097</v>
      </c>
      <c r="K10" s="55" t="str">
        <f t="shared" si="2"/>
        <v/>
      </c>
      <c r="L10" s="360">
        <f t="shared" si="3"/>
        <v>11683.285714285714</v>
      </c>
      <c r="P10" s="361" t="s">
        <v>287</v>
      </c>
      <c r="Q10" s="362">
        <v>2858</v>
      </c>
    </row>
    <row r="11" spans="1:21" ht="14.25" hidden="1">
      <c r="A11" s="584"/>
      <c r="B11" s="584"/>
      <c r="C11" s="358">
        <v>45771</v>
      </c>
      <c r="D11" s="358">
        <v>45223</v>
      </c>
      <c r="E11" s="36"/>
      <c r="F11" s="359">
        <f t="shared" si="0"/>
        <v>168</v>
      </c>
      <c r="G11" s="359">
        <f t="shared" si="5"/>
        <v>-12</v>
      </c>
      <c r="H11" s="360">
        <f t="shared" si="1"/>
        <v>0</v>
      </c>
      <c r="I11" s="360">
        <f t="shared" ref="I11:J11" si="7">I10</f>
        <v>2097</v>
      </c>
      <c r="J11" s="360">
        <f t="shared" si="7"/>
        <v>2097</v>
      </c>
      <c r="K11" s="55" t="str">
        <f t="shared" si="2"/>
        <v/>
      </c>
      <c r="L11" s="360">
        <f t="shared" si="3"/>
        <v>3594.8571428571427</v>
      </c>
      <c r="P11" s="361" t="s">
        <v>288</v>
      </c>
      <c r="Q11" s="362">
        <v>2079</v>
      </c>
    </row>
    <row r="12" spans="1:21" ht="14.25">
      <c r="A12" s="584"/>
      <c r="B12" s="584"/>
      <c r="C12" s="358">
        <v>45803</v>
      </c>
      <c r="D12" s="358">
        <v>45255</v>
      </c>
      <c r="E12" s="36">
        <v>10050</v>
      </c>
      <c r="F12" s="359">
        <f t="shared" si="0"/>
        <v>200</v>
      </c>
      <c r="G12" s="359">
        <f t="shared" ref="G12:G14" si="8">(C12-$B$1-90)</f>
        <v>110</v>
      </c>
      <c r="H12" s="360">
        <f t="shared" si="1"/>
        <v>639.5454545454545</v>
      </c>
      <c r="I12" s="360">
        <v>1944</v>
      </c>
      <c r="J12" s="360">
        <v>1924</v>
      </c>
      <c r="K12" s="55" t="str">
        <f t="shared" si="2"/>
        <v/>
      </c>
      <c r="L12" s="55" t="str">
        <f t="shared" si="3"/>
        <v/>
      </c>
      <c r="P12" s="361" t="s">
        <v>289</v>
      </c>
      <c r="Q12" s="363">
        <v>814</v>
      </c>
      <c r="S12" s="28"/>
      <c r="T12" s="364"/>
    </row>
    <row r="13" spans="1:21" ht="14.25">
      <c r="A13" s="584"/>
      <c r="B13" s="584"/>
      <c r="C13" s="358">
        <v>45843</v>
      </c>
      <c r="D13" s="358">
        <v>45295</v>
      </c>
      <c r="E13" s="36">
        <v>14263</v>
      </c>
      <c r="F13" s="359">
        <f t="shared" si="0"/>
        <v>240</v>
      </c>
      <c r="G13" s="359">
        <f t="shared" si="8"/>
        <v>150</v>
      </c>
      <c r="H13" s="360">
        <f t="shared" si="1"/>
        <v>665.60666666666668</v>
      </c>
      <c r="I13" s="360">
        <f t="shared" ref="I13:J13" si="9">I12</f>
        <v>1944</v>
      </c>
      <c r="J13" s="360">
        <f t="shared" si="9"/>
        <v>1924</v>
      </c>
      <c r="K13" s="55" t="str">
        <f t="shared" si="2"/>
        <v/>
      </c>
      <c r="L13" s="55" t="str">
        <f t="shared" si="3"/>
        <v/>
      </c>
    </row>
    <row r="14" spans="1:21" ht="14.25">
      <c r="A14" s="584"/>
      <c r="B14" s="597"/>
      <c r="C14" s="358">
        <v>45861</v>
      </c>
      <c r="D14" s="358">
        <v>45313</v>
      </c>
      <c r="E14" s="36">
        <v>15704</v>
      </c>
      <c r="F14" s="359">
        <f t="shared" si="0"/>
        <v>258</v>
      </c>
      <c r="G14" s="359">
        <f t="shared" si="8"/>
        <v>168</v>
      </c>
      <c r="H14" s="360">
        <f t="shared" si="1"/>
        <v>654.33333333333337</v>
      </c>
      <c r="I14" s="360">
        <f t="shared" ref="I14:J14" si="10">I13</f>
        <v>1944</v>
      </c>
      <c r="J14" s="360">
        <f t="shared" si="10"/>
        <v>1924</v>
      </c>
      <c r="K14" s="55" t="str">
        <f t="shared" si="2"/>
        <v/>
      </c>
      <c r="L14" s="55" t="str">
        <f t="shared" si="3"/>
        <v/>
      </c>
      <c r="S14" s="30" t="s">
        <v>290</v>
      </c>
    </row>
    <row r="15" spans="1:21" ht="14.25" hidden="1">
      <c r="A15" s="584"/>
      <c r="B15" s="663">
        <v>3</v>
      </c>
      <c r="C15" s="358">
        <v>45767</v>
      </c>
      <c r="D15" s="358">
        <v>45219</v>
      </c>
      <c r="E15" s="36"/>
      <c r="F15" s="359">
        <f t="shared" si="0"/>
        <v>164</v>
      </c>
      <c r="G15" s="359">
        <f>(C15-$B$1-180)</f>
        <v>-16</v>
      </c>
      <c r="H15" s="360">
        <f t="shared" si="1"/>
        <v>0</v>
      </c>
      <c r="I15" s="360">
        <v>735</v>
      </c>
      <c r="J15" s="360">
        <v>691</v>
      </c>
      <c r="K15" s="55" t="str">
        <f t="shared" si="2"/>
        <v/>
      </c>
      <c r="L15" s="360">
        <f t="shared" si="3"/>
        <v>1579.4285714285713</v>
      </c>
      <c r="S15" s="30" t="s">
        <v>291</v>
      </c>
    </row>
    <row r="16" spans="1:21" ht="14.25">
      <c r="A16" s="584"/>
      <c r="B16" s="584"/>
      <c r="C16" s="358">
        <v>45795</v>
      </c>
      <c r="D16" s="358">
        <v>45247</v>
      </c>
      <c r="E16" s="36">
        <v>3433</v>
      </c>
      <c r="F16" s="359">
        <f t="shared" si="0"/>
        <v>192</v>
      </c>
      <c r="G16" s="359">
        <f t="shared" ref="G16:G18" si="11">(C16-$B$1-90)</f>
        <v>102</v>
      </c>
      <c r="H16" s="360">
        <f t="shared" si="1"/>
        <v>235.59803921568627</v>
      </c>
      <c r="I16" s="360">
        <v>723</v>
      </c>
      <c r="J16" s="360">
        <v>716</v>
      </c>
      <c r="K16" s="55" t="str">
        <f t="shared" si="2"/>
        <v/>
      </c>
      <c r="L16" s="55" t="str">
        <f t="shared" si="3"/>
        <v/>
      </c>
      <c r="S16" s="43" t="s">
        <v>43</v>
      </c>
      <c r="T16" s="55">
        <v>160</v>
      </c>
      <c r="U16" s="358">
        <f t="shared" ref="U16:U22" ca="1" si="12">T16+TODAY()</f>
        <v>46149</v>
      </c>
    </row>
    <row r="17" spans="1:21" ht="14.25">
      <c r="A17" s="584"/>
      <c r="B17" s="584"/>
      <c r="C17" s="358">
        <v>45850</v>
      </c>
      <c r="D17" s="358">
        <v>45302</v>
      </c>
      <c r="E17" s="36">
        <v>14734</v>
      </c>
      <c r="F17" s="359">
        <f t="shared" si="0"/>
        <v>247</v>
      </c>
      <c r="G17" s="359">
        <f t="shared" si="11"/>
        <v>157</v>
      </c>
      <c r="H17" s="360">
        <f t="shared" si="1"/>
        <v>656.92993630573255</v>
      </c>
      <c r="I17" s="360">
        <f t="shared" ref="I17:J17" si="13">I16</f>
        <v>723</v>
      </c>
      <c r="J17" s="360">
        <f t="shared" si="13"/>
        <v>716</v>
      </c>
      <c r="K17" s="55" t="str">
        <f t="shared" si="2"/>
        <v/>
      </c>
      <c r="L17" s="55" t="str">
        <f t="shared" si="3"/>
        <v/>
      </c>
      <c r="S17" s="43" t="s">
        <v>292</v>
      </c>
      <c r="T17" s="55">
        <v>210</v>
      </c>
      <c r="U17" s="358">
        <f t="shared" ca="1" si="12"/>
        <v>46199</v>
      </c>
    </row>
    <row r="18" spans="1:21" ht="14.25">
      <c r="A18" s="584"/>
      <c r="B18" s="584"/>
      <c r="C18" s="358">
        <v>45874</v>
      </c>
      <c r="D18" s="358">
        <v>45326</v>
      </c>
      <c r="E18" s="36">
        <v>1152</v>
      </c>
      <c r="F18" s="359">
        <f t="shared" si="0"/>
        <v>271</v>
      </c>
      <c r="G18" s="359">
        <f t="shared" si="11"/>
        <v>181</v>
      </c>
      <c r="H18" s="360">
        <f t="shared" si="1"/>
        <v>44.552486187845304</v>
      </c>
      <c r="I18" s="360">
        <f t="shared" ref="I18:J18" si="14">I17</f>
        <v>723</v>
      </c>
      <c r="J18" s="360">
        <f t="shared" si="14"/>
        <v>716</v>
      </c>
      <c r="K18" s="55" t="str">
        <f t="shared" si="2"/>
        <v/>
      </c>
      <c r="L18" s="55" t="str">
        <f t="shared" si="3"/>
        <v/>
      </c>
      <c r="S18" s="43" t="s">
        <v>293</v>
      </c>
      <c r="T18" s="55">
        <v>163</v>
      </c>
      <c r="U18" s="358">
        <f t="shared" ca="1" si="12"/>
        <v>46152</v>
      </c>
    </row>
    <row r="19" spans="1:21" ht="14.25" hidden="1">
      <c r="A19" s="597"/>
      <c r="B19" s="597"/>
      <c r="C19" s="358"/>
      <c r="D19" s="36"/>
      <c r="E19" s="36"/>
      <c r="F19" s="359">
        <f t="shared" si="0"/>
        <v>-45603</v>
      </c>
      <c r="G19" s="359">
        <f t="shared" ref="G19:G32" si="15">(C19-$B$1-180)</f>
        <v>-45783</v>
      </c>
      <c r="H19" s="360">
        <f t="shared" si="1"/>
        <v>0</v>
      </c>
      <c r="I19" s="360">
        <v>881</v>
      </c>
      <c r="J19" s="360">
        <v>881</v>
      </c>
      <c r="K19" s="55" t="str">
        <f t="shared" si="2"/>
        <v/>
      </c>
      <c r="L19" s="360">
        <f t="shared" si="3"/>
        <v>5762117.5714285718</v>
      </c>
      <c r="M19" s="30"/>
      <c r="S19" s="43"/>
      <c r="T19" s="55"/>
      <c r="U19" s="358">
        <f t="shared" ca="1" si="12"/>
        <v>45989</v>
      </c>
    </row>
    <row r="20" spans="1:21" ht="14.25" hidden="1">
      <c r="A20" s="664" t="s">
        <v>16</v>
      </c>
      <c r="B20" s="664">
        <v>1</v>
      </c>
      <c r="C20" s="358"/>
      <c r="D20" s="36"/>
      <c r="E20" s="36"/>
      <c r="F20" s="359">
        <f t="shared" si="0"/>
        <v>-45603</v>
      </c>
      <c r="G20" s="359">
        <f t="shared" si="15"/>
        <v>-45783</v>
      </c>
      <c r="H20" s="360">
        <f t="shared" si="1"/>
        <v>0</v>
      </c>
      <c r="I20" s="360"/>
      <c r="J20" s="360"/>
      <c r="K20" s="360">
        <f t="shared" si="2"/>
        <v>0</v>
      </c>
      <c r="L20" s="360">
        <f t="shared" si="3"/>
        <v>0</v>
      </c>
      <c r="M20" s="30"/>
      <c r="S20" s="43"/>
      <c r="T20" s="55"/>
      <c r="U20" s="358">
        <f t="shared" ca="1" si="12"/>
        <v>45989</v>
      </c>
    </row>
    <row r="21" spans="1:21" ht="14.25" hidden="1">
      <c r="A21" s="584"/>
      <c r="B21" s="584"/>
      <c r="C21" s="358">
        <v>46037</v>
      </c>
      <c r="D21" s="358">
        <v>45307</v>
      </c>
      <c r="E21" s="36"/>
      <c r="F21" s="359">
        <f t="shared" si="0"/>
        <v>434</v>
      </c>
      <c r="G21" s="359">
        <f t="shared" si="15"/>
        <v>254</v>
      </c>
      <c r="H21" s="360">
        <f t="shared" si="1"/>
        <v>0</v>
      </c>
      <c r="I21" s="360">
        <v>3015</v>
      </c>
      <c r="J21" s="360">
        <v>3015</v>
      </c>
      <c r="K21" s="55" t="str">
        <f t="shared" si="2"/>
        <v/>
      </c>
      <c r="L21" s="55" t="str">
        <f t="shared" si="3"/>
        <v/>
      </c>
      <c r="S21" s="43"/>
      <c r="T21" s="55"/>
      <c r="U21" s="358">
        <f t="shared" ca="1" si="12"/>
        <v>45989</v>
      </c>
    </row>
    <row r="22" spans="1:21" ht="14.25">
      <c r="A22" s="584"/>
      <c r="B22" s="584"/>
      <c r="C22" s="358">
        <v>46122</v>
      </c>
      <c r="D22" s="358">
        <v>45392</v>
      </c>
      <c r="E22" s="365">
        <v>12047</v>
      </c>
      <c r="F22" s="359">
        <f t="shared" si="0"/>
        <v>519</v>
      </c>
      <c r="G22" s="359">
        <f t="shared" si="15"/>
        <v>339</v>
      </c>
      <c r="H22" s="360">
        <f t="shared" si="1"/>
        <v>248.75811209439527</v>
      </c>
      <c r="I22" s="360">
        <v>2653</v>
      </c>
      <c r="J22" s="360">
        <v>2561</v>
      </c>
      <c r="K22" s="55" t="str">
        <f t="shared" si="2"/>
        <v/>
      </c>
      <c r="L22" s="55" t="str">
        <f t="shared" si="3"/>
        <v/>
      </c>
      <c r="M22" s="30"/>
      <c r="S22" s="43" t="s">
        <v>294</v>
      </c>
      <c r="T22" s="55">
        <v>170</v>
      </c>
      <c r="U22" s="358">
        <f t="shared" ca="1" si="12"/>
        <v>46159</v>
      </c>
    </row>
    <row r="23" spans="1:21" ht="14.25">
      <c r="A23" s="584"/>
      <c r="B23" s="584"/>
      <c r="C23" s="366">
        <v>46159</v>
      </c>
      <c r="D23" s="358">
        <v>45429</v>
      </c>
      <c r="E23" s="36">
        <v>11022</v>
      </c>
      <c r="F23" s="359">
        <f t="shared" si="0"/>
        <v>556</v>
      </c>
      <c r="G23" s="359">
        <f t="shared" si="15"/>
        <v>376</v>
      </c>
      <c r="H23" s="360">
        <f t="shared" si="1"/>
        <v>205.19680851063828</v>
      </c>
      <c r="I23" s="360">
        <f t="shared" ref="I23:J23" si="16">I22</f>
        <v>2653</v>
      </c>
      <c r="J23" s="360">
        <f t="shared" si="16"/>
        <v>2561</v>
      </c>
      <c r="K23" s="55" t="str">
        <f t="shared" si="2"/>
        <v/>
      </c>
      <c r="L23" s="55" t="str">
        <f t="shared" si="3"/>
        <v/>
      </c>
      <c r="M23" s="30"/>
    </row>
    <row r="24" spans="1:21" ht="14.25">
      <c r="A24" s="584"/>
      <c r="B24" s="597"/>
      <c r="C24" s="358">
        <v>46185</v>
      </c>
      <c r="D24" s="358">
        <v>45455</v>
      </c>
      <c r="E24" s="36">
        <v>3180</v>
      </c>
      <c r="F24" s="359">
        <f t="shared" si="0"/>
        <v>582</v>
      </c>
      <c r="G24" s="359">
        <f t="shared" si="15"/>
        <v>402</v>
      </c>
      <c r="H24" s="360">
        <f t="shared" si="1"/>
        <v>55.373134328358212</v>
      </c>
      <c r="I24" s="360">
        <f t="shared" ref="I24:J24" si="17">I23</f>
        <v>2653</v>
      </c>
      <c r="J24" s="360">
        <f t="shared" si="17"/>
        <v>2561</v>
      </c>
      <c r="K24" s="55"/>
      <c r="L24" s="55"/>
      <c r="M24" s="30"/>
    </row>
    <row r="25" spans="1:21" ht="14.25" hidden="1">
      <c r="A25" s="584"/>
      <c r="B25" s="664">
        <v>2</v>
      </c>
      <c r="C25" s="358">
        <v>45873</v>
      </c>
      <c r="D25" s="358">
        <v>45143</v>
      </c>
      <c r="E25" s="36"/>
      <c r="F25" s="359">
        <f t="shared" si="0"/>
        <v>270</v>
      </c>
      <c r="G25" s="359">
        <f t="shared" si="15"/>
        <v>90</v>
      </c>
      <c r="H25" s="360">
        <f t="shared" si="1"/>
        <v>0</v>
      </c>
      <c r="I25" s="360">
        <v>2460</v>
      </c>
      <c r="J25" s="360">
        <v>2460</v>
      </c>
      <c r="K25" s="55" t="str">
        <f t="shared" ref="K25:K33" si="18">IF(H25-J25&lt;0,"",H25-J25)</f>
        <v/>
      </c>
      <c r="L25" s="55" t="str">
        <f t="shared" ref="L25:L33" si="19">IF(J25*(G25/7)&gt;E25,"",E25-J25*(G25/7))</f>
        <v/>
      </c>
      <c r="M25" s="30"/>
    </row>
    <row r="26" spans="1:21" ht="14.25" hidden="1">
      <c r="A26" s="584"/>
      <c r="B26" s="584"/>
      <c r="C26" s="358">
        <v>45887</v>
      </c>
      <c r="D26" s="358">
        <v>45157</v>
      </c>
      <c r="E26" s="36">
        <v>87</v>
      </c>
      <c r="F26" s="359">
        <f t="shared" si="0"/>
        <v>284</v>
      </c>
      <c r="G26" s="359">
        <f t="shared" si="15"/>
        <v>104</v>
      </c>
      <c r="H26" s="360">
        <f t="shared" si="1"/>
        <v>5.8557692307692308</v>
      </c>
      <c r="I26" s="360">
        <v>2439</v>
      </c>
      <c r="J26" s="360">
        <v>2439</v>
      </c>
      <c r="K26" s="55" t="str">
        <f t="shared" si="18"/>
        <v/>
      </c>
      <c r="L26" s="55" t="str">
        <f t="shared" si="19"/>
        <v/>
      </c>
    </row>
    <row r="27" spans="1:21" ht="14.25">
      <c r="A27" s="584"/>
      <c r="B27" s="584"/>
      <c r="C27" s="358">
        <v>46067</v>
      </c>
      <c r="D27" s="358">
        <v>45337</v>
      </c>
      <c r="E27" s="36">
        <v>3479</v>
      </c>
      <c r="F27" s="359">
        <f t="shared" si="0"/>
        <v>464</v>
      </c>
      <c r="G27" s="359">
        <f t="shared" si="15"/>
        <v>284</v>
      </c>
      <c r="H27" s="360">
        <f t="shared" si="1"/>
        <v>85.75</v>
      </c>
      <c r="I27" s="360">
        <f t="shared" ref="I27:I28" si="20">I26</f>
        <v>2439</v>
      </c>
      <c r="J27" s="360">
        <v>2353</v>
      </c>
      <c r="K27" s="55" t="str">
        <f t="shared" si="18"/>
        <v/>
      </c>
      <c r="L27" s="55" t="str">
        <f t="shared" si="19"/>
        <v/>
      </c>
    </row>
    <row r="28" spans="1:21" ht="14.25">
      <c r="A28" s="584"/>
      <c r="B28" s="597"/>
      <c r="C28" s="358">
        <v>46159</v>
      </c>
      <c r="D28" s="358">
        <v>45429</v>
      </c>
      <c r="E28" s="36">
        <v>20556</v>
      </c>
      <c r="F28" s="359">
        <f t="shared" si="0"/>
        <v>556</v>
      </c>
      <c r="G28" s="359">
        <f t="shared" si="15"/>
        <v>376</v>
      </c>
      <c r="H28" s="360">
        <f t="shared" si="1"/>
        <v>382.69148936170211</v>
      </c>
      <c r="I28" s="360">
        <f t="shared" si="20"/>
        <v>2439</v>
      </c>
      <c r="J28" s="360">
        <f>J27</f>
        <v>2353</v>
      </c>
      <c r="K28" s="55" t="str">
        <f t="shared" si="18"/>
        <v/>
      </c>
      <c r="L28" s="55" t="str">
        <f t="shared" si="19"/>
        <v/>
      </c>
    </row>
    <row r="29" spans="1:21" ht="14.25" hidden="1">
      <c r="A29" s="584"/>
      <c r="B29" s="664">
        <v>3</v>
      </c>
      <c r="C29" s="358">
        <v>45942</v>
      </c>
      <c r="D29" s="358">
        <v>45212</v>
      </c>
      <c r="E29" s="36"/>
      <c r="F29" s="359">
        <f t="shared" si="0"/>
        <v>339</v>
      </c>
      <c r="G29" s="359">
        <f t="shared" si="15"/>
        <v>159</v>
      </c>
      <c r="H29" s="360">
        <f t="shared" si="1"/>
        <v>0</v>
      </c>
      <c r="I29" s="360">
        <v>899</v>
      </c>
      <c r="J29" s="360">
        <v>899</v>
      </c>
      <c r="K29" s="55" t="str">
        <f t="shared" si="18"/>
        <v/>
      </c>
      <c r="L29" s="55" t="str">
        <f t="shared" si="19"/>
        <v/>
      </c>
    </row>
    <row r="30" spans="1:21" ht="14.25" hidden="1">
      <c r="A30" s="584"/>
      <c r="B30" s="584"/>
      <c r="C30" s="358">
        <v>45984</v>
      </c>
      <c r="D30" s="358">
        <v>45254</v>
      </c>
      <c r="E30" s="36">
        <v>194</v>
      </c>
      <c r="F30" s="359">
        <f t="shared" si="0"/>
        <v>381</v>
      </c>
      <c r="G30" s="359">
        <f t="shared" si="15"/>
        <v>201</v>
      </c>
      <c r="H30" s="360">
        <f t="shared" si="1"/>
        <v>6.7562189054726369</v>
      </c>
      <c r="I30" s="360">
        <v>920</v>
      </c>
      <c r="J30" s="360">
        <v>920</v>
      </c>
      <c r="K30" s="55" t="str">
        <f t="shared" si="18"/>
        <v/>
      </c>
      <c r="L30" s="55" t="str">
        <f t="shared" si="19"/>
        <v/>
      </c>
    </row>
    <row r="31" spans="1:21" ht="14.25">
      <c r="A31" s="584"/>
      <c r="B31" s="584"/>
      <c r="C31" s="358">
        <v>46089</v>
      </c>
      <c r="D31" s="358">
        <v>45359</v>
      </c>
      <c r="E31" s="36">
        <v>12</v>
      </c>
      <c r="F31" s="359">
        <f t="shared" si="0"/>
        <v>486</v>
      </c>
      <c r="G31" s="359">
        <f t="shared" si="15"/>
        <v>306</v>
      </c>
      <c r="H31" s="360">
        <f t="shared" si="1"/>
        <v>0.27450980392156865</v>
      </c>
      <c r="I31" s="360">
        <f t="shared" ref="I31:I32" si="21">I30</f>
        <v>920</v>
      </c>
      <c r="J31" s="360">
        <v>833</v>
      </c>
      <c r="K31" s="55" t="str">
        <f t="shared" si="18"/>
        <v/>
      </c>
      <c r="L31" s="55" t="str">
        <f t="shared" si="19"/>
        <v/>
      </c>
    </row>
    <row r="32" spans="1:21" ht="14.25">
      <c r="A32" s="597"/>
      <c r="B32" s="597"/>
      <c r="C32" s="358">
        <v>46158</v>
      </c>
      <c r="D32" s="358">
        <v>45428</v>
      </c>
      <c r="E32" s="36">
        <v>14123</v>
      </c>
      <c r="F32" s="359">
        <f t="shared" si="0"/>
        <v>555</v>
      </c>
      <c r="G32" s="359">
        <f t="shared" si="15"/>
        <v>375</v>
      </c>
      <c r="H32" s="360">
        <f t="shared" si="1"/>
        <v>263.62933333333331</v>
      </c>
      <c r="I32" s="360">
        <f t="shared" si="21"/>
        <v>920</v>
      </c>
      <c r="J32" s="360">
        <f>J31</f>
        <v>833</v>
      </c>
      <c r="K32" s="55" t="str">
        <f t="shared" si="18"/>
        <v/>
      </c>
      <c r="L32" s="55" t="str">
        <f t="shared" si="19"/>
        <v/>
      </c>
      <c r="P32" s="30"/>
    </row>
    <row r="33" spans="1:18" ht="14.25">
      <c r="A33" s="659"/>
      <c r="B33" s="665" t="s">
        <v>295</v>
      </c>
      <c r="C33" s="358">
        <v>45803</v>
      </c>
      <c r="D33" s="36"/>
      <c r="E33" s="36">
        <v>210</v>
      </c>
      <c r="F33" s="359">
        <f t="shared" si="0"/>
        <v>200</v>
      </c>
      <c r="G33" s="359">
        <f>(C33-$B$1-90)</f>
        <v>110</v>
      </c>
      <c r="H33" s="360">
        <f t="shared" si="1"/>
        <v>13.363636363636363</v>
      </c>
      <c r="I33" s="360">
        <v>105</v>
      </c>
      <c r="J33" s="360">
        <v>85</v>
      </c>
      <c r="K33" s="55" t="str">
        <f t="shared" si="18"/>
        <v/>
      </c>
      <c r="L33" s="55" t="str">
        <f t="shared" si="19"/>
        <v/>
      </c>
      <c r="P33" s="30" t="s">
        <v>296</v>
      </c>
    </row>
    <row r="34" spans="1:18" ht="14.25">
      <c r="A34" s="584"/>
      <c r="B34" s="597"/>
      <c r="C34" s="358">
        <v>46031</v>
      </c>
      <c r="D34" s="36"/>
      <c r="E34" s="36">
        <v>6</v>
      </c>
      <c r="F34" s="359">
        <f t="shared" si="0"/>
        <v>428</v>
      </c>
      <c r="G34" s="359">
        <f t="shared" ref="G34:G35" si="22">(C34-$B$1-180)</f>
        <v>248</v>
      </c>
      <c r="H34" s="360">
        <f t="shared" si="1"/>
        <v>0.16935483870967741</v>
      </c>
      <c r="I34" s="360">
        <f t="shared" ref="I34:J34" si="23">I33</f>
        <v>105</v>
      </c>
      <c r="J34" s="360">
        <f t="shared" si="23"/>
        <v>85</v>
      </c>
      <c r="K34" s="55"/>
      <c r="L34" s="55"/>
      <c r="P34" s="30"/>
    </row>
    <row r="35" spans="1:18" ht="14.25" hidden="1">
      <c r="A35" s="584"/>
      <c r="B35" s="665" t="s">
        <v>297</v>
      </c>
      <c r="C35" s="358"/>
      <c r="D35" s="36"/>
      <c r="E35" s="36"/>
      <c r="F35" s="359">
        <f t="shared" si="0"/>
        <v>-45603</v>
      </c>
      <c r="G35" s="359">
        <f t="shared" si="22"/>
        <v>-45783</v>
      </c>
      <c r="H35" s="360">
        <f t="shared" si="1"/>
        <v>0</v>
      </c>
      <c r="I35" s="360"/>
      <c r="J35" s="360"/>
      <c r="K35" s="360">
        <f t="shared" ref="K35:K39" si="24">IF(H35-J35&lt;0,"",H35-J35)</f>
        <v>0</v>
      </c>
      <c r="L35" s="360">
        <f t="shared" ref="L35:L39" si="25">IF(J35*(G35/7)&gt;E35,"",E35-J35*(G35/7))</f>
        <v>0</v>
      </c>
      <c r="N35" s="30"/>
      <c r="O35" s="30"/>
    </row>
    <row r="36" spans="1:18" ht="14.25">
      <c r="A36" s="584"/>
      <c r="B36" s="597"/>
      <c r="C36" s="358">
        <v>46217</v>
      </c>
      <c r="D36" s="36"/>
      <c r="E36" s="36">
        <v>29</v>
      </c>
      <c r="F36" s="359">
        <f t="shared" si="0"/>
        <v>614</v>
      </c>
      <c r="G36" s="359">
        <f>(C36-$B$1-90)</f>
        <v>524</v>
      </c>
      <c r="H36" s="360">
        <f t="shared" si="1"/>
        <v>0.38740458015267176</v>
      </c>
      <c r="I36" s="360">
        <v>5</v>
      </c>
      <c r="J36" s="360">
        <v>8</v>
      </c>
      <c r="K36" s="55" t="str">
        <f t="shared" si="24"/>
        <v/>
      </c>
      <c r="L36" s="55" t="str">
        <f t="shared" si="25"/>
        <v/>
      </c>
    </row>
    <row r="37" spans="1:18" ht="14.25" hidden="1">
      <c r="A37" s="584"/>
      <c r="B37" s="665" t="s">
        <v>298</v>
      </c>
      <c r="C37" s="358"/>
      <c r="D37" s="36"/>
      <c r="E37" s="36"/>
      <c r="F37" s="359">
        <f t="shared" si="0"/>
        <v>-45603</v>
      </c>
      <c r="G37" s="359">
        <f>(C37-$B$1-180)</f>
        <v>-45783</v>
      </c>
      <c r="H37" s="360">
        <f t="shared" si="1"/>
        <v>0</v>
      </c>
      <c r="I37" s="360"/>
      <c r="J37" s="360"/>
      <c r="K37" s="360">
        <f t="shared" si="24"/>
        <v>0</v>
      </c>
      <c r="L37" s="360">
        <f t="shared" si="25"/>
        <v>0</v>
      </c>
    </row>
    <row r="38" spans="1:18" ht="14.25">
      <c r="A38" s="584"/>
      <c r="B38" s="597"/>
      <c r="C38" s="367">
        <v>45916</v>
      </c>
      <c r="D38" s="39"/>
      <c r="E38" s="39">
        <v>273</v>
      </c>
      <c r="F38" s="359">
        <f t="shared" si="0"/>
        <v>313</v>
      </c>
      <c r="G38" s="359">
        <f t="shared" ref="G38:G39" si="26">(C38-$B$1-90)</f>
        <v>223</v>
      </c>
      <c r="H38" s="360">
        <f t="shared" si="1"/>
        <v>8.5695067264573996</v>
      </c>
      <c r="I38" s="360">
        <v>124</v>
      </c>
      <c r="J38" s="360">
        <v>195</v>
      </c>
      <c r="K38" s="55" t="str">
        <f t="shared" si="24"/>
        <v/>
      </c>
      <c r="L38" s="55" t="str">
        <f t="shared" si="25"/>
        <v/>
      </c>
    </row>
    <row r="39" spans="1:18" ht="14.25">
      <c r="A39" s="597"/>
      <c r="B39" s="368" t="s">
        <v>299</v>
      </c>
      <c r="C39" s="358">
        <v>45885</v>
      </c>
      <c r="D39" s="36"/>
      <c r="E39" s="36">
        <v>55</v>
      </c>
      <c r="F39" s="359">
        <f t="shared" si="0"/>
        <v>282</v>
      </c>
      <c r="G39" s="359">
        <f t="shared" si="26"/>
        <v>192</v>
      </c>
      <c r="H39" s="360">
        <f t="shared" si="1"/>
        <v>2.005208333333333</v>
      </c>
      <c r="I39" s="360">
        <v>56</v>
      </c>
      <c r="J39" s="360">
        <v>69</v>
      </c>
      <c r="K39" s="55" t="str">
        <f t="shared" si="24"/>
        <v/>
      </c>
      <c r="L39" s="55" t="str">
        <f t="shared" si="25"/>
        <v/>
      </c>
      <c r="M39" s="30" t="s">
        <v>300</v>
      </c>
    </row>
    <row r="40" spans="1:18" ht="12.75">
      <c r="A40" s="354"/>
      <c r="B40" s="354"/>
      <c r="C40" s="354"/>
      <c r="D40" s="356"/>
      <c r="E40" s="356">
        <f>SUM(E4:E39)</f>
        <v>148436</v>
      </c>
      <c r="F40" s="369"/>
      <c r="G40" s="369"/>
      <c r="H40" s="369"/>
      <c r="I40" s="369"/>
      <c r="J40" s="369"/>
      <c r="K40" s="354"/>
      <c r="L40" s="356"/>
    </row>
    <row r="41" spans="1:18" ht="17.25">
      <c r="A41" s="352"/>
      <c r="F41" s="10"/>
    </row>
    <row r="42" spans="1:18" ht="17.25">
      <c r="A42" s="352" t="s">
        <v>301</v>
      </c>
      <c r="D42" s="30">
        <f>C45-D45</f>
        <v>549</v>
      </c>
      <c r="F42" s="10"/>
      <c r="I42" s="353" t="s">
        <v>302</v>
      </c>
      <c r="J42" s="353" t="s">
        <v>303</v>
      </c>
    </row>
    <row r="43" spans="1:18" ht="12.75">
      <c r="A43" s="354"/>
      <c r="B43" s="355"/>
      <c r="C43" s="355" t="s">
        <v>271</v>
      </c>
      <c r="D43" s="355" t="s">
        <v>272</v>
      </c>
      <c r="E43" s="355" t="s">
        <v>273</v>
      </c>
      <c r="F43" s="357" t="s">
        <v>274</v>
      </c>
      <c r="G43" s="355" t="s">
        <v>275</v>
      </c>
      <c r="H43" s="355" t="s">
        <v>276</v>
      </c>
      <c r="I43" s="355" t="s">
        <v>277</v>
      </c>
      <c r="J43" s="355" t="s">
        <v>278</v>
      </c>
      <c r="K43" s="355" t="s">
        <v>304</v>
      </c>
      <c r="L43" s="355" t="s">
        <v>280</v>
      </c>
      <c r="N43" s="30" t="s">
        <v>305</v>
      </c>
      <c r="O43" s="30" t="s">
        <v>306</v>
      </c>
    </row>
    <row r="44" spans="1:18" ht="15">
      <c r="A44" s="660" t="s">
        <v>14</v>
      </c>
      <c r="B44" s="660" t="s">
        <v>82</v>
      </c>
      <c r="C44" s="370">
        <v>45637</v>
      </c>
      <c r="D44" s="370">
        <v>45089</v>
      </c>
      <c r="E44" s="371">
        <v>1764</v>
      </c>
      <c r="F44" s="372">
        <f t="shared" ref="F44:F74" si="27">(C44-$E$1)</f>
        <v>42</v>
      </c>
      <c r="G44" s="372">
        <v>0</v>
      </c>
      <c r="H44" s="373"/>
      <c r="I44" s="373"/>
      <c r="J44" s="373"/>
      <c r="K44" s="374" t="str">
        <f t="shared" ref="K44:K53" si="28">IF(H44-J44&lt;=0,"",H44-J44)</f>
        <v/>
      </c>
      <c r="L44" s="373">
        <f t="shared" ref="L44:L53" si="29">IF(J44*(G44/7)&gt;E44,"",E44-J44*(G44/7))</f>
        <v>1764</v>
      </c>
      <c r="M44" s="375" t="e">
        <f t="shared" ref="M44:M49" si="30">E44/J44</f>
        <v>#DIV/0!</v>
      </c>
      <c r="N44" s="375" t="e">
        <f t="shared" ref="N44:N49" si="31">M44/4</f>
        <v>#DIV/0!</v>
      </c>
      <c r="O44" s="30" t="s">
        <v>307</v>
      </c>
      <c r="P44" s="30" t="s">
        <v>281</v>
      </c>
      <c r="R44" s="30" t="s">
        <v>308</v>
      </c>
    </row>
    <row r="45" spans="1:18" ht="15">
      <c r="A45" s="584"/>
      <c r="B45" s="597"/>
      <c r="C45" s="376">
        <v>45749</v>
      </c>
      <c r="D45" s="377">
        <v>45200</v>
      </c>
      <c r="E45" s="378">
        <v>880</v>
      </c>
      <c r="F45" s="359">
        <f t="shared" si="27"/>
        <v>154</v>
      </c>
      <c r="G45" s="359">
        <f>ROUNDUP((C45-$E$1-90),0)</f>
        <v>64</v>
      </c>
      <c r="H45" s="360">
        <f t="shared" ref="H45:H74" si="32">(E45/G45)*7</f>
        <v>96.25</v>
      </c>
      <c r="I45" s="360">
        <v>63</v>
      </c>
      <c r="J45" s="360">
        <v>71</v>
      </c>
      <c r="K45" s="360">
        <f t="shared" si="28"/>
        <v>25.25</v>
      </c>
      <c r="L45" s="360">
        <f t="shared" si="29"/>
        <v>230.85714285714289</v>
      </c>
      <c r="M45" s="375">
        <f t="shared" si="30"/>
        <v>12.394366197183098</v>
      </c>
      <c r="N45" s="375">
        <f t="shared" si="31"/>
        <v>3.0985915492957745</v>
      </c>
    </row>
    <row r="46" spans="1:18" ht="15">
      <c r="A46" s="584"/>
      <c r="B46" s="660">
        <v>1</v>
      </c>
      <c r="C46" s="379">
        <v>45848</v>
      </c>
      <c r="D46" s="377">
        <v>45300</v>
      </c>
      <c r="E46" s="378">
        <v>1678</v>
      </c>
      <c r="F46" s="359">
        <f t="shared" si="27"/>
        <v>253</v>
      </c>
      <c r="G46" s="359">
        <f>(C46-$E$1-90)</f>
        <v>163</v>
      </c>
      <c r="H46" s="360">
        <f t="shared" si="32"/>
        <v>72.061349693251529</v>
      </c>
      <c r="I46" s="360">
        <v>218</v>
      </c>
      <c r="J46" s="360">
        <v>239</v>
      </c>
      <c r="K46" s="55" t="str">
        <f t="shared" si="28"/>
        <v/>
      </c>
      <c r="L46" s="55" t="str">
        <f t="shared" si="29"/>
        <v/>
      </c>
      <c r="M46" s="375">
        <f t="shared" si="30"/>
        <v>7.02092050209205</v>
      </c>
      <c r="N46" s="375">
        <f t="shared" si="31"/>
        <v>1.7552301255230125</v>
      </c>
    </row>
    <row r="47" spans="1:18" ht="15">
      <c r="A47" s="584"/>
      <c r="B47" s="597"/>
      <c r="C47" s="379">
        <v>45895</v>
      </c>
      <c r="D47" s="377">
        <v>45347</v>
      </c>
      <c r="E47" s="378">
        <v>5130</v>
      </c>
      <c r="F47" s="359">
        <f t="shared" si="27"/>
        <v>300</v>
      </c>
      <c r="G47" s="359">
        <f>ROUNDUP((C47-$E$1-90),0)</f>
        <v>210</v>
      </c>
      <c r="H47" s="360">
        <f t="shared" si="32"/>
        <v>171</v>
      </c>
      <c r="I47" s="360">
        <v>218</v>
      </c>
      <c r="J47" s="360">
        <v>239</v>
      </c>
      <c r="K47" s="55" t="str">
        <f t="shared" si="28"/>
        <v/>
      </c>
      <c r="L47" s="55" t="str">
        <f t="shared" si="29"/>
        <v/>
      </c>
      <c r="M47" s="375">
        <f t="shared" si="30"/>
        <v>21.464435146443513</v>
      </c>
      <c r="N47" s="375">
        <f t="shared" si="31"/>
        <v>5.3661087866108783</v>
      </c>
    </row>
    <row r="48" spans="1:18" ht="15" hidden="1">
      <c r="A48" s="584"/>
      <c r="B48" s="660">
        <v>2</v>
      </c>
      <c r="C48" s="376">
        <v>45750</v>
      </c>
      <c r="D48" s="377">
        <v>45201</v>
      </c>
      <c r="E48" s="378">
        <v>25</v>
      </c>
      <c r="F48" s="359">
        <f t="shared" si="27"/>
        <v>155</v>
      </c>
      <c r="G48" s="359">
        <f t="shared" ref="G48:G50" si="33">(C48-$E$1-90)</f>
        <v>65</v>
      </c>
      <c r="H48" s="360">
        <f t="shared" si="32"/>
        <v>2.6923076923076925</v>
      </c>
      <c r="I48" s="360">
        <v>138</v>
      </c>
      <c r="J48" s="360">
        <v>136</v>
      </c>
      <c r="K48" s="55" t="str">
        <f t="shared" si="28"/>
        <v/>
      </c>
      <c r="L48" s="55" t="str">
        <f t="shared" si="29"/>
        <v/>
      </c>
      <c r="M48" s="375">
        <f t="shared" si="30"/>
        <v>0.18382352941176472</v>
      </c>
      <c r="N48" s="375">
        <f t="shared" si="31"/>
        <v>4.595588235294118E-2</v>
      </c>
      <c r="O48" s="30" t="s">
        <v>309</v>
      </c>
    </row>
    <row r="49" spans="1:18" ht="15">
      <c r="A49" s="584"/>
      <c r="B49" s="584"/>
      <c r="C49" s="377">
        <v>45976</v>
      </c>
      <c r="D49" s="377">
        <v>45245</v>
      </c>
      <c r="E49" s="378">
        <v>4653</v>
      </c>
      <c r="F49" s="359">
        <f t="shared" si="27"/>
        <v>381</v>
      </c>
      <c r="G49" s="359">
        <f t="shared" si="33"/>
        <v>291</v>
      </c>
      <c r="H49" s="360">
        <f t="shared" si="32"/>
        <v>111.9278350515464</v>
      </c>
      <c r="I49" s="360">
        <v>138</v>
      </c>
      <c r="J49" s="360">
        <v>136</v>
      </c>
      <c r="K49" s="55" t="str">
        <f t="shared" si="28"/>
        <v/>
      </c>
      <c r="L49" s="55" t="str">
        <f t="shared" si="29"/>
        <v/>
      </c>
      <c r="M49" s="375">
        <f t="shared" si="30"/>
        <v>34.213235294117645</v>
      </c>
      <c r="N49" s="375">
        <f t="shared" si="31"/>
        <v>8.5533088235294112</v>
      </c>
    </row>
    <row r="50" spans="1:18" ht="15">
      <c r="A50" s="584"/>
      <c r="B50" s="597"/>
      <c r="C50" s="377">
        <v>46022</v>
      </c>
      <c r="D50" s="377">
        <v>45562</v>
      </c>
      <c r="E50" s="378">
        <v>5940</v>
      </c>
      <c r="F50" s="359">
        <f t="shared" si="27"/>
        <v>427</v>
      </c>
      <c r="G50" s="359">
        <f t="shared" si="33"/>
        <v>337</v>
      </c>
      <c r="H50" s="360">
        <f t="shared" si="32"/>
        <v>123.38278931750742</v>
      </c>
      <c r="I50" s="360">
        <v>138</v>
      </c>
      <c r="J50" s="360">
        <v>136</v>
      </c>
      <c r="K50" s="55" t="str">
        <f t="shared" si="28"/>
        <v/>
      </c>
      <c r="L50" s="55" t="str">
        <f t="shared" si="29"/>
        <v/>
      </c>
      <c r="M50" s="375"/>
      <c r="N50" s="375"/>
      <c r="R50" s="30"/>
    </row>
    <row r="51" spans="1:18" ht="15" hidden="1">
      <c r="A51" s="584"/>
      <c r="B51" s="660">
        <v>3</v>
      </c>
      <c r="C51" s="376">
        <v>45647</v>
      </c>
      <c r="D51" s="377">
        <v>45099</v>
      </c>
      <c r="E51" s="378">
        <v>0</v>
      </c>
      <c r="F51" s="359">
        <f t="shared" si="27"/>
        <v>52</v>
      </c>
      <c r="G51" s="359"/>
      <c r="H51" s="360" t="e">
        <f t="shared" si="32"/>
        <v>#DIV/0!</v>
      </c>
      <c r="I51" s="360"/>
      <c r="J51" s="360"/>
      <c r="K51" s="55" t="e">
        <f t="shared" si="28"/>
        <v>#DIV/0!</v>
      </c>
      <c r="L51" s="360">
        <f t="shared" si="29"/>
        <v>0</v>
      </c>
      <c r="M51" s="375" t="e">
        <f t="shared" ref="M51:M53" si="34">E51/J51</f>
        <v>#DIV/0!</v>
      </c>
      <c r="N51" s="375" t="e">
        <f t="shared" ref="N51:N53" si="35">M51/4</f>
        <v>#DIV/0!</v>
      </c>
      <c r="R51" s="30"/>
    </row>
    <row r="52" spans="1:18" ht="15">
      <c r="A52" s="584"/>
      <c r="B52" s="584"/>
      <c r="C52" s="376">
        <v>45751</v>
      </c>
      <c r="D52" s="377">
        <v>45202</v>
      </c>
      <c r="E52" s="378">
        <v>322</v>
      </c>
      <c r="F52" s="359">
        <f t="shared" si="27"/>
        <v>156</v>
      </c>
      <c r="G52" s="359">
        <f t="shared" ref="G52:G55" si="36">ROUNDUP((C52-$E$1-90),0)-G51</f>
        <v>66</v>
      </c>
      <c r="H52" s="360">
        <f t="shared" si="32"/>
        <v>34.151515151515156</v>
      </c>
      <c r="I52" s="360">
        <v>34</v>
      </c>
      <c r="J52" s="360">
        <v>57</v>
      </c>
      <c r="K52" s="55" t="str">
        <f t="shared" si="28"/>
        <v/>
      </c>
      <c r="L52" s="55" t="str">
        <f t="shared" si="29"/>
        <v/>
      </c>
      <c r="M52" s="375">
        <f t="shared" si="34"/>
        <v>5.6491228070175437</v>
      </c>
      <c r="N52" s="375">
        <f t="shared" si="35"/>
        <v>1.4122807017543859</v>
      </c>
    </row>
    <row r="53" spans="1:18" ht="15">
      <c r="A53" s="584"/>
      <c r="B53" s="584"/>
      <c r="C53" s="376">
        <v>45889</v>
      </c>
      <c r="D53" s="377">
        <v>45341</v>
      </c>
      <c r="E53" s="378">
        <v>810</v>
      </c>
      <c r="F53" s="359">
        <f t="shared" si="27"/>
        <v>294</v>
      </c>
      <c r="G53" s="359">
        <f t="shared" si="36"/>
        <v>138</v>
      </c>
      <c r="H53" s="360">
        <f t="shared" si="32"/>
        <v>41.086956521739133</v>
      </c>
      <c r="I53" s="360">
        <v>34</v>
      </c>
      <c r="J53" s="360">
        <v>57</v>
      </c>
      <c r="K53" s="55" t="str">
        <f t="shared" si="28"/>
        <v/>
      </c>
      <c r="L53" s="55" t="str">
        <f t="shared" si="29"/>
        <v/>
      </c>
      <c r="M53" s="375">
        <f t="shared" si="34"/>
        <v>14.210526315789474</v>
      </c>
      <c r="N53" s="375">
        <f t="shared" si="35"/>
        <v>3.5526315789473686</v>
      </c>
    </row>
    <row r="54" spans="1:18" ht="15">
      <c r="A54" s="584"/>
      <c r="B54" s="584"/>
      <c r="C54" s="377">
        <v>45940</v>
      </c>
      <c r="D54" s="377">
        <v>45209</v>
      </c>
      <c r="E54" s="378">
        <v>270</v>
      </c>
      <c r="F54" s="359">
        <f t="shared" si="27"/>
        <v>345</v>
      </c>
      <c r="G54" s="359">
        <f t="shared" si="36"/>
        <v>117</v>
      </c>
      <c r="H54" s="360">
        <f t="shared" si="32"/>
        <v>16.153846153846153</v>
      </c>
      <c r="I54" s="360">
        <v>34</v>
      </c>
      <c r="J54" s="360">
        <v>57</v>
      </c>
      <c r="K54" s="55"/>
      <c r="L54" s="55"/>
      <c r="M54" s="375"/>
      <c r="N54" s="375"/>
    </row>
    <row r="55" spans="1:18" ht="15">
      <c r="A55" s="597"/>
      <c r="B55" s="597"/>
      <c r="C55" s="377">
        <v>45977</v>
      </c>
      <c r="D55" s="377">
        <v>45246</v>
      </c>
      <c r="E55" s="378">
        <v>540</v>
      </c>
      <c r="F55" s="359">
        <f t="shared" si="27"/>
        <v>382</v>
      </c>
      <c r="G55" s="359">
        <f t="shared" si="36"/>
        <v>175</v>
      </c>
      <c r="H55" s="360">
        <f t="shared" si="32"/>
        <v>21.6</v>
      </c>
      <c r="I55" s="360">
        <v>34</v>
      </c>
      <c r="J55" s="360">
        <v>57</v>
      </c>
      <c r="K55" s="55"/>
      <c r="L55" s="55"/>
      <c r="M55" s="375"/>
      <c r="N55" s="375"/>
    </row>
    <row r="56" spans="1:18" ht="17.25" hidden="1">
      <c r="A56" s="661" t="s">
        <v>16</v>
      </c>
      <c r="B56" s="661" t="s">
        <v>82</v>
      </c>
      <c r="C56" s="380">
        <v>45946</v>
      </c>
      <c r="D56" s="377">
        <v>45216</v>
      </c>
      <c r="E56" s="378"/>
      <c r="F56" s="359">
        <f t="shared" si="27"/>
        <v>351</v>
      </c>
      <c r="G56" s="359">
        <f t="shared" ref="G56:G74" si="37">ROUNDUP((C56-$E$1-180),0)</f>
        <v>171</v>
      </c>
      <c r="H56" s="360">
        <f t="shared" si="32"/>
        <v>0</v>
      </c>
      <c r="I56" s="360"/>
      <c r="J56" s="360"/>
      <c r="K56" s="55" t="str">
        <f t="shared" ref="K56:K60" si="38">IF(H56-J56&lt;=0,"",H56-J56)</f>
        <v/>
      </c>
      <c r="L56" s="360">
        <f t="shared" ref="L56:L60" si="39">IF(J56*(G56/7)&gt;E56,"",E56-J56*(G56/7))</f>
        <v>0</v>
      </c>
      <c r="M56" s="375" t="e">
        <f t="shared" ref="M56:M59" si="40">E56/J56</f>
        <v>#DIV/0!</v>
      </c>
      <c r="N56" s="375" t="e">
        <f t="shared" ref="N56:N59" si="41">M56/4</f>
        <v>#DIV/0!</v>
      </c>
    </row>
    <row r="57" spans="1:18" ht="17.25" hidden="1">
      <c r="A57" s="584"/>
      <c r="B57" s="584"/>
      <c r="C57" s="381">
        <v>45993</v>
      </c>
      <c r="D57" s="377">
        <v>45263</v>
      </c>
      <c r="E57" s="378"/>
      <c r="F57" s="359">
        <f t="shared" si="27"/>
        <v>398</v>
      </c>
      <c r="G57" s="359">
        <f t="shared" si="37"/>
        <v>218</v>
      </c>
      <c r="H57" s="360">
        <f t="shared" si="32"/>
        <v>0</v>
      </c>
      <c r="I57" s="360"/>
      <c r="J57" s="360"/>
      <c r="K57" s="55" t="str">
        <f t="shared" si="38"/>
        <v/>
      </c>
      <c r="L57" s="360">
        <f t="shared" si="39"/>
        <v>0</v>
      </c>
      <c r="M57" s="375" t="e">
        <f t="shared" si="40"/>
        <v>#DIV/0!</v>
      </c>
      <c r="N57" s="375" t="e">
        <f t="shared" si="41"/>
        <v>#DIV/0!</v>
      </c>
    </row>
    <row r="58" spans="1:18" ht="15" hidden="1">
      <c r="A58" s="584"/>
      <c r="B58" s="584"/>
      <c r="C58" s="382">
        <v>46033</v>
      </c>
      <c r="D58" s="377">
        <v>45303</v>
      </c>
      <c r="E58" s="378">
        <v>0</v>
      </c>
      <c r="F58" s="359">
        <f t="shared" si="27"/>
        <v>438</v>
      </c>
      <c r="G58" s="359">
        <f t="shared" si="37"/>
        <v>258</v>
      </c>
      <c r="H58" s="360">
        <f t="shared" si="32"/>
        <v>0</v>
      </c>
      <c r="I58" s="360"/>
      <c r="J58" s="360"/>
      <c r="K58" s="55" t="str">
        <f t="shared" si="38"/>
        <v/>
      </c>
      <c r="L58" s="360">
        <f t="shared" si="39"/>
        <v>0</v>
      </c>
      <c r="M58" s="375" t="e">
        <f t="shared" si="40"/>
        <v>#DIV/0!</v>
      </c>
      <c r="N58" s="375" t="e">
        <f t="shared" si="41"/>
        <v>#DIV/0!</v>
      </c>
    </row>
    <row r="59" spans="1:18" ht="15">
      <c r="A59" s="584"/>
      <c r="B59" s="584"/>
      <c r="C59" s="377">
        <v>46145</v>
      </c>
      <c r="D59" s="377">
        <v>45415</v>
      </c>
      <c r="E59" s="378">
        <v>12718</v>
      </c>
      <c r="F59" s="359">
        <f t="shared" si="27"/>
        <v>550</v>
      </c>
      <c r="G59" s="359">
        <f t="shared" si="37"/>
        <v>370</v>
      </c>
      <c r="H59" s="360">
        <f t="shared" si="32"/>
        <v>240.61081081081082</v>
      </c>
      <c r="I59" s="360">
        <v>1163</v>
      </c>
      <c r="J59" s="360">
        <v>1280</v>
      </c>
      <c r="K59" s="55" t="str">
        <f t="shared" si="38"/>
        <v/>
      </c>
      <c r="L59" s="55" t="str">
        <f t="shared" si="39"/>
        <v/>
      </c>
      <c r="M59" s="375">
        <f t="shared" si="40"/>
        <v>9.9359374999999996</v>
      </c>
      <c r="N59" s="375">
        <f t="shared" si="41"/>
        <v>2.4839843749999999</v>
      </c>
    </row>
    <row r="60" spans="1:18" ht="15">
      <c r="A60" s="584"/>
      <c r="B60" s="584"/>
      <c r="C60" s="377">
        <v>46178</v>
      </c>
      <c r="D60" s="377">
        <v>45448</v>
      </c>
      <c r="E60" s="378">
        <v>7680</v>
      </c>
      <c r="F60" s="359">
        <f t="shared" si="27"/>
        <v>583</v>
      </c>
      <c r="G60" s="359">
        <f t="shared" si="37"/>
        <v>403</v>
      </c>
      <c r="H60" s="360">
        <f t="shared" si="32"/>
        <v>133.39950372208435</v>
      </c>
      <c r="I60" s="360">
        <v>1163</v>
      </c>
      <c r="J60" s="360">
        <v>1280</v>
      </c>
      <c r="K60" s="55" t="str">
        <f t="shared" si="38"/>
        <v/>
      </c>
      <c r="L60" s="55" t="str">
        <f t="shared" si="39"/>
        <v/>
      </c>
      <c r="M60" s="375"/>
      <c r="N60" s="375"/>
    </row>
    <row r="61" spans="1:18" ht="15">
      <c r="A61" s="584"/>
      <c r="B61" s="597"/>
      <c r="C61" s="377">
        <v>46227</v>
      </c>
      <c r="D61" s="377">
        <v>45497</v>
      </c>
      <c r="E61" s="378">
        <v>7520</v>
      </c>
      <c r="F61" s="359">
        <f t="shared" si="27"/>
        <v>632</v>
      </c>
      <c r="G61" s="359">
        <f t="shared" si="37"/>
        <v>452</v>
      </c>
      <c r="H61" s="360">
        <f t="shared" si="32"/>
        <v>116.46017699115043</v>
      </c>
      <c r="I61" s="360">
        <v>1163</v>
      </c>
      <c r="J61" s="360">
        <v>1280</v>
      </c>
      <c r="K61" s="55"/>
      <c r="L61" s="55"/>
      <c r="M61" s="375"/>
      <c r="N61" s="375"/>
    </row>
    <row r="62" spans="1:18" ht="15" hidden="1">
      <c r="A62" s="584"/>
      <c r="B62" s="661">
        <v>1</v>
      </c>
      <c r="C62" s="376">
        <v>46109</v>
      </c>
      <c r="D62" s="377">
        <v>45379</v>
      </c>
      <c r="E62" s="378"/>
      <c r="F62" s="359">
        <f t="shared" si="27"/>
        <v>514</v>
      </c>
      <c r="G62" s="359">
        <f t="shared" si="37"/>
        <v>334</v>
      </c>
      <c r="H62" s="360">
        <f t="shared" si="32"/>
        <v>0</v>
      </c>
      <c r="I62" s="360"/>
      <c r="J62" s="360"/>
      <c r="K62" s="55" t="str">
        <f t="shared" ref="K62:K66" si="42">IF(H62-J62&lt;=0,"",H62-J62)</f>
        <v/>
      </c>
      <c r="L62" s="360">
        <f t="shared" ref="L62:L66" si="43">IF(J62*(G62/7)&gt;E62,"",E62-J62*(G62/7))</f>
        <v>0</v>
      </c>
      <c r="M62" s="375" t="e">
        <f t="shared" ref="M62:M66" si="44">E62/J62</f>
        <v>#DIV/0!</v>
      </c>
      <c r="N62" s="375" t="e">
        <f t="shared" ref="N62:N66" si="45">M62/4</f>
        <v>#DIV/0!</v>
      </c>
    </row>
    <row r="63" spans="1:18" ht="15" hidden="1">
      <c r="A63" s="584"/>
      <c r="B63" s="584"/>
      <c r="C63" s="377">
        <v>46122</v>
      </c>
      <c r="D63" s="377">
        <v>45392</v>
      </c>
      <c r="E63" s="378">
        <v>1560</v>
      </c>
      <c r="F63" s="359">
        <f t="shared" si="27"/>
        <v>527</v>
      </c>
      <c r="G63" s="359">
        <f t="shared" si="37"/>
        <v>347</v>
      </c>
      <c r="H63" s="360">
        <f t="shared" si="32"/>
        <v>31.469740634005763</v>
      </c>
      <c r="I63" s="360">
        <v>2060</v>
      </c>
      <c r="J63" s="360">
        <v>2060</v>
      </c>
      <c r="K63" s="55" t="str">
        <f t="shared" si="42"/>
        <v/>
      </c>
      <c r="L63" s="55" t="str">
        <f t="shared" si="43"/>
        <v/>
      </c>
      <c r="M63" s="375">
        <f t="shared" si="44"/>
        <v>0.75728155339805825</v>
      </c>
      <c r="N63" s="375">
        <f t="shared" si="45"/>
        <v>0.18932038834951456</v>
      </c>
    </row>
    <row r="64" spans="1:18" ht="15">
      <c r="A64" s="584"/>
      <c r="B64" s="597"/>
      <c r="C64" s="377">
        <v>46178</v>
      </c>
      <c r="D64" s="377">
        <v>45448</v>
      </c>
      <c r="E64" s="378">
        <v>12448</v>
      </c>
      <c r="F64" s="359">
        <f t="shared" si="27"/>
        <v>583</v>
      </c>
      <c r="G64" s="359">
        <f t="shared" si="37"/>
        <v>403</v>
      </c>
      <c r="H64" s="360">
        <f t="shared" si="32"/>
        <v>216.21836228287842</v>
      </c>
      <c r="I64" s="360">
        <v>1809</v>
      </c>
      <c r="J64" s="360">
        <v>2116</v>
      </c>
      <c r="K64" s="55" t="str">
        <f t="shared" si="42"/>
        <v/>
      </c>
      <c r="L64" s="55" t="str">
        <f t="shared" si="43"/>
        <v/>
      </c>
      <c r="M64" s="375">
        <f t="shared" si="44"/>
        <v>5.8827977315689983</v>
      </c>
      <c r="N64" s="375">
        <f t="shared" si="45"/>
        <v>1.4706994328922496</v>
      </c>
    </row>
    <row r="65" spans="1:14" ht="15" hidden="1">
      <c r="A65" s="584"/>
      <c r="B65" s="661">
        <v>2</v>
      </c>
      <c r="C65" s="376">
        <v>45893</v>
      </c>
      <c r="D65" s="377">
        <v>45166</v>
      </c>
      <c r="E65" s="378"/>
      <c r="F65" s="359">
        <f t="shared" si="27"/>
        <v>298</v>
      </c>
      <c r="G65" s="359">
        <f t="shared" si="37"/>
        <v>118</v>
      </c>
      <c r="H65" s="360">
        <f t="shared" si="32"/>
        <v>0</v>
      </c>
      <c r="I65" s="360"/>
      <c r="J65" s="360"/>
      <c r="K65" s="55" t="str">
        <f t="shared" si="42"/>
        <v/>
      </c>
      <c r="L65" s="360">
        <f t="shared" si="43"/>
        <v>0</v>
      </c>
      <c r="M65" s="375" t="e">
        <f t="shared" si="44"/>
        <v>#DIV/0!</v>
      </c>
      <c r="N65" s="375" t="e">
        <f t="shared" si="45"/>
        <v>#DIV/0!</v>
      </c>
    </row>
    <row r="66" spans="1:14" ht="15">
      <c r="A66" s="584"/>
      <c r="B66" s="584"/>
      <c r="C66" s="377">
        <v>45981</v>
      </c>
      <c r="D66" s="377">
        <v>45251</v>
      </c>
      <c r="E66" s="378">
        <v>8383</v>
      </c>
      <c r="F66" s="359">
        <f t="shared" si="27"/>
        <v>386</v>
      </c>
      <c r="G66" s="359">
        <f t="shared" si="37"/>
        <v>206</v>
      </c>
      <c r="H66" s="360">
        <f t="shared" si="32"/>
        <v>284.85922330097088</v>
      </c>
      <c r="I66" s="360">
        <v>1930</v>
      </c>
      <c r="J66" s="360">
        <v>2011</v>
      </c>
      <c r="K66" s="55" t="str">
        <f t="shared" si="42"/>
        <v/>
      </c>
      <c r="L66" s="55" t="str">
        <f t="shared" si="43"/>
        <v/>
      </c>
      <c r="M66" s="375">
        <f t="shared" si="44"/>
        <v>4.168572849328692</v>
      </c>
      <c r="N66" s="375">
        <f t="shared" si="45"/>
        <v>1.042143212332173</v>
      </c>
    </row>
    <row r="67" spans="1:14" ht="15">
      <c r="A67" s="584"/>
      <c r="B67" s="584"/>
      <c r="C67" s="377">
        <v>46240</v>
      </c>
      <c r="D67" s="377">
        <v>45510</v>
      </c>
      <c r="E67" s="378">
        <v>768</v>
      </c>
      <c r="F67" s="359">
        <f t="shared" si="27"/>
        <v>645</v>
      </c>
      <c r="G67" s="359">
        <f t="shared" si="37"/>
        <v>465</v>
      </c>
      <c r="H67" s="360">
        <f t="shared" si="32"/>
        <v>11.561290322580644</v>
      </c>
      <c r="I67" s="360">
        <v>1930</v>
      </c>
      <c r="J67" s="360">
        <v>2011</v>
      </c>
      <c r="K67" s="55"/>
      <c r="L67" s="55"/>
      <c r="M67" s="375"/>
      <c r="N67" s="375"/>
    </row>
    <row r="68" spans="1:14" ht="15" hidden="1">
      <c r="A68" s="584"/>
      <c r="B68" s="584"/>
      <c r="C68" s="377"/>
      <c r="D68" s="377"/>
      <c r="E68" s="378"/>
      <c r="F68" s="359">
        <f t="shared" si="27"/>
        <v>-45595</v>
      </c>
      <c r="G68" s="359">
        <f t="shared" si="37"/>
        <v>-45775</v>
      </c>
      <c r="H68" s="360">
        <f t="shared" si="32"/>
        <v>0</v>
      </c>
      <c r="I68" s="360"/>
      <c r="J68" s="360"/>
      <c r="K68" s="55" t="str">
        <f t="shared" ref="K68:K74" si="46">IF(H68-J68&lt;=0,"",H68-J68)</f>
        <v/>
      </c>
      <c r="L68" s="360">
        <f t="shared" ref="L68:L74" si="47">IF(J68*(G68/7)&gt;E68,"",E68-J68*(G68/7))</f>
        <v>0</v>
      </c>
      <c r="M68" s="375" t="e">
        <f t="shared" ref="M68:M71" si="48">E68/J68</f>
        <v>#DIV/0!</v>
      </c>
      <c r="N68" s="375" t="e">
        <f t="shared" ref="N68:N71" si="49">M68/4</f>
        <v>#DIV/0!</v>
      </c>
    </row>
    <row r="69" spans="1:14" ht="15" hidden="1">
      <c r="A69" s="584"/>
      <c r="B69" s="597"/>
      <c r="C69" s="377"/>
      <c r="D69" s="376"/>
      <c r="E69" s="378"/>
      <c r="F69" s="359">
        <f t="shared" si="27"/>
        <v>-45595</v>
      </c>
      <c r="G69" s="359">
        <f t="shared" si="37"/>
        <v>-45775</v>
      </c>
      <c r="H69" s="360">
        <f t="shared" si="32"/>
        <v>0</v>
      </c>
      <c r="I69" s="360"/>
      <c r="J69" s="360"/>
      <c r="K69" s="55" t="str">
        <f t="shared" si="46"/>
        <v/>
      </c>
      <c r="L69" s="360">
        <f t="shared" si="47"/>
        <v>0</v>
      </c>
      <c r="M69" s="375" t="e">
        <f t="shared" si="48"/>
        <v>#DIV/0!</v>
      </c>
      <c r="N69" s="375" t="e">
        <f t="shared" si="49"/>
        <v>#DIV/0!</v>
      </c>
    </row>
    <row r="70" spans="1:14" ht="15" hidden="1">
      <c r="A70" s="584"/>
      <c r="B70" s="661" t="s">
        <v>169</v>
      </c>
      <c r="C70" s="377">
        <v>46052</v>
      </c>
      <c r="D70" s="376"/>
      <c r="E70" s="378"/>
      <c r="F70" s="359">
        <f t="shared" si="27"/>
        <v>457</v>
      </c>
      <c r="G70" s="359">
        <f t="shared" si="37"/>
        <v>277</v>
      </c>
      <c r="H70" s="360">
        <f t="shared" si="32"/>
        <v>0</v>
      </c>
      <c r="I70" s="360"/>
      <c r="J70" s="360"/>
      <c r="K70" s="55" t="str">
        <f t="shared" si="46"/>
        <v/>
      </c>
      <c r="L70" s="360">
        <f t="shared" si="47"/>
        <v>0</v>
      </c>
      <c r="M70" s="375" t="e">
        <f t="shared" si="48"/>
        <v>#DIV/0!</v>
      </c>
      <c r="N70" s="375" t="e">
        <f t="shared" si="49"/>
        <v>#DIV/0!</v>
      </c>
    </row>
    <row r="71" spans="1:14" ht="15" hidden="1">
      <c r="A71" s="584"/>
      <c r="B71" s="584"/>
      <c r="C71" s="377">
        <v>46052</v>
      </c>
      <c r="D71" s="377">
        <v>45342</v>
      </c>
      <c r="E71" s="378"/>
      <c r="F71" s="359">
        <f t="shared" si="27"/>
        <v>457</v>
      </c>
      <c r="G71" s="359">
        <f t="shared" si="37"/>
        <v>277</v>
      </c>
      <c r="H71" s="360">
        <f t="shared" si="32"/>
        <v>0</v>
      </c>
      <c r="I71" s="360"/>
      <c r="J71" s="360"/>
      <c r="K71" s="55" t="str">
        <f t="shared" si="46"/>
        <v/>
      </c>
      <c r="L71" s="360">
        <f t="shared" si="47"/>
        <v>0</v>
      </c>
      <c r="M71" s="375" t="e">
        <f t="shared" si="48"/>
        <v>#DIV/0!</v>
      </c>
      <c r="N71" s="375" t="e">
        <f t="shared" si="49"/>
        <v>#DIV/0!</v>
      </c>
    </row>
    <row r="72" spans="1:14" ht="15">
      <c r="A72" s="597"/>
      <c r="B72" s="597"/>
      <c r="C72" s="377">
        <v>46072</v>
      </c>
      <c r="D72" s="377">
        <v>45341</v>
      </c>
      <c r="E72" s="378">
        <v>0</v>
      </c>
      <c r="F72" s="359">
        <f t="shared" si="27"/>
        <v>477</v>
      </c>
      <c r="G72" s="359">
        <f t="shared" si="37"/>
        <v>297</v>
      </c>
      <c r="H72" s="360">
        <f t="shared" si="32"/>
        <v>0</v>
      </c>
      <c r="I72" s="360">
        <v>0</v>
      </c>
      <c r="J72" s="360">
        <v>0</v>
      </c>
      <c r="K72" s="55" t="str">
        <f t="shared" si="46"/>
        <v/>
      </c>
      <c r="L72" s="360">
        <f t="shared" si="47"/>
        <v>0</v>
      </c>
      <c r="M72" s="375"/>
      <c r="N72" s="375"/>
    </row>
    <row r="73" spans="1:14" ht="15">
      <c r="A73" s="662"/>
      <c r="B73" s="383" t="s">
        <v>90</v>
      </c>
      <c r="C73" s="377">
        <v>45991</v>
      </c>
      <c r="D73" s="377">
        <v>45443</v>
      </c>
      <c r="E73" s="378">
        <v>817</v>
      </c>
      <c r="F73" s="359">
        <f t="shared" si="27"/>
        <v>396</v>
      </c>
      <c r="G73" s="359">
        <f t="shared" si="37"/>
        <v>216</v>
      </c>
      <c r="H73" s="360">
        <f t="shared" si="32"/>
        <v>26.476851851851851</v>
      </c>
      <c r="I73" s="360">
        <v>79</v>
      </c>
      <c r="J73" s="360">
        <v>115</v>
      </c>
      <c r="K73" s="55" t="str">
        <f t="shared" si="46"/>
        <v/>
      </c>
      <c r="L73" s="55" t="str">
        <f t="shared" si="47"/>
        <v/>
      </c>
      <c r="M73" s="375">
        <f t="shared" ref="M73:M74" si="50">E73/J73</f>
        <v>7.1043478260869568</v>
      </c>
      <c r="N73" s="375">
        <f t="shared" ref="N73:N74" si="51">M73/4</f>
        <v>1.7760869565217392</v>
      </c>
    </row>
    <row r="74" spans="1:14" ht="15">
      <c r="A74" s="597"/>
      <c r="B74" s="383" t="s">
        <v>91</v>
      </c>
      <c r="C74" s="377">
        <v>45844</v>
      </c>
      <c r="D74" s="377">
        <v>45296</v>
      </c>
      <c r="E74" s="378">
        <v>154</v>
      </c>
      <c r="F74" s="359">
        <f t="shared" si="27"/>
        <v>249</v>
      </c>
      <c r="G74" s="359">
        <f t="shared" si="37"/>
        <v>69</v>
      </c>
      <c r="H74" s="360">
        <f t="shared" si="32"/>
        <v>15.623188405797102</v>
      </c>
      <c r="I74" s="360">
        <v>36</v>
      </c>
      <c r="J74" s="360">
        <v>44</v>
      </c>
      <c r="K74" s="55" t="str">
        <f t="shared" si="46"/>
        <v/>
      </c>
      <c r="L74" s="55" t="str">
        <f t="shared" si="47"/>
        <v/>
      </c>
      <c r="M74" s="375">
        <f t="shared" si="50"/>
        <v>3.5</v>
      </c>
      <c r="N74" s="375">
        <f t="shared" si="51"/>
        <v>0.875</v>
      </c>
    </row>
    <row r="75" spans="1:14" ht="12.75">
      <c r="A75" s="354"/>
      <c r="B75" s="354"/>
      <c r="C75" s="354"/>
      <c r="D75" s="356"/>
      <c r="E75" s="356">
        <f>SUM(E44:E74)</f>
        <v>74060</v>
      </c>
      <c r="F75" s="369"/>
      <c r="G75" s="369"/>
      <c r="H75" s="369"/>
      <c r="I75" s="369"/>
      <c r="J75" s="369"/>
      <c r="K75" s="354"/>
      <c r="L75" s="356"/>
    </row>
    <row r="76" spans="1:14" ht="12.75">
      <c r="F76" s="10"/>
    </row>
    <row r="77" spans="1:14" ht="12.75">
      <c r="D77" s="30">
        <f>C59-D59</f>
        <v>730</v>
      </c>
      <c r="E77" s="30">
        <f>D77/30</f>
        <v>24.333333333333332</v>
      </c>
      <c r="F77" s="10"/>
    </row>
    <row r="78" spans="1:14" ht="12.75">
      <c r="D78" s="30">
        <f>C64-D64</f>
        <v>730</v>
      </c>
      <c r="F78" s="10"/>
    </row>
    <row r="79" spans="1:14" ht="12.75">
      <c r="D79" s="30">
        <f>C55-D55</f>
        <v>731</v>
      </c>
      <c r="E79" s="30">
        <f>D79/30</f>
        <v>24.366666666666667</v>
      </c>
      <c r="F79" s="10"/>
    </row>
    <row r="80" spans="1:14" ht="12.75">
      <c r="F80" s="10"/>
    </row>
    <row r="81" spans="4:6" ht="12.75">
      <c r="D81" s="30">
        <f>C46-D46</f>
        <v>548</v>
      </c>
      <c r="E81" s="30">
        <f t="shared" ref="E81:E82" si="52">D81/30</f>
        <v>18.266666666666666</v>
      </c>
      <c r="F81" s="10"/>
    </row>
    <row r="82" spans="4:6" ht="12.75">
      <c r="D82" s="30">
        <f>C45-D45</f>
        <v>549</v>
      </c>
      <c r="E82" s="30">
        <f t="shared" si="52"/>
        <v>18.3</v>
      </c>
      <c r="F82" s="10"/>
    </row>
    <row r="83" spans="4:6" ht="12.75">
      <c r="F83" s="10"/>
    </row>
    <row r="84" spans="4:6" ht="12.75">
      <c r="F84" s="10"/>
    </row>
    <row r="85" spans="4:6" ht="12.75">
      <c r="F85" s="10"/>
    </row>
    <row r="86" spans="4:6" ht="12.75">
      <c r="F86" s="10"/>
    </row>
    <row r="87" spans="4:6" ht="12.75">
      <c r="F87" s="10"/>
    </row>
    <row r="88" spans="4:6" ht="12.75">
      <c r="F88" s="10"/>
    </row>
    <row r="89" spans="4:6" ht="12.75">
      <c r="F89" s="10"/>
    </row>
    <row r="90" spans="4:6" ht="12.75">
      <c r="F90" s="10"/>
    </row>
    <row r="91" spans="4:6" ht="12.75">
      <c r="F91" s="10"/>
    </row>
    <row r="92" spans="4:6" ht="12.75">
      <c r="F92" s="10"/>
    </row>
    <row r="93" spans="4:6" ht="12.75">
      <c r="F93" s="10"/>
    </row>
    <row r="94" spans="4:6" ht="12.75">
      <c r="F94" s="10"/>
    </row>
    <row r="95" spans="4:6" ht="12.75">
      <c r="F95" s="10"/>
    </row>
    <row r="96" spans="4:6" ht="12.75">
      <c r="F96" s="10"/>
    </row>
    <row r="97" spans="6:6" ht="12.75">
      <c r="F97" s="10"/>
    </row>
    <row r="98" spans="6:6" ht="12.75">
      <c r="F98" s="10"/>
    </row>
    <row r="99" spans="6:6" ht="12.75">
      <c r="F99" s="10"/>
    </row>
    <row r="100" spans="6:6" ht="12.75">
      <c r="F100" s="10"/>
    </row>
    <row r="101" spans="6:6" ht="12.75">
      <c r="F101" s="10"/>
    </row>
    <row r="102" spans="6:6" ht="12.75">
      <c r="F102" s="10"/>
    </row>
    <row r="103" spans="6:6" ht="12.75">
      <c r="F103" s="10"/>
    </row>
    <row r="104" spans="6:6" ht="12.75" hidden="1">
      <c r="F104" s="10"/>
    </row>
    <row r="105" spans="6:6" ht="12.75" hidden="1">
      <c r="F105" s="10"/>
    </row>
    <row r="106" spans="6:6" ht="12.75">
      <c r="F106" s="10"/>
    </row>
    <row r="107" spans="6:6" ht="12.75">
      <c r="F107" s="10"/>
    </row>
    <row r="108" spans="6:6" ht="12.75">
      <c r="F108" s="10"/>
    </row>
    <row r="109" spans="6:6" ht="12.75">
      <c r="F109" s="10"/>
    </row>
    <row r="110" spans="6:6" ht="12.75">
      <c r="F110" s="10"/>
    </row>
    <row r="111" spans="6:6" ht="12.75">
      <c r="F111" s="10"/>
    </row>
    <row r="112" spans="6:6" ht="12.75">
      <c r="F112" s="10"/>
    </row>
    <row r="113" spans="6:6" ht="12.75">
      <c r="F113" s="10"/>
    </row>
    <row r="114" spans="6:6" ht="12.75">
      <c r="F114" s="10"/>
    </row>
    <row r="115" spans="6:6" ht="12.75">
      <c r="F115" s="10"/>
    </row>
    <row r="116" spans="6:6" ht="12.75">
      <c r="F116" s="10"/>
    </row>
    <row r="117" spans="6:6" ht="12.75">
      <c r="F117" s="10"/>
    </row>
    <row r="118" spans="6:6" ht="12.75">
      <c r="F118" s="10"/>
    </row>
    <row r="119" spans="6:6" ht="12.75">
      <c r="F119" s="10"/>
    </row>
    <row r="120" spans="6:6" ht="12.75">
      <c r="F120" s="10"/>
    </row>
    <row r="121" spans="6:6" ht="12.75">
      <c r="F121" s="10"/>
    </row>
    <row r="122" spans="6:6" ht="12.75">
      <c r="F122" s="10"/>
    </row>
    <row r="123" spans="6:6" ht="12.75">
      <c r="F123" s="10"/>
    </row>
    <row r="124" spans="6:6" ht="12.75">
      <c r="F124" s="10"/>
    </row>
    <row r="125" spans="6:6" ht="12.75">
      <c r="F125" s="10"/>
    </row>
    <row r="126" spans="6:6" ht="12.75">
      <c r="F126" s="10"/>
    </row>
    <row r="127" spans="6:6" ht="12.75">
      <c r="F127" s="10"/>
    </row>
    <row r="128" spans="6:6" ht="12.75">
      <c r="F128" s="10"/>
    </row>
    <row r="129" spans="6:6" ht="12.75">
      <c r="F129" s="10"/>
    </row>
    <row r="130" spans="6:6" ht="12.75">
      <c r="F130" s="10"/>
    </row>
    <row r="131" spans="6:6" ht="12.75">
      <c r="F131" s="10"/>
    </row>
    <row r="132" spans="6:6" ht="12.75">
      <c r="F132" s="10"/>
    </row>
    <row r="133" spans="6:6" ht="12.75">
      <c r="F133" s="10"/>
    </row>
    <row r="134" spans="6:6" ht="12.75">
      <c r="F134" s="10"/>
    </row>
    <row r="135" spans="6:6" ht="12.75">
      <c r="F135" s="10"/>
    </row>
    <row r="136" spans="6:6" ht="12.75">
      <c r="F136" s="10"/>
    </row>
    <row r="137" spans="6:6" ht="12.75">
      <c r="F137" s="10"/>
    </row>
    <row r="138" spans="6:6" ht="12.75">
      <c r="F138" s="10"/>
    </row>
    <row r="139" spans="6:6" ht="12.75">
      <c r="F139" s="10"/>
    </row>
    <row r="140" spans="6:6" ht="12.75">
      <c r="F140" s="10"/>
    </row>
    <row r="141" spans="6:6" ht="12.75">
      <c r="F141" s="10"/>
    </row>
    <row r="142" spans="6:6" ht="12.75">
      <c r="F142" s="10"/>
    </row>
    <row r="143" spans="6:6" ht="12.75">
      <c r="F143" s="10"/>
    </row>
    <row r="144" spans="6:6" ht="12.75">
      <c r="F144" s="10"/>
    </row>
    <row r="145" spans="6:6" ht="12.75">
      <c r="F145" s="10"/>
    </row>
    <row r="146" spans="6:6" ht="12.75">
      <c r="F146" s="10"/>
    </row>
    <row r="147" spans="6:6" ht="12.75">
      <c r="F147" s="10"/>
    </row>
    <row r="148" spans="6:6" ht="12.75">
      <c r="F148" s="10"/>
    </row>
    <row r="149" spans="6:6" ht="12.75">
      <c r="F149" s="10"/>
    </row>
    <row r="150" spans="6:6" ht="12.75">
      <c r="F150" s="10"/>
    </row>
    <row r="151" spans="6:6" ht="12.75">
      <c r="F151" s="10"/>
    </row>
    <row r="152" spans="6:6" ht="12.75">
      <c r="F152" s="10"/>
    </row>
    <row r="153" spans="6:6" ht="12.75">
      <c r="F153" s="10"/>
    </row>
    <row r="154" spans="6:6" ht="12.75">
      <c r="F154" s="10"/>
    </row>
    <row r="155" spans="6:6" ht="12.75">
      <c r="F155" s="10"/>
    </row>
    <row r="156" spans="6:6" ht="12.75">
      <c r="F156" s="10"/>
    </row>
    <row r="157" spans="6:6" ht="12.75">
      <c r="F157" s="10"/>
    </row>
    <row r="158" spans="6:6" ht="12.75">
      <c r="F158" s="10"/>
    </row>
    <row r="159" spans="6:6" ht="12.75">
      <c r="F159" s="10"/>
    </row>
    <row r="160" spans="6:6" ht="12.75">
      <c r="F160" s="10"/>
    </row>
    <row r="161" spans="6:6" ht="12.75">
      <c r="F161" s="10"/>
    </row>
    <row r="162" spans="6:6" ht="12.75">
      <c r="F162" s="10"/>
    </row>
    <row r="163" spans="6:6" ht="12.75">
      <c r="F163" s="10"/>
    </row>
    <row r="164" spans="6:6" ht="12.75">
      <c r="F164" s="10"/>
    </row>
    <row r="165" spans="6:6" ht="12.75">
      <c r="F165" s="10"/>
    </row>
    <row r="166" spans="6:6" ht="12.75">
      <c r="F166" s="10"/>
    </row>
    <row r="167" spans="6:6" ht="12.75">
      <c r="F167" s="10"/>
    </row>
    <row r="168" spans="6:6" ht="12.75">
      <c r="F168" s="10"/>
    </row>
    <row r="169" spans="6:6" ht="12.75">
      <c r="F169" s="10"/>
    </row>
    <row r="170" spans="6:6" ht="12.75">
      <c r="F170" s="10"/>
    </row>
    <row r="171" spans="6:6" ht="12.75">
      <c r="F171" s="10"/>
    </row>
    <row r="172" spans="6:6" ht="12.75">
      <c r="F172" s="10"/>
    </row>
    <row r="173" spans="6:6" ht="12.75">
      <c r="F173" s="10"/>
    </row>
    <row r="174" spans="6:6" ht="12.75">
      <c r="F174" s="10"/>
    </row>
    <row r="175" spans="6:6" ht="12.75">
      <c r="F175" s="10"/>
    </row>
    <row r="176" spans="6:6" ht="12.75">
      <c r="F176" s="10"/>
    </row>
    <row r="177" spans="6:6" ht="12.75">
      <c r="F177" s="10"/>
    </row>
    <row r="178" spans="6:6" ht="12.75">
      <c r="F178" s="10"/>
    </row>
    <row r="179" spans="6:6" ht="12.75">
      <c r="F179" s="10"/>
    </row>
    <row r="180" spans="6:6" ht="12.75">
      <c r="F180" s="10"/>
    </row>
    <row r="181" spans="6:6" ht="12.75">
      <c r="F181" s="10"/>
    </row>
    <row r="182" spans="6:6" ht="12.75">
      <c r="F182" s="10"/>
    </row>
    <row r="183" spans="6:6" ht="12.75">
      <c r="F183" s="10"/>
    </row>
    <row r="184" spans="6:6" ht="12.75">
      <c r="F184" s="10"/>
    </row>
    <row r="185" spans="6:6" ht="12.75">
      <c r="F185" s="10"/>
    </row>
    <row r="186" spans="6:6" ht="12.75">
      <c r="F186" s="10"/>
    </row>
    <row r="187" spans="6:6" ht="12.75">
      <c r="F187" s="10"/>
    </row>
    <row r="188" spans="6:6" ht="12.75">
      <c r="F188" s="10"/>
    </row>
    <row r="189" spans="6:6" ht="12.75">
      <c r="F189" s="10"/>
    </row>
    <row r="190" spans="6:6" ht="12.75">
      <c r="F190" s="10"/>
    </row>
    <row r="191" spans="6:6" ht="12.75">
      <c r="F191" s="10"/>
    </row>
    <row r="192" spans="6:6" ht="12.75">
      <c r="F192" s="10"/>
    </row>
    <row r="193" spans="6:6" ht="12.75">
      <c r="F193" s="10"/>
    </row>
    <row r="194" spans="6:6" ht="12.75">
      <c r="F194" s="10"/>
    </row>
    <row r="195" spans="6:6" ht="12.75">
      <c r="F195" s="10"/>
    </row>
    <row r="196" spans="6:6" ht="12.75">
      <c r="F196" s="10"/>
    </row>
    <row r="197" spans="6:6" ht="12.75">
      <c r="F197" s="10"/>
    </row>
    <row r="198" spans="6:6" ht="12.75">
      <c r="F198" s="10"/>
    </row>
    <row r="199" spans="6:6" ht="12.75">
      <c r="F199" s="10"/>
    </row>
    <row r="200" spans="6:6" ht="12.75">
      <c r="F200" s="10"/>
    </row>
    <row r="201" spans="6:6" ht="12.75">
      <c r="F201" s="10"/>
    </row>
    <row r="202" spans="6:6" ht="12.75">
      <c r="F202" s="10"/>
    </row>
    <row r="203" spans="6:6" ht="12.75">
      <c r="F203" s="10"/>
    </row>
    <row r="204" spans="6:6" ht="12.75">
      <c r="F204" s="10"/>
    </row>
    <row r="205" spans="6:6" ht="12.75">
      <c r="F205" s="10"/>
    </row>
    <row r="206" spans="6:6" ht="12.75">
      <c r="F206" s="10"/>
    </row>
    <row r="207" spans="6:6" ht="12.75">
      <c r="F207" s="10"/>
    </row>
    <row r="208" spans="6:6" ht="12.75">
      <c r="F208" s="10"/>
    </row>
    <row r="209" spans="6:6" ht="12.75">
      <c r="F209" s="10"/>
    </row>
    <row r="210" spans="6:6" ht="12.75">
      <c r="F210" s="10"/>
    </row>
    <row r="211" spans="6:6" ht="12.75">
      <c r="F211" s="10"/>
    </row>
    <row r="212" spans="6:6" ht="12.75">
      <c r="F212" s="10"/>
    </row>
    <row r="213" spans="6:6" ht="12.75">
      <c r="F213" s="10"/>
    </row>
    <row r="214" spans="6:6" ht="12.75">
      <c r="F214" s="10"/>
    </row>
    <row r="215" spans="6:6" ht="12.75">
      <c r="F215" s="10"/>
    </row>
    <row r="216" spans="6:6" ht="12.75">
      <c r="F216" s="10"/>
    </row>
    <row r="217" spans="6:6" ht="12.75">
      <c r="F217" s="10"/>
    </row>
    <row r="218" spans="6:6" ht="12.75">
      <c r="F218" s="10"/>
    </row>
    <row r="219" spans="6:6" ht="12.75">
      <c r="F219" s="10"/>
    </row>
    <row r="220" spans="6:6" ht="12.75">
      <c r="F220" s="10"/>
    </row>
    <row r="221" spans="6:6" ht="12.75">
      <c r="F221" s="10"/>
    </row>
    <row r="222" spans="6:6" ht="12.75">
      <c r="F222" s="10"/>
    </row>
    <row r="223" spans="6:6" ht="12.75">
      <c r="F223" s="10"/>
    </row>
    <row r="224" spans="6:6" ht="12.75">
      <c r="F224" s="10"/>
    </row>
    <row r="225" spans="6:6" ht="12.75">
      <c r="F225" s="10"/>
    </row>
    <row r="226" spans="6:6" ht="12.75">
      <c r="F226" s="10"/>
    </row>
    <row r="227" spans="6:6" ht="12.75">
      <c r="F227" s="10"/>
    </row>
    <row r="228" spans="6:6" ht="12.75">
      <c r="F228" s="10"/>
    </row>
    <row r="229" spans="6:6" ht="12.75">
      <c r="F229" s="10"/>
    </row>
    <row r="230" spans="6:6" ht="12.75">
      <c r="F230" s="10"/>
    </row>
    <row r="231" spans="6:6" ht="12.75">
      <c r="F231" s="10"/>
    </row>
    <row r="232" spans="6:6" ht="12.75">
      <c r="F232" s="10"/>
    </row>
    <row r="233" spans="6:6" ht="12.75">
      <c r="F233" s="10"/>
    </row>
    <row r="234" spans="6:6" ht="12.75">
      <c r="F234" s="10"/>
    </row>
    <row r="235" spans="6:6" ht="12.75">
      <c r="F235" s="10"/>
    </row>
    <row r="236" spans="6:6" ht="12.75">
      <c r="F236" s="10"/>
    </row>
    <row r="237" spans="6:6" ht="12.75">
      <c r="F237" s="10"/>
    </row>
    <row r="238" spans="6:6" ht="12.75">
      <c r="F238" s="10"/>
    </row>
    <row r="239" spans="6:6" ht="12.75">
      <c r="F239" s="10"/>
    </row>
    <row r="240" spans="6:6" ht="12.75">
      <c r="F240" s="10"/>
    </row>
    <row r="241" spans="6:6" ht="12.75">
      <c r="F241" s="10"/>
    </row>
    <row r="242" spans="6:6" ht="12.75">
      <c r="F242" s="10"/>
    </row>
    <row r="243" spans="6:6" ht="12.75">
      <c r="F243" s="10"/>
    </row>
    <row r="244" spans="6:6" ht="12.75">
      <c r="F244" s="10"/>
    </row>
    <row r="245" spans="6:6" ht="12.75">
      <c r="F245" s="10"/>
    </row>
    <row r="246" spans="6:6" ht="12.75">
      <c r="F246" s="10"/>
    </row>
    <row r="247" spans="6:6" ht="12.75">
      <c r="F247" s="10"/>
    </row>
    <row r="248" spans="6:6" ht="12.75">
      <c r="F248" s="10"/>
    </row>
    <row r="249" spans="6:6" ht="12.75">
      <c r="F249" s="10"/>
    </row>
    <row r="250" spans="6:6" ht="12.75">
      <c r="F250" s="10"/>
    </row>
    <row r="251" spans="6:6" ht="12.75">
      <c r="F251" s="10"/>
    </row>
    <row r="252" spans="6:6" ht="12.75">
      <c r="F252" s="10"/>
    </row>
    <row r="253" spans="6:6" ht="12.75">
      <c r="F253" s="10"/>
    </row>
    <row r="254" spans="6:6" ht="12.75">
      <c r="F254" s="10"/>
    </row>
    <row r="255" spans="6:6" ht="12.75">
      <c r="F255" s="10"/>
    </row>
    <row r="256" spans="6:6" ht="12.75">
      <c r="F256" s="10"/>
    </row>
    <row r="257" spans="6:6" ht="12.75">
      <c r="F257" s="10"/>
    </row>
    <row r="258" spans="6:6" ht="12.75">
      <c r="F258" s="10"/>
    </row>
    <row r="259" spans="6:6" ht="12.75">
      <c r="F259" s="10"/>
    </row>
    <row r="260" spans="6:6" ht="12.75">
      <c r="F260" s="10"/>
    </row>
    <row r="261" spans="6:6" ht="12.75">
      <c r="F261" s="10"/>
    </row>
    <row r="262" spans="6:6" ht="12.75">
      <c r="F262" s="10"/>
    </row>
    <row r="263" spans="6:6" ht="12.75">
      <c r="F263" s="10"/>
    </row>
    <row r="264" spans="6:6" ht="12.75">
      <c r="F264" s="10"/>
    </row>
    <row r="265" spans="6:6" ht="12.75">
      <c r="F265" s="10"/>
    </row>
    <row r="266" spans="6:6" ht="12.75">
      <c r="F266" s="10"/>
    </row>
    <row r="267" spans="6:6" ht="12.75">
      <c r="F267" s="10"/>
    </row>
    <row r="268" spans="6:6" ht="12.75">
      <c r="F268" s="10"/>
    </row>
    <row r="269" spans="6:6" ht="12.75">
      <c r="F269" s="10"/>
    </row>
    <row r="270" spans="6:6" ht="12.75">
      <c r="F270" s="10"/>
    </row>
    <row r="271" spans="6:6" ht="12.75">
      <c r="F271" s="10"/>
    </row>
    <row r="272" spans="6:6" ht="12.75">
      <c r="F272" s="10"/>
    </row>
    <row r="273" spans="6:6" ht="12.75">
      <c r="F273" s="10"/>
    </row>
    <row r="274" spans="6:6" ht="12.75">
      <c r="F274" s="10"/>
    </row>
    <row r="275" spans="6:6" ht="12.75">
      <c r="F275" s="10"/>
    </row>
    <row r="276" spans="6:6" ht="12.75">
      <c r="F276" s="10"/>
    </row>
    <row r="277" spans="6:6" ht="12.75">
      <c r="F277" s="10"/>
    </row>
    <row r="278" spans="6:6" ht="12.75">
      <c r="F278" s="10"/>
    </row>
    <row r="279" spans="6:6" ht="12.75">
      <c r="F279" s="10"/>
    </row>
    <row r="280" spans="6:6" ht="12.75">
      <c r="F280" s="10"/>
    </row>
    <row r="281" spans="6:6" ht="12.75">
      <c r="F281" s="10"/>
    </row>
    <row r="282" spans="6:6" ht="12.75">
      <c r="F282" s="10"/>
    </row>
    <row r="283" spans="6:6" ht="12.75">
      <c r="F283" s="10"/>
    </row>
    <row r="284" spans="6:6" ht="12.75">
      <c r="F284" s="10"/>
    </row>
    <row r="285" spans="6:6" ht="12.75">
      <c r="F285" s="10"/>
    </row>
    <row r="286" spans="6:6" ht="12.75">
      <c r="F286" s="10"/>
    </row>
    <row r="287" spans="6:6" ht="12.75">
      <c r="F287" s="10"/>
    </row>
    <row r="288" spans="6:6" ht="12.75">
      <c r="F288" s="10"/>
    </row>
    <row r="289" spans="6:6" ht="12.75">
      <c r="F289" s="10"/>
    </row>
    <row r="290" spans="6:6" ht="12.75">
      <c r="F290" s="10"/>
    </row>
    <row r="291" spans="6:6" ht="12.75">
      <c r="F291" s="10"/>
    </row>
    <row r="292" spans="6:6" ht="12.75">
      <c r="F292" s="10"/>
    </row>
    <row r="293" spans="6:6" ht="12.75">
      <c r="F293" s="10"/>
    </row>
    <row r="294" spans="6:6" ht="12.75">
      <c r="F294" s="10"/>
    </row>
    <row r="295" spans="6:6" ht="12.75">
      <c r="F295" s="10"/>
    </row>
    <row r="296" spans="6:6" ht="12.75">
      <c r="F296" s="10"/>
    </row>
    <row r="297" spans="6:6" ht="12.75">
      <c r="F297" s="10"/>
    </row>
    <row r="298" spans="6:6" ht="12.75">
      <c r="F298" s="10"/>
    </row>
    <row r="299" spans="6:6" ht="12.75">
      <c r="F299" s="10"/>
    </row>
    <row r="300" spans="6:6" ht="12.75">
      <c r="F300" s="10"/>
    </row>
    <row r="301" spans="6:6" ht="12.75">
      <c r="F301" s="10"/>
    </row>
    <row r="302" spans="6:6" ht="12.75">
      <c r="F302" s="10"/>
    </row>
    <row r="303" spans="6:6" ht="12.75">
      <c r="F303" s="10"/>
    </row>
    <row r="304" spans="6:6" ht="12.75">
      <c r="F304" s="10"/>
    </row>
    <row r="305" spans="6:6" ht="12.75">
      <c r="F305" s="10"/>
    </row>
    <row r="306" spans="6:6" ht="12.75">
      <c r="F306" s="10"/>
    </row>
    <row r="307" spans="6:6" ht="12.75">
      <c r="F307" s="10"/>
    </row>
    <row r="308" spans="6:6" ht="12.75">
      <c r="F308" s="10"/>
    </row>
    <row r="309" spans="6:6" ht="12.75">
      <c r="F309" s="10"/>
    </row>
    <row r="310" spans="6:6" ht="12.75">
      <c r="F310" s="10"/>
    </row>
    <row r="311" spans="6:6" ht="12.75">
      <c r="F311" s="10"/>
    </row>
    <row r="312" spans="6:6" ht="12.75">
      <c r="F312" s="10"/>
    </row>
    <row r="313" spans="6:6" ht="12.75">
      <c r="F313" s="10"/>
    </row>
    <row r="314" spans="6:6" ht="12.75">
      <c r="F314" s="10"/>
    </row>
    <row r="315" spans="6:6" ht="12.75">
      <c r="F315" s="10"/>
    </row>
    <row r="316" spans="6:6" ht="12.75">
      <c r="F316" s="10"/>
    </row>
    <row r="317" spans="6:6" ht="12.75">
      <c r="F317" s="10"/>
    </row>
    <row r="318" spans="6:6" ht="12.75">
      <c r="F318" s="10"/>
    </row>
    <row r="319" spans="6:6" ht="12.75">
      <c r="F319" s="10"/>
    </row>
    <row r="320" spans="6:6" ht="12.75">
      <c r="F320" s="10"/>
    </row>
    <row r="321" spans="6:6" ht="12.75">
      <c r="F321" s="10"/>
    </row>
    <row r="322" spans="6:6" ht="12.75">
      <c r="F322" s="10"/>
    </row>
    <row r="323" spans="6:6" ht="12.75">
      <c r="F323" s="10"/>
    </row>
    <row r="324" spans="6:6" ht="12.75">
      <c r="F324" s="10"/>
    </row>
    <row r="325" spans="6:6" ht="12.75">
      <c r="F325" s="10"/>
    </row>
    <row r="326" spans="6:6" ht="12.75">
      <c r="F326" s="10"/>
    </row>
    <row r="327" spans="6:6" ht="12.75">
      <c r="F327" s="10"/>
    </row>
    <row r="328" spans="6:6" ht="12.75">
      <c r="F328" s="10"/>
    </row>
    <row r="329" spans="6:6" ht="12.75">
      <c r="F329" s="10"/>
    </row>
    <row r="330" spans="6:6" ht="12.75">
      <c r="F330" s="10"/>
    </row>
    <row r="331" spans="6:6" ht="12.75">
      <c r="F331" s="10"/>
    </row>
    <row r="332" spans="6:6" ht="12.75">
      <c r="F332" s="10"/>
    </row>
    <row r="333" spans="6:6" ht="12.75">
      <c r="F333" s="10"/>
    </row>
    <row r="334" spans="6:6" ht="12.75">
      <c r="F334" s="10"/>
    </row>
    <row r="335" spans="6:6" ht="12.75">
      <c r="F335" s="10"/>
    </row>
    <row r="336" spans="6:6" ht="12.75">
      <c r="F336" s="10"/>
    </row>
    <row r="337" spans="6:6" ht="12.75">
      <c r="F337" s="10"/>
    </row>
    <row r="338" spans="6:6" ht="12.75">
      <c r="F338" s="10"/>
    </row>
    <row r="339" spans="6:6" ht="12.75">
      <c r="F339" s="10"/>
    </row>
    <row r="340" spans="6:6" ht="12.75">
      <c r="F340" s="10"/>
    </row>
    <row r="341" spans="6:6" ht="12.75">
      <c r="F341" s="10"/>
    </row>
    <row r="342" spans="6:6" ht="12.75">
      <c r="F342" s="10"/>
    </row>
    <row r="343" spans="6:6" ht="12.75">
      <c r="F343" s="10"/>
    </row>
    <row r="344" spans="6:6" ht="12.75">
      <c r="F344" s="10"/>
    </row>
    <row r="345" spans="6:6" ht="12.75">
      <c r="F345" s="10"/>
    </row>
    <row r="346" spans="6:6" ht="12.75">
      <c r="F346" s="10"/>
    </row>
    <row r="347" spans="6:6" ht="12.75">
      <c r="F347" s="10"/>
    </row>
    <row r="348" spans="6:6" ht="12.75">
      <c r="F348" s="10"/>
    </row>
    <row r="349" spans="6:6" ht="12.75">
      <c r="F349" s="10"/>
    </row>
    <row r="350" spans="6:6" ht="12.75">
      <c r="F350" s="10"/>
    </row>
    <row r="351" spans="6:6" ht="12.75">
      <c r="F351" s="10"/>
    </row>
    <row r="352" spans="6:6" ht="12.75">
      <c r="F352" s="10"/>
    </row>
    <row r="353" spans="6:6" ht="12.75">
      <c r="F353" s="10"/>
    </row>
    <row r="354" spans="6:6" ht="12.75">
      <c r="F354" s="10"/>
    </row>
    <row r="355" spans="6:6" ht="12.75">
      <c r="F355" s="10"/>
    </row>
    <row r="356" spans="6:6" ht="12.75">
      <c r="F356" s="10"/>
    </row>
    <row r="357" spans="6:6" ht="12.75">
      <c r="F357" s="10"/>
    </row>
    <row r="358" spans="6:6" ht="12.75">
      <c r="F358" s="10"/>
    </row>
    <row r="359" spans="6:6" ht="12.75">
      <c r="F359" s="10"/>
    </row>
    <row r="360" spans="6:6" ht="12.75">
      <c r="F360" s="10"/>
    </row>
    <row r="361" spans="6:6" ht="12.75">
      <c r="F361" s="10"/>
    </row>
    <row r="362" spans="6:6" ht="12.75">
      <c r="F362" s="10"/>
    </row>
    <row r="363" spans="6:6" ht="12.75">
      <c r="F363" s="10"/>
    </row>
    <row r="364" spans="6:6" ht="12.75">
      <c r="F364" s="10"/>
    </row>
    <row r="365" spans="6:6" ht="12.75">
      <c r="F365" s="10"/>
    </row>
    <row r="366" spans="6:6" ht="12.75">
      <c r="F366" s="10"/>
    </row>
    <row r="367" spans="6:6" ht="12.75">
      <c r="F367" s="10"/>
    </row>
    <row r="368" spans="6:6" ht="12.75">
      <c r="F368" s="10"/>
    </row>
    <row r="369" spans="6:6" ht="12.75">
      <c r="F369" s="10"/>
    </row>
    <row r="370" spans="6:6" ht="12.75">
      <c r="F370" s="10"/>
    </row>
    <row r="371" spans="6:6" ht="12.75">
      <c r="F371" s="10"/>
    </row>
    <row r="372" spans="6:6" ht="12.75">
      <c r="F372" s="10"/>
    </row>
    <row r="373" spans="6:6" ht="12.75">
      <c r="F373" s="10"/>
    </row>
    <row r="374" spans="6:6" ht="12.75">
      <c r="F374" s="10"/>
    </row>
    <row r="375" spans="6:6" ht="12.75">
      <c r="F375" s="10"/>
    </row>
    <row r="376" spans="6:6" ht="12.75">
      <c r="F376" s="10"/>
    </row>
    <row r="377" spans="6:6" ht="12.75">
      <c r="F377" s="10"/>
    </row>
    <row r="378" spans="6:6" ht="12.75">
      <c r="F378" s="10"/>
    </row>
    <row r="379" spans="6:6" ht="12.75">
      <c r="F379" s="10"/>
    </row>
    <row r="380" spans="6:6" ht="12.75">
      <c r="F380" s="10"/>
    </row>
    <row r="381" spans="6:6" ht="12.75">
      <c r="F381" s="10"/>
    </row>
    <row r="382" spans="6:6" ht="12.75">
      <c r="F382" s="10"/>
    </row>
    <row r="383" spans="6:6" ht="12.75">
      <c r="F383" s="10"/>
    </row>
    <row r="384" spans="6:6" ht="12.75">
      <c r="F384" s="10"/>
    </row>
    <row r="385" spans="6:6" ht="12.75">
      <c r="F385" s="10"/>
    </row>
    <row r="386" spans="6:6" ht="12.75">
      <c r="F386" s="10"/>
    </row>
    <row r="387" spans="6:6" ht="12.75">
      <c r="F387" s="10"/>
    </row>
    <row r="388" spans="6:6" ht="12.75">
      <c r="F388" s="10"/>
    </row>
    <row r="389" spans="6:6" ht="12.75">
      <c r="F389" s="10"/>
    </row>
    <row r="390" spans="6:6" ht="12.75">
      <c r="F390" s="10"/>
    </row>
    <row r="391" spans="6:6" ht="12.75">
      <c r="F391" s="10"/>
    </row>
    <row r="392" spans="6:6" ht="12.75">
      <c r="F392" s="10"/>
    </row>
    <row r="393" spans="6:6" ht="12.75">
      <c r="F393" s="10"/>
    </row>
    <row r="394" spans="6:6" ht="12.75">
      <c r="F394" s="10"/>
    </row>
    <row r="395" spans="6:6" ht="12.75">
      <c r="F395" s="10"/>
    </row>
    <row r="396" spans="6:6" ht="12.75">
      <c r="F396" s="10"/>
    </row>
    <row r="397" spans="6:6" ht="12.75">
      <c r="F397" s="10"/>
    </row>
    <row r="398" spans="6:6" ht="12.75">
      <c r="F398" s="10"/>
    </row>
    <row r="399" spans="6:6" ht="12.75">
      <c r="F399" s="10"/>
    </row>
    <row r="400" spans="6:6" ht="12.75">
      <c r="F400" s="10"/>
    </row>
    <row r="401" spans="6:6" ht="12.75">
      <c r="F401" s="10"/>
    </row>
    <row r="402" spans="6:6" ht="12.75">
      <c r="F402" s="10"/>
    </row>
    <row r="403" spans="6:6" ht="12.75">
      <c r="F403" s="10"/>
    </row>
    <row r="404" spans="6:6" ht="12.75">
      <c r="F404" s="10"/>
    </row>
    <row r="405" spans="6:6" ht="12.75">
      <c r="F405" s="10"/>
    </row>
    <row r="406" spans="6:6" ht="12.75">
      <c r="F406" s="10"/>
    </row>
    <row r="407" spans="6:6" ht="12.75">
      <c r="F407" s="10"/>
    </row>
    <row r="408" spans="6:6" ht="12.75">
      <c r="F408" s="10"/>
    </row>
    <row r="409" spans="6:6" ht="12.75">
      <c r="F409" s="10"/>
    </row>
    <row r="410" spans="6:6" ht="12.75">
      <c r="F410" s="10"/>
    </row>
    <row r="411" spans="6:6" ht="12.75">
      <c r="F411" s="10"/>
    </row>
    <row r="412" spans="6:6" ht="12.75">
      <c r="F412" s="10"/>
    </row>
    <row r="413" spans="6:6" ht="12.75">
      <c r="F413" s="10"/>
    </row>
    <row r="414" spans="6:6" ht="12.75">
      <c r="F414" s="10"/>
    </row>
    <row r="415" spans="6:6" ht="12.75">
      <c r="F415" s="10"/>
    </row>
    <row r="416" spans="6:6" ht="12.75">
      <c r="F416" s="10"/>
    </row>
    <row r="417" spans="6:6" ht="12.75">
      <c r="F417" s="10"/>
    </row>
    <row r="418" spans="6:6" ht="12.75">
      <c r="F418" s="10"/>
    </row>
    <row r="419" spans="6:6" ht="12.75">
      <c r="F419" s="10"/>
    </row>
    <row r="420" spans="6:6" ht="12.75">
      <c r="F420" s="10"/>
    </row>
    <row r="421" spans="6:6" ht="12.75">
      <c r="F421" s="10"/>
    </row>
    <row r="422" spans="6:6" ht="12.75">
      <c r="F422" s="10"/>
    </row>
    <row r="423" spans="6:6" ht="12.75">
      <c r="F423" s="10"/>
    </row>
    <row r="424" spans="6:6" ht="12.75">
      <c r="F424" s="10"/>
    </row>
    <row r="425" spans="6:6" ht="12.75">
      <c r="F425" s="10"/>
    </row>
    <row r="426" spans="6:6" ht="12.75">
      <c r="F426" s="10"/>
    </row>
    <row r="427" spans="6:6" ht="12.75">
      <c r="F427" s="10"/>
    </row>
    <row r="428" spans="6:6" ht="12.75">
      <c r="F428" s="10"/>
    </row>
    <row r="429" spans="6:6" ht="12.75">
      <c r="F429" s="10"/>
    </row>
    <row r="430" spans="6:6" ht="12.75">
      <c r="F430" s="10"/>
    </row>
    <row r="431" spans="6:6" ht="12.75">
      <c r="F431" s="10"/>
    </row>
    <row r="432" spans="6:6" ht="12.75">
      <c r="F432" s="10"/>
    </row>
    <row r="433" spans="6:6" ht="12.75">
      <c r="F433" s="10"/>
    </row>
    <row r="434" spans="6:6" ht="12.75">
      <c r="F434" s="10"/>
    </row>
    <row r="435" spans="6:6" ht="12.75">
      <c r="F435" s="10"/>
    </row>
    <row r="436" spans="6:6" ht="12.75">
      <c r="F436" s="10"/>
    </row>
    <row r="437" spans="6:6" ht="12.75">
      <c r="F437" s="10"/>
    </row>
    <row r="438" spans="6:6" ht="12.75">
      <c r="F438" s="10"/>
    </row>
    <row r="439" spans="6:6" ht="12.75">
      <c r="F439" s="10"/>
    </row>
    <row r="440" spans="6:6" ht="12.75">
      <c r="F440" s="10"/>
    </row>
    <row r="441" spans="6:6" ht="12.75">
      <c r="F441" s="10"/>
    </row>
    <row r="442" spans="6:6" ht="12.75">
      <c r="F442" s="10"/>
    </row>
    <row r="443" spans="6:6" ht="12.75">
      <c r="F443" s="10"/>
    </row>
    <row r="444" spans="6:6" ht="12.75">
      <c r="F444" s="10"/>
    </row>
    <row r="445" spans="6:6" ht="12.75">
      <c r="F445" s="10"/>
    </row>
    <row r="446" spans="6:6" ht="12.75">
      <c r="F446" s="10"/>
    </row>
    <row r="447" spans="6:6" ht="12.75">
      <c r="F447" s="10"/>
    </row>
    <row r="448" spans="6:6" ht="12.75">
      <c r="F448" s="10"/>
    </row>
    <row r="449" spans="6:6" ht="12.75">
      <c r="F449" s="10"/>
    </row>
    <row r="450" spans="6:6" ht="12.75">
      <c r="F450" s="10"/>
    </row>
    <row r="451" spans="6:6" ht="12.75">
      <c r="F451" s="10"/>
    </row>
    <row r="452" spans="6:6" ht="12.75">
      <c r="F452" s="10"/>
    </row>
    <row r="453" spans="6:6" ht="12.75">
      <c r="F453" s="10"/>
    </row>
    <row r="454" spans="6:6" ht="12.75">
      <c r="F454" s="10"/>
    </row>
    <row r="455" spans="6:6" ht="12.75">
      <c r="F455" s="10"/>
    </row>
    <row r="456" spans="6:6" ht="12.75">
      <c r="F456" s="10"/>
    </row>
    <row r="457" spans="6:6" ht="12.75">
      <c r="F457" s="10"/>
    </row>
    <row r="458" spans="6:6" ht="12.75">
      <c r="F458" s="10"/>
    </row>
    <row r="459" spans="6:6" ht="12.75">
      <c r="F459" s="10"/>
    </row>
    <row r="460" spans="6:6" ht="12.75">
      <c r="F460" s="10"/>
    </row>
    <row r="461" spans="6:6" ht="12.75">
      <c r="F461" s="10"/>
    </row>
    <row r="462" spans="6:6" ht="12.75">
      <c r="F462" s="10"/>
    </row>
    <row r="463" spans="6:6" ht="12.75">
      <c r="F463" s="10"/>
    </row>
    <row r="464" spans="6:6" ht="12.75">
      <c r="F464" s="10"/>
    </row>
    <row r="465" spans="6:6" ht="12.75">
      <c r="F465" s="10"/>
    </row>
    <row r="466" spans="6:6" ht="12.75">
      <c r="F466" s="10"/>
    </row>
    <row r="467" spans="6:6" ht="12.75">
      <c r="F467" s="10"/>
    </row>
    <row r="468" spans="6:6" ht="12.75">
      <c r="F468" s="10"/>
    </row>
    <row r="469" spans="6:6" ht="12.75">
      <c r="F469" s="10"/>
    </row>
    <row r="470" spans="6:6" ht="12.75">
      <c r="F470" s="10"/>
    </row>
    <row r="471" spans="6:6" ht="12.75">
      <c r="F471" s="10"/>
    </row>
    <row r="472" spans="6:6" ht="12.75">
      <c r="F472" s="10"/>
    </row>
    <row r="473" spans="6:6" ht="12.75">
      <c r="F473" s="10"/>
    </row>
    <row r="474" spans="6:6" ht="12.75">
      <c r="F474" s="10"/>
    </row>
    <row r="475" spans="6:6" ht="12.75">
      <c r="F475" s="10"/>
    </row>
    <row r="476" spans="6:6" ht="12.75">
      <c r="F476" s="10"/>
    </row>
    <row r="477" spans="6:6" ht="12.75">
      <c r="F477" s="10"/>
    </row>
    <row r="478" spans="6:6" ht="12.75">
      <c r="F478" s="10"/>
    </row>
    <row r="479" spans="6:6" ht="12.75">
      <c r="F479" s="10"/>
    </row>
    <row r="480" spans="6:6" ht="12.75">
      <c r="F480" s="10"/>
    </row>
    <row r="481" spans="6:6" ht="12.75">
      <c r="F481" s="10"/>
    </row>
    <row r="482" spans="6:6" ht="12.75">
      <c r="F482" s="10"/>
    </row>
    <row r="483" spans="6:6" ht="12.75">
      <c r="F483" s="10"/>
    </row>
    <row r="484" spans="6:6" ht="12.75">
      <c r="F484" s="10"/>
    </row>
    <row r="485" spans="6:6" ht="12.75">
      <c r="F485" s="10"/>
    </row>
    <row r="486" spans="6:6" ht="12.75">
      <c r="F486" s="10"/>
    </row>
    <row r="487" spans="6:6" ht="12.75">
      <c r="F487" s="10"/>
    </row>
    <row r="488" spans="6:6" ht="12.75">
      <c r="F488" s="10"/>
    </row>
    <row r="489" spans="6:6" ht="12.75">
      <c r="F489" s="10"/>
    </row>
    <row r="490" spans="6:6" ht="12.75">
      <c r="F490" s="10"/>
    </row>
    <row r="491" spans="6:6" ht="12.75">
      <c r="F491" s="10"/>
    </row>
    <row r="492" spans="6:6" ht="12.75">
      <c r="F492" s="10"/>
    </row>
    <row r="493" spans="6:6" ht="12.75">
      <c r="F493" s="10"/>
    </row>
    <row r="494" spans="6:6" ht="12.75">
      <c r="F494" s="10"/>
    </row>
    <row r="495" spans="6:6" ht="12.75">
      <c r="F495" s="10"/>
    </row>
    <row r="496" spans="6:6" ht="12.75">
      <c r="F496" s="10"/>
    </row>
    <row r="497" spans="6:6" ht="12.75">
      <c r="F497" s="10"/>
    </row>
    <row r="498" spans="6:6" ht="12.75">
      <c r="F498" s="10"/>
    </row>
    <row r="499" spans="6:6" ht="12.75">
      <c r="F499" s="10"/>
    </row>
    <row r="500" spans="6:6" ht="12.75">
      <c r="F500" s="10"/>
    </row>
    <row r="501" spans="6:6" ht="12.75">
      <c r="F501" s="10"/>
    </row>
    <row r="502" spans="6:6" ht="12.75">
      <c r="F502" s="10"/>
    </row>
    <row r="503" spans="6:6" ht="12.75">
      <c r="F503" s="10"/>
    </row>
    <row r="504" spans="6:6" ht="12.75">
      <c r="F504" s="10"/>
    </row>
    <row r="505" spans="6:6" ht="12.75">
      <c r="F505" s="10"/>
    </row>
    <row r="506" spans="6:6" ht="12.75">
      <c r="F506" s="10"/>
    </row>
    <row r="507" spans="6:6" ht="12.75">
      <c r="F507" s="10"/>
    </row>
    <row r="508" spans="6:6" ht="12.75">
      <c r="F508" s="10"/>
    </row>
    <row r="509" spans="6:6" ht="12.75">
      <c r="F509" s="10"/>
    </row>
    <row r="510" spans="6:6" ht="12.75">
      <c r="F510" s="10"/>
    </row>
    <row r="511" spans="6:6" ht="12.75">
      <c r="F511" s="10"/>
    </row>
    <row r="512" spans="6:6" ht="12.75">
      <c r="F512" s="10"/>
    </row>
    <row r="513" spans="6:6" ht="12.75">
      <c r="F513" s="10"/>
    </row>
    <row r="514" spans="6:6" ht="12.75">
      <c r="F514" s="10"/>
    </row>
    <row r="515" spans="6:6" ht="12.75">
      <c r="F515" s="10"/>
    </row>
    <row r="516" spans="6:6" ht="12.75">
      <c r="F516" s="10"/>
    </row>
    <row r="517" spans="6:6" ht="12.75">
      <c r="F517" s="10"/>
    </row>
    <row r="518" spans="6:6" ht="12.75">
      <c r="F518" s="10"/>
    </row>
    <row r="519" spans="6:6" ht="12.75">
      <c r="F519" s="10"/>
    </row>
    <row r="520" spans="6:6" ht="12.75">
      <c r="F520" s="10"/>
    </row>
    <row r="521" spans="6:6" ht="12.75">
      <c r="F521" s="10"/>
    </row>
    <row r="522" spans="6:6" ht="12.75">
      <c r="F522" s="10"/>
    </row>
    <row r="523" spans="6:6" ht="12.75">
      <c r="F523" s="10"/>
    </row>
    <row r="524" spans="6:6" ht="12.75">
      <c r="F524" s="10"/>
    </row>
    <row r="525" spans="6:6" ht="12.75">
      <c r="F525" s="10"/>
    </row>
    <row r="526" spans="6:6" ht="12.75">
      <c r="F526" s="10"/>
    </row>
    <row r="527" spans="6:6" ht="12.75">
      <c r="F527" s="10"/>
    </row>
    <row r="528" spans="6:6" ht="12.75">
      <c r="F528" s="10"/>
    </row>
    <row r="529" spans="6:6" ht="12.75">
      <c r="F529" s="10"/>
    </row>
    <row r="530" spans="6:6" ht="12.75">
      <c r="F530" s="10"/>
    </row>
    <row r="531" spans="6:6" ht="12.75">
      <c r="F531" s="10"/>
    </row>
    <row r="532" spans="6:6" ht="12.75">
      <c r="F532" s="10"/>
    </row>
    <row r="533" spans="6:6" ht="12.75">
      <c r="F533" s="10"/>
    </row>
    <row r="534" spans="6:6" ht="12.75">
      <c r="F534" s="10"/>
    </row>
    <row r="535" spans="6:6" ht="12.75">
      <c r="F535" s="10"/>
    </row>
    <row r="536" spans="6:6" ht="12.75">
      <c r="F536" s="10"/>
    </row>
    <row r="537" spans="6:6" ht="12.75">
      <c r="F537" s="10"/>
    </row>
    <row r="538" spans="6:6" ht="12.75">
      <c r="F538" s="10"/>
    </row>
    <row r="539" spans="6:6" ht="12.75">
      <c r="F539" s="10"/>
    </row>
    <row r="540" spans="6:6" ht="12.75">
      <c r="F540" s="10"/>
    </row>
    <row r="541" spans="6:6" ht="12.75">
      <c r="F541" s="10"/>
    </row>
    <row r="542" spans="6:6" ht="12.75">
      <c r="F542" s="10"/>
    </row>
    <row r="543" spans="6:6" ht="12.75">
      <c r="F543" s="10"/>
    </row>
    <row r="544" spans="6:6" ht="12.75">
      <c r="F544" s="10"/>
    </row>
    <row r="545" spans="6:6" ht="12.75">
      <c r="F545" s="10"/>
    </row>
    <row r="546" spans="6:6" ht="12.75">
      <c r="F546" s="10"/>
    </row>
    <row r="547" spans="6:6" ht="12.75">
      <c r="F547" s="10"/>
    </row>
    <row r="548" spans="6:6" ht="12.75">
      <c r="F548" s="10"/>
    </row>
    <row r="549" spans="6:6" ht="12.75">
      <c r="F549" s="10"/>
    </row>
    <row r="550" spans="6:6" ht="12.75">
      <c r="F550" s="10"/>
    </row>
    <row r="551" spans="6:6" ht="12.75">
      <c r="F551" s="10"/>
    </row>
    <row r="552" spans="6:6" ht="12.75">
      <c r="F552" s="10"/>
    </row>
    <row r="553" spans="6:6" ht="12.75">
      <c r="F553" s="10"/>
    </row>
    <row r="554" spans="6:6" ht="12.75">
      <c r="F554" s="10"/>
    </row>
    <row r="555" spans="6:6" ht="12.75">
      <c r="F555" s="10"/>
    </row>
    <row r="556" spans="6:6" ht="12.75">
      <c r="F556" s="10"/>
    </row>
    <row r="557" spans="6:6" ht="12.75">
      <c r="F557" s="10"/>
    </row>
    <row r="558" spans="6:6" ht="12.75">
      <c r="F558" s="10"/>
    </row>
    <row r="559" spans="6:6" ht="12.75">
      <c r="F559" s="10"/>
    </row>
    <row r="560" spans="6:6" ht="12.75">
      <c r="F560" s="10"/>
    </row>
    <row r="561" spans="6:6" ht="12.75">
      <c r="F561" s="10"/>
    </row>
    <row r="562" spans="6:6" ht="12.75">
      <c r="F562" s="10"/>
    </row>
    <row r="563" spans="6:6" ht="12.75">
      <c r="F563" s="10"/>
    </row>
    <row r="564" spans="6:6" ht="12.75">
      <c r="F564" s="10"/>
    </row>
    <row r="565" spans="6:6" ht="12.75">
      <c r="F565" s="10"/>
    </row>
    <row r="566" spans="6:6" ht="12.75">
      <c r="F566" s="10"/>
    </row>
    <row r="567" spans="6:6" ht="12.75">
      <c r="F567" s="10"/>
    </row>
    <row r="568" spans="6:6" ht="12.75">
      <c r="F568" s="10"/>
    </row>
    <row r="569" spans="6:6" ht="12.75">
      <c r="F569" s="10"/>
    </row>
    <row r="570" spans="6:6" ht="12.75">
      <c r="F570" s="10"/>
    </row>
    <row r="571" spans="6:6" ht="12.75">
      <c r="F571" s="10"/>
    </row>
    <row r="572" spans="6:6" ht="12.75">
      <c r="F572" s="10"/>
    </row>
    <row r="573" spans="6:6" ht="12.75">
      <c r="F573" s="10"/>
    </row>
    <row r="574" spans="6:6" ht="12.75">
      <c r="F574" s="10"/>
    </row>
    <row r="575" spans="6:6" ht="12.75">
      <c r="F575" s="10"/>
    </row>
    <row r="576" spans="6:6" ht="12.75">
      <c r="F576" s="10"/>
    </row>
    <row r="577" spans="6:6" ht="12.75">
      <c r="F577" s="10"/>
    </row>
    <row r="578" spans="6:6" ht="12.75">
      <c r="F578" s="10"/>
    </row>
    <row r="579" spans="6:6" ht="12.75">
      <c r="F579" s="10"/>
    </row>
    <row r="580" spans="6:6" ht="12.75">
      <c r="F580" s="10"/>
    </row>
    <row r="581" spans="6:6" ht="12.75">
      <c r="F581" s="10"/>
    </row>
    <row r="582" spans="6:6" ht="12.75">
      <c r="F582" s="10"/>
    </row>
    <row r="583" spans="6:6" ht="12.75">
      <c r="F583" s="10"/>
    </row>
    <row r="584" spans="6:6" ht="12.75">
      <c r="F584" s="10"/>
    </row>
    <row r="585" spans="6:6" ht="12.75">
      <c r="F585" s="10"/>
    </row>
    <row r="586" spans="6:6" ht="12.75">
      <c r="F586" s="10"/>
    </row>
    <row r="587" spans="6:6" ht="12.75">
      <c r="F587" s="10"/>
    </row>
    <row r="588" spans="6:6" ht="12.75">
      <c r="F588" s="10"/>
    </row>
    <row r="589" spans="6:6" ht="12.75">
      <c r="F589" s="10"/>
    </row>
    <row r="590" spans="6:6" ht="12.75">
      <c r="F590" s="10"/>
    </row>
    <row r="591" spans="6:6" ht="12.75">
      <c r="F591" s="10"/>
    </row>
    <row r="592" spans="6:6" ht="12.75">
      <c r="F592" s="10"/>
    </row>
    <row r="593" spans="6:6" ht="12.75">
      <c r="F593" s="10"/>
    </row>
    <row r="594" spans="6:6" ht="12.75">
      <c r="F594" s="10"/>
    </row>
    <row r="595" spans="6:6" ht="12.75">
      <c r="F595" s="10"/>
    </row>
    <row r="596" spans="6:6" ht="12.75">
      <c r="F596" s="10"/>
    </row>
    <row r="597" spans="6:6" ht="12.75">
      <c r="F597" s="10"/>
    </row>
    <row r="598" spans="6:6" ht="12.75">
      <c r="F598" s="10"/>
    </row>
    <row r="599" spans="6:6" ht="12.75">
      <c r="F599" s="10"/>
    </row>
    <row r="600" spans="6:6" ht="12.75">
      <c r="F600" s="10"/>
    </row>
    <row r="601" spans="6:6" ht="12.75">
      <c r="F601" s="10"/>
    </row>
    <row r="602" spans="6:6" ht="12.75">
      <c r="F602" s="10"/>
    </row>
    <row r="603" spans="6:6" ht="12.75">
      <c r="F603" s="10"/>
    </row>
    <row r="604" spans="6:6" ht="12.75">
      <c r="F604" s="10"/>
    </row>
    <row r="605" spans="6:6" ht="12.75">
      <c r="F605" s="10"/>
    </row>
    <row r="606" spans="6:6" ht="12.75">
      <c r="F606" s="10"/>
    </row>
    <row r="607" spans="6:6" ht="12.75">
      <c r="F607" s="10"/>
    </row>
    <row r="608" spans="6:6" ht="12.75">
      <c r="F608" s="10"/>
    </row>
    <row r="609" spans="6:6" ht="12.75">
      <c r="F609" s="10"/>
    </row>
    <row r="610" spans="6:6" ht="12.75">
      <c r="F610" s="10"/>
    </row>
    <row r="611" spans="6:6" ht="12.75">
      <c r="F611" s="10"/>
    </row>
    <row r="612" spans="6:6" ht="12.75">
      <c r="F612" s="10"/>
    </row>
    <row r="613" spans="6:6" ht="12.75">
      <c r="F613" s="10"/>
    </row>
    <row r="614" spans="6:6" ht="12.75">
      <c r="F614" s="10"/>
    </row>
    <row r="615" spans="6:6" ht="12.75">
      <c r="F615" s="10"/>
    </row>
    <row r="616" spans="6:6" ht="12.75">
      <c r="F616" s="10"/>
    </row>
    <row r="617" spans="6:6" ht="12.75">
      <c r="F617" s="10"/>
    </row>
    <row r="618" spans="6:6" ht="12.75">
      <c r="F618" s="10"/>
    </row>
    <row r="619" spans="6:6" ht="12.75">
      <c r="F619" s="10"/>
    </row>
    <row r="620" spans="6:6" ht="12.75">
      <c r="F620" s="10"/>
    </row>
    <row r="621" spans="6:6" ht="12.75">
      <c r="F621" s="10"/>
    </row>
    <row r="622" spans="6:6" ht="12.75">
      <c r="F622" s="10"/>
    </row>
    <row r="623" spans="6:6" ht="12.75">
      <c r="F623" s="10"/>
    </row>
    <row r="624" spans="6:6" ht="12.75">
      <c r="F624" s="10"/>
    </row>
    <row r="625" spans="6:6" ht="12.75">
      <c r="F625" s="10"/>
    </row>
    <row r="626" spans="6:6" ht="12.75">
      <c r="F626" s="10"/>
    </row>
    <row r="627" spans="6:6" ht="12.75">
      <c r="F627" s="10"/>
    </row>
    <row r="628" spans="6:6" ht="12.75">
      <c r="F628" s="10"/>
    </row>
    <row r="629" spans="6:6" ht="12.75">
      <c r="F629" s="10"/>
    </row>
    <row r="630" spans="6:6" ht="12.75">
      <c r="F630" s="10"/>
    </row>
    <row r="631" spans="6:6" ht="12.75">
      <c r="F631" s="10"/>
    </row>
    <row r="632" spans="6:6" ht="12.75">
      <c r="F632" s="10"/>
    </row>
    <row r="633" spans="6:6" ht="12.75">
      <c r="F633" s="10"/>
    </row>
    <row r="634" spans="6:6" ht="12.75">
      <c r="F634" s="10"/>
    </row>
    <row r="635" spans="6:6" ht="12.75">
      <c r="F635" s="10"/>
    </row>
    <row r="636" spans="6:6" ht="12.75">
      <c r="F636" s="10"/>
    </row>
    <row r="637" spans="6:6" ht="12.75">
      <c r="F637" s="10"/>
    </row>
    <row r="638" spans="6:6" ht="12.75">
      <c r="F638" s="10"/>
    </row>
    <row r="639" spans="6:6" ht="12.75">
      <c r="F639" s="10"/>
    </row>
    <row r="640" spans="6:6" ht="12.75">
      <c r="F640" s="10"/>
    </row>
    <row r="641" spans="6:6" ht="12.75">
      <c r="F641" s="10"/>
    </row>
    <row r="642" spans="6:6" ht="12.75">
      <c r="F642" s="10"/>
    </row>
    <row r="643" spans="6:6" ht="12.75">
      <c r="F643" s="10"/>
    </row>
    <row r="644" spans="6:6" ht="12.75">
      <c r="F644" s="10"/>
    </row>
    <row r="645" spans="6:6" ht="12.75">
      <c r="F645" s="10"/>
    </row>
    <row r="646" spans="6:6" ht="12.75">
      <c r="F646" s="10"/>
    </row>
    <row r="647" spans="6:6" ht="12.75">
      <c r="F647" s="10"/>
    </row>
    <row r="648" spans="6:6" ht="12.75">
      <c r="F648" s="10"/>
    </row>
    <row r="649" spans="6:6" ht="12.75">
      <c r="F649" s="10"/>
    </row>
    <row r="650" spans="6:6" ht="12.75">
      <c r="F650" s="10"/>
    </row>
    <row r="651" spans="6:6" ht="12.75">
      <c r="F651" s="10"/>
    </row>
    <row r="652" spans="6:6" ht="12.75">
      <c r="F652" s="10"/>
    </row>
    <row r="653" spans="6:6" ht="12.75">
      <c r="F653" s="10"/>
    </row>
    <row r="654" spans="6:6" ht="12.75">
      <c r="F654" s="10"/>
    </row>
    <row r="655" spans="6:6" ht="12.75">
      <c r="F655" s="10"/>
    </row>
    <row r="656" spans="6:6" ht="12.75">
      <c r="F656" s="10"/>
    </row>
    <row r="657" spans="6:6" ht="12.75">
      <c r="F657" s="10"/>
    </row>
    <row r="658" spans="6:6" ht="12.75">
      <c r="F658" s="10"/>
    </row>
    <row r="659" spans="6:6" ht="12.75">
      <c r="F659" s="10"/>
    </row>
    <row r="660" spans="6:6" ht="12.75">
      <c r="F660" s="10"/>
    </row>
    <row r="661" spans="6:6" ht="12.75">
      <c r="F661" s="10"/>
    </row>
    <row r="662" spans="6:6" ht="12.75">
      <c r="F662" s="10"/>
    </row>
    <row r="663" spans="6:6" ht="12.75">
      <c r="F663" s="10"/>
    </row>
    <row r="664" spans="6:6" ht="12.75">
      <c r="F664" s="10"/>
    </row>
    <row r="665" spans="6:6" ht="12.75">
      <c r="F665" s="10"/>
    </row>
    <row r="666" spans="6:6" ht="12.75">
      <c r="F666" s="10"/>
    </row>
    <row r="667" spans="6:6" ht="12.75">
      <c r="F667" s="10"/>
    </row>
    <row r="668" spans="6:6" ht="12.75">
      <c r="F668" s="10"/>
    </row>
    <row r="669" spans="6:6" ht="12.75">
      <c r="F669" s="10"/>
    </row>
    <row r="670" spans="6:6" ht="12.75">
      <c r="F670" s="10"/>
    </row>
    <row r="671" spans="6:6" ht="12.75">
      <c r="F671" s="10"/>
    </row>
    <row r="672" spans="6:6" ht="12.75">
      <c r="F672" s="10"/>
    </row>
    <row r="673" spans="6:6" ht="12.75">
      <c r="F673" s="10"/>
    </row>
    <row r="674" spans="6:6" ht="12.75">
      <c r="F674" s="10"/>
    </row>
    <row r="675" spans="6:6" ht="12.75">
      <c r="F675" s="10"/>
    </row>
    <row r="676" spans="6:6" ht="12.75">
      <c r="F676" s="10"/>
    </row>
    <row r="677" spans="6:6" ht="12.75">
      <c r="F677" s="10"/>
    </row>
    <row r="678" spans="6:6" ht="12.75">
      <c r="F678" s="10"/>
    </row>
    <row r="679" spans="6:6" ht="12.75">
      <c r="F679" s="10"/>
    </row>
    <row r="680" spans="6:6" ht="12.75">
      <c r="F680" s="10"/>
    </row>
    <row r="681" spans="6:6" ht="12.75">
      <c r="F681" s="10"/>
    </row>
    <row r="682" spans="6:6" ht="12.75">
      <c r="F682" s="10"/>
    </row>
    <row r="683" spans="6:6" ht="12.75">
      <c r="F683" s="10"/>
    </row>
    <row r="684" spans="6:6" ht="12.75">
      <c r="F684" s="10"/>
    </row>
    <row r="685" spans="6:6" ht="12.75">
      <c r="F685" s="10"/>
    </row>
    <row r="686" spans="6:6" ht="12.75">
      <c r="F686" s="10"/>
    </row>
    <row r="687" spans="6:6" ht="12.75">
      <c r="F687" s="10"/>
    </row>
    <row r="688" spans="6:6" ht="12.75">
      <c r="F688" s="10"/>
    </row>
    <row r="689" spans="6:6" ht="12.75">
      <c r="F689" s="10"/>
    </row>
    <row r="690" spans="6:6" ht="12.75">
      <c r="F690" s="10"/>
    </row>
    <row r="691" spans="6:6" ht="12.75">
      <c r="F691" s="10"/>
    </row>
    <row r="692" spans="6:6" ht="12.75">
      <c r="F692" s="10"/>
    </row>
    <row r="693" spans="6:6" ht="12.75">
      <c r="F693" s="10"/>
    </row>
    <row r="694" spans="6:6" ht="12.75">
      <c r="F694" s="10"/>
    </row>
    <row r="695" spans="6:6" ht="12.75">
      <c r="F695" s="10"/>
    </row>
    <row r="696" spans="6:6" ht="12.75">
      <c r="F696" s="10"/>
    </row>
    <row r="697" spans="6:6" ht="12.75">
      <c r="F697" s="10"/>
    </row>
    <row r="698" spans="6:6" ht="12.75">
      <c r="F698" s="10"/>
    </row>
    <row r="699" spans="6:6" ht="12.75">
      <c r="F699" s="10"/>
    </row>
    <row r="700" spans="6:6" ht="12.75">
      <c r="F700" s="10"/>
    </row>
    <row r="701" spans="6:6" ht="12.75">
      <c r="F701" s="10"/>
    </row>
    <row r="702" spans="6:6" ht="12.75">
      <c r="F702" s="10"/>
    </row>
    <row r="703" spans="6:6" ht="12.75">
      <c r="F703" s="10"/>
    </row>
    <row r="704" spans="6:6" ht="12.75">
      <c r="F704" s="10"/>
    </row>
    <row r="705" spans="6:6" ht="12.75">
      <c r="F705" s="10"/>
    </row>
    <row r="706" spans="6:6" ht="12.75">
      <c r="F706" s="10"/>
    </row>
    <row r="707" spans="6:6" ht="12.75">
      <c r="F707" s="10"/>
    </row>
    <row r="708" spans="6:6" ht="12.75">
      <c r="F708" s="10"/>
    </row>
    <row r="709" spans="6:6" ht="12.75">
      <c r="F709" s="10"/>
    </row>
    <row r="710" spans="6:6" ht="12.75">
      <c r="F710" s="10"/>
    </row>
    <row r="711" spans="6:6" ht="12.75">
      <c r="F711" s="10"/>
    </row>
    <row r="712" spans="6:6" ht="12.75">
      <c r="F712" s="10"/>
    </row>
    <row r="713" spans="6:6" ht="12.75">
      <c r="F713" s="10"/>
    </row>
    <row r="714" spans="6:6" ht="12.75">
      <c r="F714" s="10"/>
    </row>
    <row r="715" spans="6:6" ht="12.75">
      <c r="F715" s="10"/>
    </row>
    <row r="716" spans="6:6" ht="12.75">
      <c r="F716" s="10"/>
    </row>
    <row r="717" spans="6:6" ht="12.75">
      <c r="F717" s="10"/>
    </row>
    <row r="718" spans="6:6" ht="12.75">
      <c r="F718" s="10"/>
    </row>
    <row r="719" spans="6:6" ht="12.75">
      <c r="F719" s="10"/>
    </row>
    <row r="720" spans="6:6" ht="12.75">
      <c r="F720" s="10"/>
    </row>
    <row r="721" spans="6:6" ht="12.75">
      <c r="F721" s="10"/>
    </row>
    <row r="722" spans="6:6" ht="12.75">
      <c r="F722" s="10"/>
    </row>
    <row r="723" spans="6:6" ht="12.75">
      <c r="F723" s="10"/>
    </row>
    <row r="724" spans="6:6" ht="12.75">
      <c r="F724" s="10"/>
    </row>
    <row r="725" spans="6:6" ht="12.75">
      <c r="F725" s="10"/>
    </row>
    <row r="726" spans="6:6" ht="12.75">
      <c r="F726" s="10"/>
    </row>
    <row r="727" spans="6:6" ht="12.75">
      <c r="F727" s="10"/>
    </row>
    <row r="728" spans="6:6" ht="12.75">
      <c r="F728" s="10"/>
    </row>
    <row r="729" spans="6:6" ht="12.75">
      <c r="F729" s="10"/>
    </row>
    <row r="730" spans="6:6" ht="12.75">
      <c r="F730" s="10"/>
    </row>
    <row r="731" spans="6:6" ht="12.75">
      <c r="F731" s="10"/>
    </row>
    <row r="732" spans="6:6" ht="12.75">
      <c r="F732" s="10"/>
    </row>
    <row r="733" spans="6:6" ht="12.75">
      <c r="F733" s="10"/>
    </row>
    <row r="734" spans="6:6" ht="12.75">
      <c r="F734" s="10"/>
    </row>
    <row r="735" spans="6:6" ht="12.75">
      <c r="F735" s="10"/>
    </row>
    <row r="736" spans="6:6" ht="12.75">
      <c r="F736" s="10"/>
    </row>
    <row r="737" spans="6:6" ht="12.75">
      <c r="F737" s="10"/>
    </row>
    <row r="738" spans="6:6" ht="12.75">
      <c r="F738" s="10"/>
    </row>
    <row r="739" spans="6:6" ht="12.75">
      <c r="F739" s="10"/>
    </row>
    <row r="740" spans="6:6" ht="12.75">
      <c r="F740" s="10"/>
    </row>
    <row r="741" spans="6:6" ht="12.75">
      <c r="F741" s="10"/>
    </row>
    <row r="742" spans="6:6" ht="12.75">
      <c r="F742" s="10"/>
    </row>
    <row r="743" spans="6:6" ht="12.75">
      <c r="F743" s="10"/>
    </row>
    <row r="744" spans="6:6" ht="12.75">
      <c r="F744" s="10"/>
    </row>
    <row r="745" spans="6:6" ht="12.75">
      <c r="F745" s="10"/>
    </row>
    <row r="746" spans="6:6" ht="12.75">
      <c r="F746" s="10"/>
    </row>
    <row r="747" spans="6:6" ht="12.75">
      <c r="F747" s="10"/>
    </row>
    <row r="748" spans="6:6" ht="12.75">
      <c r="F748" s="10"/>
    </row>
    <row r="749" spans="6:6" ht="12.75">
      <c r="F749" s="10"/>
    </row>
    <row r="750" spans="6:6" ht="12.75">
      <c r="F750" s="10"/>
    </row>
    <row r="751" spans="6:6" ht="12.75">
      <c r="F751" s="10"/>
    </row>
    <row r="752" spans="6:6" ht="12.75">
      <c r="F752" s="10"/>
    </row>
    <row r="753" spans="6:6" ht="12.75">
      <c r="F753" s="10"/>
    </row>
    <row r="754" spans="6:6" ht="12.75">
      <c r="F754" s="10"/>
    </row>
    <row r="755" spans="6:6" ht="12.75">
      <c r="F755" s="10"/>
    </row>
    <row r="756" spans="6:6" ht="12.75">
      <c r="F756" s="10"/>
    </row>
    <row r="757" spans="6:6" ht="12.75">
      <c r="F757" s="10"/>
    </row>
    <row r="758" spans="6:6" ht="12.75">
      <c r="F758" s="10"/>
    </row>
    <row r="759" spans="6:6" ht="12.75">
      <c r="F759" s="10"/>
    </row>
    <row r="760" spans="6:6" ht="12.75">
      <c r="F760" s="10"/>
    </row>
    <row r="761" spans="6:6" ht="12.75">
      <c r="F761" s="10"/>
    </row>
    <row r="762" spans="6:6" ht="12.75">
      <c r="F762" s="10"/>
    </row>
    <row r="763" spans="6:6" ht="12.75">
      <c r="F763" s="10"/>
    </row>
    <row r="764" spans="6:6" ht="12.75">
      <c r="F764" s="10"/>
    </row>
    <row r="765" spans="6:6" ht="12.75">
      <c r="F765" s="10"/>
    </row>
    <row r="766" spans="6:6" ht="12.75">
      <c r="F766" s="10"/>
    </row>
    <row r="767" spans="6:6" ht="12.75">
      <c r="F767" s="10"/>
    </row>
    <row r="768" spans="6:6" ht="12.75">
      <c r="F768" s="10"/>
    </row>
    <row r="769" spans="6:6" ht="12.75">
      <c r="F769" s="10"/>
    </row>
    <row r="770" spans="6:6" ht="12.75">
      <c r="F770" s="10"/>
    </row>
    <row r="771" spans="6:6" ht="12.75">
      <c r="F771" s="10"/>
    </row>
    <row r="772" spans="6:6" ht="12.75">
      <c r="F772" s="10"/>
    </row>
    <row r="773" spans="6:6" ht="12.75">
      <c r="F773" s="10"/>
    </row>
    <row r="774" spans="6:6" ht="12.75">
      <c r="F774" s="10"/>
    </row>
    <row r="775" spans="6:6" ht="12.75">
      <c r="F775" s="10"/>
    </row>
    <row r="776" spans="6:6" ht="12.75">
      <c r="F776" s="10"/>
    </row>
    <row r="777" spans="6:6" ht="12.75">
      <c r="F777" s="10"/>
    </row>
    <row r="778" spans="6:6" ht="12.75">
      <c r="F778" s="10"/>
    </row>
    <row r="779" spans="6:6" ht="12.75">
      <c r="F779" s="10"/>
    </row>
    <row r="780" spans="6:6" ht="12.75">
      <c r="F780" s="10"/>
    </row>
    <row r="781" spans="6:6" ht="12.75">
      <c r="F781" s="10"/>
    </row>
    <row r="782" spans="6:6" ht="12.75">
      <c r="F782" s="10"/>
    </row>
    <row r="783" spans="6:6" ht="12.75">
      <c r="F783" s="10"/>
    </row>
    <row r="784" spans="6:6" ht="12.75">
      <c r="F784" s="10"/>
    </row>
    <row r="785" spans="6:6" ht="12.75">
      <c r="F785" s="10"/>
    </row>
    <row r="786" spans="6:6" ht="12.75">
      <c r="F786" s="10"/>
    </row>
    <row r="787" spans="6:6" ht="12.75">
      <c r="F787" s="10"/>
    </row>
    <row r="788" spans="6:6" ht="12.75">
      <c r="F788" s="10"/>
    </row>
    <row r="789" spans="6:6" ht="12.75">
      <c r="F789" s="10"/>
    </row>
    <row r="790" spans="6:6" ht="12.75">
      <c r="F790" s="10"/>
    </row>
    <row r="791" spans="6:6" ht="12.75">
      <c r="F791" s="10"/>
    </row>
    <row r="792" spans="6:6" ht="12.75">
      <c r="F792" s="10"/>
    </row>
    <row r="793" spans="6:6" ht="12.75">
      <c r="F793" s="10"/>
    </row>
    <row r="794" spans="6:6" ht="12.75">
      <c r="F794" s="10"/>
    </row>
    <row r="795" spans="6:6" ht="12.75">
      <c r="F795" s="10"/>
    </row>
    <row r="796" spans="6:6" ht="12.75">
      <c r="F796" s="10"/>
    </row>
    <row r="797" spans="6:6" ht="12.75">
      <c r="F797" s="10"/>
    </row>
    <row r="798" spans="6:6" ht="12.75">
      <c r="F798" s="10"/>
    </row>
    <row r="799" spans="6:6" ht="12.75">
      <c r="F799" s="10"/>
    </row>
    <row r="800" spans="6:6" ht="12.75">
      <c r="F800" s="10"/>
    </row>
    <row r="801" spans="6:6" ht="12.75">
      <c r="F801" s="10"/>
    </row>
    <row r="802" spans="6:6" ht="12.75">
      <c r="F802" s="10"/>
    </row>
    <row r="803" spans="6:6" ht="12.75">
      <c r="F803" s="10"/>
    </row>
    <row r="804" spans="6:6" ht="12.75">
      <c r="F804" s="10"/>
    </row>
    <row r="805" spans="6:6" ht="12.75">
      <c r="F805" s="10"/>
    </row>
    <row r="806" spans="6:6" ht="12.75">
      <c r="F806" s="10"/>
    </row>
    <row r="807" spans="6:6" ht="12.75">
      <c r="F807" s="10"/>
    </row>
    <row r="808" spans="6:6" ht="12.75">
      <c r="F808" s="10"/>
    </row>
    <row r="809" spans="6:6" ht="12.75">
      <c r="F809" s="10"/>
    </row>
    <row r="810" spans="6:6" ht="12.75">
      <c r="F810" s="10"/>
    </row>
    <row r="811" spans="6:6" ht="12.75">
      <c r="F811" s="10"/>
    </row>
    <row r="812" spans="6:6" ht="12.75">
      <c r="F812" s="10"/>
    </row>
    <row r="813" spans="6:6" ht="12.75">
      <c r="F813" s="10"/>
    </row>
    <row r="814" spans="6:6" ht="12.75">
      <c r="F814" s="10"/>
    </row>
    <row r="815" spans="6:6" ht="12.75">
      <c r="F815" s="10"/>
    </row>
    <row r="816" spans="6:6" ht="12.75">
      <c r="F816" s="10"/>
    </row>
    <row r="817" spans="6:6" ht="12.75">
      <c r="F817" s="10"/>
    </row>
    <row r="818" spans="6:6" ht="12.75">
      <c r="F818" s="10"/>
    </row>
    <row r="819" spans="6:6" ht="12.75">
      <c r="F819" s="10"/>
    </row>
    <row r="820" spans="6:6" ht="12.75">
      <c r="F820" s="10"/>
    </row>
    <row r="821" spans="6:6" ht="12.75">
      <c r="F821" s="10"/>
    </row>
    <row r="822" spans="6:6" ht="12.75">
      <c r="F822" s="10"/>
    </row>
    <row r="823" spans="6:6" ht="12.75">
      <c r="F823" s="10"/>
    </row>
    <row r="824" spans="6:6" ht="12.75">
      <c r="F824" s="10"/>
    </row>
    <row r="825" spans="6:6" ht="12.75">
      <c r="F825" s="10"/>
    </row>
    <row r="826" spans="6:6" ht="12.75">
      <c r="F826" s="10"/>
    </row>
    <row r="827" spans="6:6" ht="12.75">
      <c r="F827" s="10"/>
    </row>
    <row r="828" spans="6:6" ht="12.75">
      <c r="F828" s="10"/>
    </row>
    <row r="829" spans="6:6" ht="12.75">
      <c r="F829" s="10"/>
    </row>
    <row r="830" spans="6:6" ht="12.75">
      <c r="F830" s="10"/>
    </row>
    <row r="831" spans="6:6" ht="12.75">
      <c r="F831" s="10"/>
    </row>
    <row r="832" spans="6:6" ht="12.75">
      <c r="F832" s="10"/>
    </row>
    <row r="833" spans="6:6" ht="12.75">
      <c r="F833" s="10"/>
    </row>
    <row r="834" spans="6:6" ht="12.75">
      <c r="F834" s="10"/>
    </row>
    <row r="835" spans="6:6" ht="12.75">
      <c r="F835" s="10"/>
    </row>
    <row r="836" spans="6:6" ht="12.75">
      <c r="F836" s="10"/>
    </row>
    <row r="837" spans="6:6" ht="12.75">
      <c r="F837" s="10"/>
    </row>
    <row r="838" spans="6:6" ht="12.75">
      <c r="F838" s="10"/>
    </row>
    <row r="839" spans="6:6" ht="12.75">
      <c r="F839" s="10"/>
    </row>
    <row r="840" spans="6:6" ht="12.75">
      <c r="F840" s="10"/>
    </row>
    <row r="841" spans="6:6" ht="12.75">
      <c r="F841" s="10"/>
    </row>
    <row r="842" spans="6:6" ht="12.75">
      <c r="F842" s="10"/>
    </row>
    <row r="843" spans="6:6" ht="12.75">
      <c r="F843" s="10"/>
    </row>
    <row r="844" spans="6:6" ht="12.75">
      <c r="F844" s="10"/>
    </row>
    <row r="845" spans="6:6" ht="12.75">
      <c r="F845" s="10"/>
    </row>
    <row r="846" spans="6:6" ht="12.75">
      <c r="F846" s="10"/>
    </row>
    <row r="847" spans="6:6" ht="12.75">
      <c r="F847" s="10"/>
    </row>
    <row r="848" spans="6:6" ht="12.75">
      <c r="F848" s="10"/>
    </row>
    <row r="849" spans="6:6" ht="12.75">
      <c r="F849" s="10"/>
    </row>
    <row r="850" spans="6:6" ht="12.75">
      <c r="F850" s="10"/>
    </row>
    <row r="851" spans="6:6" ht="12.75">
      <c r="F851" s="10"/>
    </row>
    <row r="852" spans="6:6" ht="12.75">
      <c r="F852" s="10"/>
    </row>
    <row r="853" spans="6:6" ht="12.75">
      <c r="F853" s="10"/>
    </row>
    <row r="854" spans="6:6" ht="12.75">
      <c r="F854" s="10"/>
    </row>
    <row r="855" spans="6:6" ht="12.75">
      <c r="F855" s="10"/>
    </row>
    <row r="856" spans="6:6" ht="12.75">
      <c r="F856" s="10"/>
    </row>
    <row r="857" spans="6:6" ht="12.75">
      <c r="F857" s="10"/>
    </row>
    <row r="858" spans="6:6" ht="12.75">
      <c r="F858" s="10"/>
    </row>
    <row r="859" spans="6:6" ht="12.75">
      <c r="F859" s="10"/>
    </row>
    <row r="860" spans="6:6" ht="12.75">
      <c r="F860" s="10"/>
    </row>
    <row r="861" spans="6:6" ht="12.75">
      <c r="F861" s="10"/>
    </row>
    <row r="862" spans="6:6" ht="12.75">
      <c r="F862" s="10"/>
    </row>
    <row r="863" spans="6:6" ht="12.75">
      <c r="F863" s="10"/>
    </row>
    <row r="864" spans="6:6" ht="12.75">
      <c r="F864" s="10"/>
    </row>
    <row r="865" spans="6:6" ht="12.75">
      <c r="F865" s="10"/>
    </row>
    <row r="866" spans="6:6" ht="12.75">
      <c r="F866" s="10"/>
    </row>
    <row r="867" spans="6:6" ht="12.75">
      <c r="F867" s="10"/>
    </row>
    <row r="868" spans="6:6" ht="12.75">
      <c r="F868" s="10"/>
    </row>
    <row r="869" spans="6:6" ht="12.75">
      <c r="F869" s="10"/>
    </row>
    <row r="870" spans="6:6" ht="12.75">
      <c r="F870" s="10"/>
    </row>
    <row r="871" spans="6:6" ht="12.75">
      <c r="F871" s="10"/>
    </row>
    <row r="872" spans="6:6" ht="12.75">
      <c r="F872" s="10"/>
    </row>
    <row r="873" spans="6:6" ht="12.75">
      <c r="F873" s="10"/>
    </row>
    <row r="874" spans="6:6" ht="12.75">
      <c r="F874" s="10"/>
    </row>
    <row r="875" spans="6:6" ht="12.75">
      <c r="F875" s="10"/>
    </row>
    <row r="876" spans="6:6" ht="12.75">
      <c r="F876" s="10"/>
    </row>
    <row r="877" spans="6:6" ht="12.75">
      <c r="F877" s="10"/>
    </row>
    <row r="878" spans="6:6" ht="12.75">
      <c r="F878" s="10"/>
    </row>
    <row r="879" spans="6:6" ht="12.75">
      <c r="F879" s="10"/>
    </row>
    <row r="880" spans="6:6" ht="12.75">
      <c r="F880" s="10"/>
    </row>
    <row r="881" spans="6:6" ht="12.75">
      <c r="F881" s="10"/>
    </row>
    <row r="882" spans="6:6" ht="12.75">
      <c r="F882" s="10"/>
    </row>
    <row r="883" spans="6:6" ht="12.75">
      <c r="F883" s="10"/>
    </row>
    <row r="884" spans="6:6" ht="12.75">
      <c r="F884" s="10"/>
    </row>
    <row r="885" spans="6:6" ht="12.75">
      <c r="F885" s="10"/>
    </row>
    <row r="886" spans="6:6" ht="12.75">
      <c r="F886" s="10"/>
    </row>
    <row r="887" spans="6:6" ht="12.75">
      <c r="F887" s="10"/>
    </row>
    <row r="888" spans="6:6" ht="12.75">
      <c r="F888" s="10"/>
    </row>
    <row r="889" spans="6:6" ht="12.75">
      <c r="F889" s="10"/>
    </row>
    <row r="890" spans="6:6" ht="12.75">
      <c r="F890" s="10"/>
    </row>
    <row r="891" spans="6:6" ht="12.75">
      <c r="F891" s="10"/>
    </row>
    <row r="892" spans="6:6" ht="12.75">
      <c r="F892" s="10"/>
    </row>
    <row r="893" spans="6:6" ht="12.75">
      <c r="F893" s="10"/>
    </row>
    <row r="894" spans="6:6" ht="12.75">
      <c r="F894" s="10"/>
    </row>
    <row r="895" spans="6:6" ht="12.75">
      <c r="F895" s="10"/>
    </row>
    <row r="896" spans="6:6" ht="12.75">
      <c r="F896" s="10"/>
    </row>
    <row r="897" spans="6:6" ht="12.75">
      <c r="F897" s="10"/>
    </row>
    <row r="898" spans="6:6" ht="12.75">
      <c r="F898" s="10"/>
    </row>
    <row r="899" spans="6:6" ht="12.75">
      <c r="F899" s="10"/>
    </row>
    <row r="900" spans="6:6" ht="12.75">
      <c r="F900" s="10"/>
    </row>
    <row r="901" spans="6:6" ht="12.75">
      <c r="F901" s="10"/>
    </row>
    <row r="902" spans="6:6" ht="12.75">
      <c r="F902" s="10"/>
    </row>
    <row r="903" spans="6:6" ht="12.75">
      <c r="F903" s="10"/>
    </row>
    <row r="904" spans="6:6" ht="12.75">
      <c r="F904" s="10"/>
    </row>
    <row r="905" spans="6:6" ht="12.75">
      <c r="F905" s="10"/>
    </row>
    <row r="906" spans="6:6" ht="12.75">
      <c r="F906" s="10"/>
    </row>
    <row r="907" spans="6:6" ht="12.75">
      <c r="F907" s="10"/>
    </row>
    <row r="908" spans="6:6" ht="12.75">
      <c r="F908" s="10"/>
    </row>
    <row r="909" spans="6:6" ht="12.75">
      <c r="F909" s="10"/>
    </row>
    <row r="910" spans="6:6" ht="12.75">
      <c r="F910" s="10"/>
    </row>
    <row r="911" spans="6:6" ht="12.75">
      <c r="F911" s="10"/>
    </row>
    <row r="912" spans="6:6" ht="12.75">
      <c r="F912" s="10"/>
    </row>
    <row r="913" spans="6:6" ht="12.75">
      <c r="F913" s="10"/>
    </row>
    <row r="914" spans="6:6" ht="12.75">
      <c r="F914" s="10"/>
    </row>
    <row r="915" spans="6:6" ht="12.75">
      <c r="F915" s="10"/>
    </row>
    <row r="916" spans="6:6" ht="12.75">
      <c r="F916" s="10"/>
    </row>
    <row r="917" spans="6:6" ht="12.75">
      <c r="F917" s="10"/>
    </row>
    <row r="918" spans="6:6" ht="12.75">
      <c r="F918" s="10"/>
    </row>
    <row r="919" spans="6:6" ht="12.75">
      <c r="F919" s="10"/>
    </row>
    <row r="920" spans="6:6" ht="12.75">
      <c r="F920" s="10"/>
    </row>
    <row r="921" spans="6:6" ht="12.75">
      <c r="F921" s="10"/>
    </row>
    <row r="922" spans="6:6" ht="12.75">
      <c r="F922" s="10"/>
    </row>
    <row r="923" spans="6:6" ht="12.75">
      <c r="F923" s="10"/>
    </row>
    <row r="924" spans="6:6" ht="12.75">
      <c r="F924" s="10"/>
    </row>
    <row r="925" spans="6:6" ht="12.75">
      <c r="F925" s="10"/>
    </row>
    <row r="926" spans="6:6" ht="12.75">
      <c r="F926" s="10"/>
    </row>
    <row r="927" spans="6:6" ht="12.75">
      <c r="F927" s="10"/>
    </row>
    <row r="928" spans="6:6" ht="12.75">
      <c r="F928" s="10"/>
    </row>
    <row r="929" spans="6:6" ht="12.75">
      <c r="F929" s="10"/>
    </row>
    <row r="930" spans="6:6" ht="12.75">
      <c r="F930" s="10"/>
    </row>
    <row r="931" spans="6:6" ht="12.75">
      <c r="F931" s="10"/>
    </row>
    <row r="932" spans="6:6" ht="12.75">
      <c r="F932" s="10"/>
    </row>
    <row r="933" spans="6:6" ht="12.75">
      <c r="F933" s="10"/>
    </row>
    <row r="934" spans="6:6" ht="12.75">
      <c r="F934" s="10"/>
    </row>
    <row r="935" spans="6:6" ht="12.75">
      <c r="F935" s="10"/>
    </row>
    <row r="936" spans="6:6" ht="12.75">
      <c r="F936" s="10"/>
    </row>
    <row r="937" spans="6:6" ht="12.75">
      <c r="F937" s="10"/>
    </row>
    <row r="938" spans="6:6" ht="12.75">
      <c r="F938" s="10"/>
    </row>
    <row r="939" spans="6:6" ht="12.75">
      <c r="F939" s="10"/>
    </row>
    <row r="940" spans="6:6" ht="12.75">
      <c r="F940" s="10"/>
    </row>
    <row r="941" spans="6:6" ht="12.75">
      <c r="F941" s="10"/>
    </row>
    <row r="942" spans="6:6" ht="12.75">
      <c r="F942" s="10"/>
    </row>
    <row r="943" spans="6:6" ht="12.75">
      <c r="F943" s="10"/>
    </row>
    <row r="944" spans="6:6" ht="12.75">
      <c r="F944" s="10"/>
    </row>
    <row r="945" spans="6:6" ht="12.75">
      <c r="F945" s="10"/>
    </row>
    <row r="946" spans="6:6" ht="12.75">
      <c r="F946" s="10"/>
    </row>
    <row r="947" spans="6:6" ht="12.75">
      <c r="F947" s="10"/>
    </row>
    <row r="948" spans="6:6" ht="12.75">
      <c r="F948" s="10"/>
    </row>
    <row r="949" spans="6:6" ht="12.75">
      <c r="F949" s="10"/>
    </row>
    <row r="950" spans="6:6" ht="12.75">
      <c r="F950" s="10"/>
    </row>
    <row r="951" spans="6:6" ht="12.75">
      <c r="F951" s="10"/>
    </row>
    <row r="952" spans="6:6" ht="12.75">
      <c r="F952" s="10"/>
    </row>
    <row r="953" spans="6:6" ht="12.75">
      <c r="F953" s="10"/>
    </row>
    <row r="954" spans="6:6" ht="12.75">
      <c r="F954" s="10"/>
    </row>
    <row r="955" spans="6:6" ht="12.75">
      <c r="F955" s="10"/>
    </row>
    <row r="956" spans="6:6" ht="12.75">
      <c r="F956" s="10"/>
    </row>
    <row r="957" spans="6:6" ht="12.75">
      <c r="F957" s="10"/>
    </row>
    <row r="958" spans="6:6" ht="12.75">
      <c r="F958" s="10"/>
    </row>
    <row r="959" spans="6:6" ht="12.75">
      <c r="F959" s="10"/>
    </row>
    <row r="960" spans="6:6" ht="12.75">
      <c r="F960" s="10"/>
    </row>
    <row r="961" spans="6:6" ht="12.75">
      <c r="F961" s="10"/>
    </row>
    <row r="962" spans="6:6" ht="12.75">
      <c r="F962" s="10"/>
    </row>
    <row r="963" spans="6:6" ht="12.75">
      <c r="F963" s="10"/>
    </row>
    <row r="964" spans="6:6" ht="12.75">
      <c r="F964" s="10"/>
    </row>
    <row r="965" spans="6:6" ht="12.75">
      <c r="F965" s="10"/>
    </row>
    <row r="966" spans="6:6" ht="12.75">
      <c r="F966" s="10"/>
    </row>
    <row r="967" spans="6:6" ht="12.75">
      <c r="F967" s="10"/>
    </row>
    <row r="968" spans="6:6" ht="12.75">
      <c r="F968" s="10"/>
    </row>
    <row r="969" spans="6:6" ht="12.75">
      <c r="F969" s="10"/>
    </row>
    <row r="970" spans="6:6" ht="12.75">
      <c r="F970" s="10"/>
    </row>
    <row r="971" spans="6:6" ht="12.75">
      <c r="F971" s="10"/>
    </row>
    <row r="972" spans="6:6" ht="12.75">
      <c r="F972" s="10"/>
    </row>
    <row r="973" spans="6:6" ht="12.75">
      <c r="F973" s="10"/>
    </row>
    <row r="974" spans="6:6" ht="12.75">
      <c r="F974" s="10"/>
    </row>
    <row r="975" spans="6:6" ht="12.75">
      <c r="F975" s="10"/>
    </row>
    <row r="976" spans="6:6" ht="12.75">
      <c r="F976" s="10"/>
    </row>
    <row r="977" spans="6:6" ht="12.75">
      <c r="F977" s="10"/>
    </row>
    <row r="978" spans="6:6" ht="12.75">
      <c r="F978" s="10"/>
    </row>
    <row r="979" spans="6:6" ht="12.75">
      <c r="F979" s="10"/>
    </row>
    <row r="980" spans="6:6" ht="12.75">
      <c r="F980" s="10"/>
    </row>
    <row r="981" spans="6:6" ht="12.75">
      <c r="F981" s="10"/>
    </row>
    <row r="982" spans="6:6" ht="12.75">
      <c r="F982" s="10"/>
    </row>
    <row r="983" spans="6:6" ht="12.75">
      <c r="F983" s="10"/>
    </row>
    <row r="984" spans="6:6" ht="12.75">
      <c r="F984" s="10"/>
    </row>
    <row r="985" spans="6:6" ht="12.75">
      <c r="F985" s="10"/>
    </row>
    <row r="986" spans="6:6" ht="12.75">
      <c r="F986" s="10"/>
    </row>
    <row r="987" spans="6:6" ht="12.75">
      <c r="F987" s="10"/>
    </row>
    <row r="988" spans="6:6" ht="12.75">
      <c r="F988" s="10"/>
    </row>
    <row r="989" spans="6:6" ht="12.75">
      <c r="F989" s="10"/>
    </row>
    <row r="990" spans="6:6" ht="12.75">
      <c r="F990" s="10"/>
    </row>
    <row r="991" spans="6:6" ht="12.75">
      <c r="F991" s="10"/>
    </row>
    <row r="992" spans="6:6" ht="12.75">
      <c r="F992" s="10"/>
    </row>
    <row r="993" spans="6:6" ht="12.75">
      <c r="F993" s="10"/>
    </row>
    <row r="994" spans="6:6" ht="12.75">
      <c r="F994" s="10"/>
    </row>
    <row r="995" spans="6:6" ht="12.75">
      <c r="F995" s="10"/>
    </row>
    <row r="996" spans="6:6" ht="12.75">
      <c r="F996" s="10"/>
    </row>
    <row r="997" spans="6:6" ht="12.75">
      <c r="F997" s="10"/>
    </row>
    <row r="998" spans="6:6" ht="12.75">
      <c r="F998" s="10"/>
    </row>
    <row r="999" spans="6:6" ht="12.75">
      <c r="F999" s="10"/>
    </row>
    <row r="1000" spans="6:6" ht="12.75">
      <c r="F1000" s="10"/>
    </row>
    <row r="1001" spans="6:6" ht="12.75">
      <c r="F1001" s="10"/>
    </row>
    <row r="1002" spans="6:6" ht="12.75">
      <c r="F1002" s="10"/>
    </row>
    <row r="1003" spans="6:6" ht="12.75">
      <c r="F1003" s="10"/>
    </row>
    <row r="1004" spans="6:6" ht="12.75">
      <c r="F1004" s="10"/>
    </row>
    <row r="1005" spans="6:6" ht="12.75">
      <c r="F1005" s="10"/>
    </row>
    <row r="1006" spans="6:6" ht="12.75">
      <c r="F1006" s="10"/>
    </row>
    <row r="1007" spans="6:6" ht="12.75">
      <c r="F1007" s="10"/>
    </row>
    <row r="1008" spans="6:6" ht="12.75">
      <c r="F1008" s="10"/>
    </row>
    <row r="1009" spans="6:6" ht="12.75">
      <c r="F1009" s="10"/>
    </row>
    <row r="1010" spans="6:6" ht="12.75">
      <c r="F1010" s="10"/>
    </row>
    <row r="1011" spans="6:6" ht="12.75">
      <c r="F1011" s="10"/>
    </row>
    <row r="1012" spans="6:6" ht="12.75">
      <c r="F1012" s="10"/>
    </row>
    <row r="1013" spans="6:6" ht="12.75">
      <c r="F1013" s="10"/>
    </row>
    <row r="1014" spans="6:6" ht="12.75">
      <c r="F1014" s="10"/>
    </row>
    <row r="1015" spans="6:6" ht="12.75">
      <c r="F1015" s="10"/>
    </row>
    <row r="1016" spans="6:6" ht="12.75">
      <c r="F1016" s="10"/>
    </row>
    <row r="1017" spans="6:6" ht="12.75">
      <c r="F1017" s="10"/>
    </row>
    <row r="1018" spans="6:6" ht="12.75">
      <c r="F1018" s="10"/>
    </row>
    <row r="1019" spans="6:6" ht="12.75">
      <c r="F1019" s="10"/>
    </row>
    <row r="1020" spans="6:6" ht="12.75">
      <c r="F1020" s="10"/>
    </row>
    <row r="1021" spans="6:6" ht="12.75">
      <c r="F1021" s="10"/>
    </row>
    <row r="1022" spans="6:6" ht="12.75">
      <c r="F1022" s="10"/>
    </row>
    <row r="1023" spans="6:6" ht="12.75">
      <c r="F1023" s="10"/>
    </row>
    <row r="1024" spans="6:6" ht="12.75">
      <c r="F1024" s="10"/>
    </row>
    <row r="1025" spans="6:6" ht="12.75">
      <c r="F1025" s="10"/>
    </row>
    <row r="1026" spans="6:6" ht="12.75">
      <c r="F1026" s="10"/>
    </row>
    <row r="1027" spans="6:6" ht="12.75">
      <c r="F1027" s="10"/>
    </row>
    <row r="1028" spans="6:6" ht="12.75">
      <c r="F1028" s="10"/>
    </row>
    <row r="1029" spans="6:6" ht="12.75">
      <c r="F1029" s="10"/>
    </row>
    <row r="1030" spans="6:6" ht="12.75">
      <c r="F1030" s="10"/>
    </row>
    <row r="1031" spans="6:6" ht="12.75">
      <c r="F1031" s="10"/>
    </row>
    <row r="1032" spans="6:6" ht="12.75">
      <c r="F1032" s="10"/>
    </row>
    <row r="1033" spans="6:6" ht="12.75">
      <c r="F1033" s="10"/>
    </row>
    <row r="1034" spans="6:6" ht="12.75">
      <c r="F1034" s="10"/>
    </row>
    <row r="1035" spans="6:6" ht="12.75">
      <c r="F1035" s="10"/>
    </row>
    <row r="1036" spans="6:6" ht="12.75">
      <c r="F1036" s="10"/>
    </row>
    <row r="1037" spans="6:6" ht="12.75">
      <c r="F1037" s="10"/>
    </row>
    <row r="1038" spans="6:6" ht="12.75">
      <c r="F1038" s="10"/>
    </row>
    <row r="1039" spans="6:6" ht="12.75">
      <c r="F1039" s="10"/>
    </row>
    <row r="1040" spans="6:6" ht="12.75">
      <c r="F1040" s="10"/>
    </row>
    <row r="1041" spans="6:6" ht="12.75">
      <c r="F1041" s="10"/>
    </row>
    <row r="1042" spans="6:6" ht="12.75">
      <c r="F1042" s="10"/>
    </row>
    <row r="1043" spans="6:6" ht="12.75">
      <c r="F1043" s="10"/>
    </row>
    <row r="1044" spans="6:6" ht="12.75">
      <c r="F1044" s="10"/>
    </row>
    <row r="1045" spans="6:6" ht="12.75">
      <c r="F1045" s="10"/>
    </row>
    <row r="1046" spans="6:6" ht="12.75">
      <c r="F1046" s="10"/>
    </row>
    <row r="1047" spans="6:6" ht="12.75">
      <c r="F1047" s="10"/>
    </row>
    <row r="1048" spans="6:6" ht="12.75">
      <c r="F1048" s="10"/>
    </row>
    <row r="1049" spans="6:6" ht="12.75">
      <c r="F1049" s="10"/>
    </row>
    <row r="1050" spans="6:6" ht="12.75">
      <c r="F1050" s="10"/>
    </row>
    <row r="1051" spans="6:6" ht="12.75">
      <c r="F1051" s="10"/>
    </row>
    <row r="1052" spans="6:6" ht="12.75">
      <c r="F1052" s="10"/>
    </row>
    <row r="1053" spans="6:6" ht="12.75">
      <c r="F1053" s="10"/>
    </row>
    <row r="1054" spans="6:6" ht="12.75">
      <c r="F1054" s="10"/>
    </row>
    <row r="1055" spans="6:6" ht="12.75">
      <c r="F1055" s="10"/>
    </row>
    <row r="1056" spans="6:6" ht="12.75">
      <c r="F1056" s="10"/>
    </row>
    <row r="1057" spans="6:6" ht="12.75">
      <c r="F1057" s="10"/>
    </row>
    <row r="1058" spans="6:6" ht="12.75">
      <c r="F1058" s="10"/>
    </row>
    <row r="1059" spans="6:6" ht="12.75">
      <c r="F1059" s="10"/>
    </row>
    <row r="1060" spans="6:6" ht="12.75">
      <c r="F1060" s="10"/>
    </row>
    <row r="1061" spans="6:6" ht="12.75">
      <c r="F1061" s="10"/>
    </row>
    <row r="1062" spans="6:6" ht="12.75">
      <c r="F1062" s="10"/>
    </row>
    <row r="1063" spans="6:6" ht="12.75">
      <c r="F1063" s="10"/>
    </row>
    <row r="1064" spans="6:6" ht="12.75">
      <c r="F1064" s="10"/>
    </row>
    <row r="1065" spans="6:6" ht="12.75">
      <c r="F1065" s="10"/>
    </row>
    <row r="1066" spans="6:6" ht="12.75">
      <c r="F1066" s="10"/>
    </row>
    <row r="1067" spans="6:6" ht="12.75">
      <c r="F1067" s="10"/>
    </row>
    <row r="1068" spans="6:6" ht="12.75">
      <c r="F1068" s="10"/>
    </row>
    <row r="1069" spans="6:6" ht="12.75">
      <c r="F1069" s="10"/>
    </row>
    <row r="1070" spans="6:6" ht="12.75">
      <c r="F1070" s="10"/>
    </row>
    <row r="1071" spans="6:6" ht="12.75">
      <c r="F1071" s="10"/>
    </row>
    <row r="1072" spans="6:6" ht="12.75">
      <c r="F1072" s="10"/>
    </row>
    <row r="1073" spans="6:6" ht="12.75">
      <c r="F1073" s="10"/>
    </row>
    <row r="1074" spans="6:6" ht="12.75">
      <c r="F1074" s="10"/>
    </row>
    <row r="1075" spans="6:6" ht="12.75">
      <c r="F1075" s="10"/>
    </row>
    <row r="1076" spans="6:6" ht="12.75">
      <c r="F1076" s="10"/>
    </row>
    <row r="1077" spans="6:6" ht="12.75">
      <c r="F1077" s="10"/>
    </row>
    <row r="1078" spans="6:6" ht="12.75">
      <c r="F1078" s="10"/>
    </row>
    <row r="1079" spans="6:6" ht="12.75">
      <c r="F1079" s="10"/>
    </row>
    <row r="1080" spans="6:6" ht="12.75">
      <c r="F1080" s="10"/>
    </row>
    <row r="1081" spans="6:6" ht="12.75">
      <c r="F1081" s="10"/>
    </row>
    <row r="1082" spans="6:6" ht="12.75">
      <c r="F1082" s="10"/>
    </row>
    <row r="1083" spans="6:6" ht="12.75">
      <c r="F1083" s="10"/>
    </row>
    <row r="1084" spans="6:6" ht="12.75">
      <c r="F1084" s="10"/>
    </row>
    <row r="1085" spans="6:6" ht="12.75">
      <c r="F1085" s="10"/>
    </row>
  </sheetData>
  <mergeCells count="23">
    <mergeCell ref="B56:B61"/>
    <mergeCell ref="B62:B64"/>
    <mergeCell ref="B65:B69"/>
    <mergeCell ref="B70:B72"/>
    <mergeCell ref="B33:B34"/>
    <mergeCell ref="B35:B36"/>
    <mergeCell ref="B37:B38"/>
    <mergeCell ref="B44:B45"/>
    <mergeCell ref="B46:B47"/>
    <mergeCell ref="B48:B50"/>
    <mergeCell ref="B51:B55"/>
    <mergeCell ref="B4:B8"/>
    <mergeCell ref="B9:B14"/>
    <mergeCell ref="B15:B19"/>
    <mergeCell ref="B20:B24"/>
    <mergeCell ref="A20:A32"/>
    <mergeCell ref="B25:B28"/>
    <mergeCell ref="B29:B32"/>
    <mergeCell ref="A33:A39"/>
    <mergeCell ref="A44:A55"/>
    <mergeCell ref="A56:A72"/>
    <mergeCell ref="A73:A74"/>
    <mergeCell ref="A4:A19"/>
  </mergeCells>
  <phoneticPr fontId="63" type="noConversion"/>
  <conditionalFormatting sqref="F3:F39 F43:F74">
    <cfRule type="cellIs" dxfId="12" priority="1" operator="lessThanOrEqual">
      <formula>180</formula>
    </cfRule>
  </conditionalFormatting>
  <conditionalFormatting sqref="F4:F39 F44:F74">
    <cfRule type="cellIs" dxfId="11" priority="2" operator="lessThanOrEqual">
      <formula>365</formula>
    </cfRule>
  </conditionalFormatting>
  <conditionalFormatting sqref="G5:G39">
    <cfRule type="cellIs" dxfId="10" priority="5" operator="lessThanOrEqual">
      <formula>90</formula>
    </cfRule>
  </conditionalFormatting>
  <conditionalFormatting sqref="G44:G74">
    <cfRule type="cellIs" dxfId="9" priority="4" operator="lessThanOrEqual">
      <formula>90</formula>
    </cfRule>
  </conditionalFormatting>
  <conditionalFormatting sqref="K4:L39 K44:L74">
    <cfRule type="notContainsBlanks" dxfId="8" priority="3">
      <formula>LEN(TRIM(K4))&gt;0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16"/>
  <sheetViews>
    <sheetView workbookViewId="0"/>
  </sheetViews>
  <sheetFormatPr defaultColWidth="14.42578125" defaultRowHeight="15.75" customHeight="1"/>
  <cols>
    <col min="1" max="1" width="21.85546875" customWidth="1"/>
    <col min="4" max="4" width="2.85546875" customWidth="1"/>
    <col min="5" max="5" width="0.42578125" customWidth="1"/>
    <col min="6" max="6" width="2.7109375" customWidth="1"/>
    <col min="7" max="7" width="17.28515625" customWidth="1"/>
  </cols>
  <sheetData>
    <row r="1" spans="1:8" ht="15.75" customHeight="1">
      <c r="E1" s="384"/>
    </row>
    <row r="2" spans="1:8" ht="15.75" customHeight="1">
      <c r="A2" s="352" t="s">
        <v>310</v>
      </c>
      <c r="E2" s="384"/>
      <c r="F2" s="30"/>
      <c r="G2" s="352" t="s">
        <v>311</v>
      </c>
    </row>
    <row r="3" spans="1:8" ht="15.75" customHeight="1">
      <c r="E3" s="384"/>
    </row>
    <row r="4" spans="1:8" ht="15">
      <c r="A4" s="385"/>
      <c r="B4" s="385"/>
      <c r="C4" s="385"/>
      <c r="D4" s="385"/>
      <c r="E4" s="386"/>
      <c r="F4" s="385"/>
      <c r="G4" s="385"/>
      <c r="H4" s="385"/>
    </row>
    <row r="5" spans="1:8" ht="15">
      <c r="A5" s="387" t="s">
        <v>312</v>
      </c>
      <c r="B5" s="388" t="s">
        <v>313</v>
      </c>
      <c r="C5" s="385"/>
      <c r="D5" s="385"/>
      <c r="E5" s="386"/>
      <c r="F5" s="277"/>
      <c r="G5" s="387" t="s">
        <v>312</v>
      </c>
      <c r="H5" s="385" t="s">
        <v>313</v>
      </c>
    </row>
    <row r="6" spans="1:8" ht="15">
      <c r="A6" s="388"/>
      <c r="B6" s="388"/>
      <c r="C6" s="385"/>
      <c r="D6" s="385"/>
      <c r="E6" s="386"/>
      <c r="F6" s="385"/>
      <c r="G6" s="388"/>
      <c r="H6" s="385"/>
    </row>
    <row r="7" spans="1:8" ht="15">
      <c r="A7" s="387" t="s">
        <v>314</v>
      </c>
      <c r="B7" s="387" t="s">
        <v>315</v>
      </c>
      <c r="C7" s="385"/>
      <c r="D7" s="385"/>
      <c r="E7" s="386"/>
      <c r="F7" s="389"/>
      <c r="G7" s="388" t="s">
        <v>314</v>
      </c>
      <c r="H7" s="385" t="s">
        <v>316</v>
      </c>
    </row>
    <row r="8" spans="1:8" ht="15">
      <c r="A8" s="387" t="s">
        <v>317</v>
      </c>
      <c r="B8" s="387" t="s">
        <v>318</v>
      </c>
      <c r="C8" s="385"/>
      <c r="D8" s="385"/>
      <c r="E8" s="386"/>
      <c r="F8" s="389"/>
      <c r="G8" s="388" t="s">
        <v>319</v>
      </c>
      <c r="H8" s="385" t="s">
        <v>320</v>
      </c>
    </row>
    <row r="9" spans="1:8" ht="15">
      <c r="A9" s="385"/>
      <c r="B9" s="385"/>
      <c r="C9" s="385"/>
      <c r="D9" s="385"/>
      <c r="E9" s="386"/>
      <c r="F9" s="385"/>
      <c r="G9" s="385"/>
      <c r="H9" s="385"/>
    </row>
    <row r="10" spans="1:8" ht="15">
      <c r="A10" s="33"/>
      <c r="B10" s="34" t="s">
        <v>321</v>
      </c>
      <c r="C10" s="34" t="s">
        <v>322</v>
      </c>
      <c r="D10" s="385"/>
      <c r="E10" s="386"/>
      <c r="F10" s="385"/>
      <c r="G10" s="385" t="s">
        <v>323</v>
      </c>
      <c r="H10" s="385"/>
    </row>
    <row r="11" spans="1:8" ht="15">
      <c r="A11" s="35" t="s">
        <v>324</v>
      </c>
      <c r="B11" s="39">
        <f>3*500</f>
        <v>1500</v>
      </c>
      <c r="C11" s="39">
        <f t="shared" ref="C11:C12" si="0">B11*171.51</f>
        <v>257265</v>
      </c>
      <c r="D11" s="385"/>
      <c r="E11" s="386"/>
      <c r="F11" s="385"/>
      <c r="G11" s="385"/>
      <c r="H11" s="385"/>
    </row>
    <row r="12" spans="1:8" ht="15">
      <c r="A12" s="35" t="s">
        <v>325</v>
      </c>
      <c r="B12" s="39">
        <v>1600</v>
      </c>
      <c r="C12" s="39">
        <f t="shared" si="0"/>
        <v>274416</v>
      </c>
      <c r="D12" s="385"/>
      <c r="E12" s="386"/>
      <c r="F12" s="385"/>
      <c r="G12" s="385"/>
      <c r="H12" s="385"/>
    </row>
    <row r="13" spans="1:8" ht="15">
      <c r="A13" s="390"/>
      <c r="B13" s="391">
        <f t="shared" ref="B13:C13" si="1">SUM(B11:B12)</f>
        <v>3100</v>
      </c>
      <c r="C13" s="391">
        <f t="shared" si="1"/>
        <v>531681</v>
      </c>
      <c r="D13" s="385"/>
      <c r="E13" s="386"/>
      <c r="F13" s="385"/>
      <c r="G13" s="385"/>
      <c r="H13" s="385"/>
    </row>
    <row r="14" spans="1:8" ht="15">
      <c r="A14" s="385"/>
      <c r="B14" s="385"/>
      <c r="C14" s="385"/>
      <c r="D14" s="385"/>
      <c r="E14" s="386"/>
      <c r="F14" s="385"/>
      <c r="G14" s="385"/>
      <c r="H14" s="385"/>
    </row>
    <row r="15" spans="1:8" ht="15.75" customHeight="1">
      <c r="E15" s="384"/>
    </row>
    <row r="16" spans="1:8" ht="15.75" customHeight="1">
      <c r="E16" s="384"/>
    </row>
  </sheetData>
  <phoneticPr fontId="6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2:R20"/>
  <sheetViews>
    <sheetView workbookViewId="0"/>
  </sheetViews>
  <sheetFormatPr defaultColWidth="14.42578125" defaultRowHeight="15.75" customHeight="1"/>
  <cols>
    <col min="1" max="1" width="16.140625" customWidth="1"/>
    <col min="3" max="3" width="15.28515625" customWidth="1"/>
    <col min="4" max="4" width="16.5703125" customWidth="1"/>
    <col min="5" max="5" width="18.42578125" customWidth="1"/>
    <col min="8" max="8" width="15.140625" customWidth="1"/>
    <col min="9" max="11" width="17.42578125" customWidth="1"/>
    <col min="17" max="17" width="28.7109375" customWidth="1"/>
    <col min="18" max="18" width="23.7109375" customWidth="1"/>
  </cols>
  <sheetData>
    <row r="2" spans="1:18" ht="15">
      <c r="A2" s="392" t="s">
        <v>326</v>
      </c>
    </row>
    <row r="4" spans="1:18" ht="15.75" customHeight="1">
      <c r="A4" s="393" t="s">
        <v>327</v>
      </c>
      <c r="B4" s="394" t="s">
        <v>328</v>
      </c>
      <c r="C4" s="394" t="s">
        <v>329</v>
      </c>
      <c r="D4" s="394" t="s">
        <v>330</v>
      </c>
      <c r="E4" s="394" t="s">
        <v>331</v>
      </c>
      <c r="F4" s="394" t="s">
        <v>33</v>
      </c>
      <c r="G4" s="394" t="s">
        <v>332</v>
      </c>
      <c r="H4" s="394" t="s">
        <v>333</v>
      </c>
      <c r="I4" s="394" t="s">
        <v>334</v>
      </c>
      <c r="J4" s="394" t="s">
        <v>335</v>
      </c>
      <c r="K4" s="394" t="s">
        <v>336</v>
      </c>
      <c r="L4" s="394" t="s">
        <v>337</v>
      </c>
      <c r="M4" s="394" t="s">
        <v>338</v>
      </c>
      <c r="N4" s="394" t="s">
        <v>339</v>
      </c>
      <c r="O4" s="394" t="s">
        <v>340</v>
      </c>
      <c r="P4" s="394" t="s">
        <v>341</v>
      </c>
      <c r="Q4" s="394" t="s">
        <v>342</v>
      </c>
      <c r="R4" s="394" t="s">
        <v>343</v>
      </c>
    </row>
    <row r="5" spans="1:18" ht="15.75" customHeight="1">
      <c r="A5" s="33" t="s">
        <v>344</v>
      </c>
      <c r="B5" s="34" t="s">
        <v>345</v>
      </c>
      <c r="C5" s="34" t="s">
        <v>346</v>
      </c>
      <c r="D5" s="34" t="s">
        <v>347</v>
      </c>
      <c r="E5" s="34" t="s">
        <v>348</v>
      </c>
      <c r="F5" s="34">
        <v>4</v>
      </c>
      <c r="G5" s="34">
        <f t="shared" ref="G5:G7" si="0">Q5-I5</f>
        <v>4</v>
      </c>
      <c r="H5" s="34">
        <v>582961228410</v>
      </c>
      <c r="I5" s="395">
        <v>45425</v>
      </c>
      <c r="J5" s="395">
        <v>45426</v>
      </c>
      <c r="K5" s="34" t="s">
        <v>349</v>
      </c>
      <c r="L5" s="395">
        <v>45426</v>
      </c>
      <c r="M5" s="395">
        <v>45426</v>
      </c>
      <c r="N5" s="396">
        <v>45426</v>
      </c>
      <c r="O5" s="397">
        <v>45427</v>
      </c>
      <c r="P5" s="397">
        <v>45428</v>
      </c>
      <c r="Q5" s="395">
        <v>45429</v>
      </c>
      <c r="R5" s="398" t="s">
        <v>350</v>
      </c>
    </row>
    <row r="6" spans="1:18" ht="15.75" customHeight="1">
      <c r="A6" s="35" t="s">
        <v>351</v>
      </c>
      <c r="B6" s="40" t="s">
        <v>352</v>
      </c>
      <c r="C6" s="40" t="s">
        <v>353</v>
      </c>
      <c r="D6" s="40" t="s">
        <v>354</v>
      </c>
      <c r="E6" s="40" t="s">
        <v>355</v>
      </c>
      <c r="F6" s="40">
        <v>3</v>
      </c>
      <c r="G6" s="34">
        <f t="shared" si="0"/>
        <v>4</v>
      </c>
      <c r="H6" s="34">
        <v>582961228421</v>
      </c>
      <c r="I6" s="367">
        <v>45428</v>
      </c>
      <c r="J6" s="367">
        <v>45429</v>
      </c>
      <c r="K6" s="40" t="s">
        <v>349</v>
      </c>
      <c r="L6" s="367">
        <v>45429</v>
      </c>
      <c r="M6" s="367">
        <v>45429</v>
      </c>
      <c r="N6" s="367">
        <v>45429</v>
      </c>
      <c r="O6" s="367">
        <v>45430</v>
      </c>
      <c r="P6" s="399">
        <v>45430</v>
      </c>
      <c r="Q6" s="399">
        <v>45432</v>
      </c>
      <c r="R6" s="400" t="s">
        <v>356</v>
      </c>
    </row>
    <row r="7" spans="1:18" ht="15.75" customHeight="1">
      <c r="A7" s="35" t="s">
        <v>357</v>
      </c>
      <c r="B7" s="40" t="s">
        <v>358</v>
      </c>
      <c r="C7" s="40" t="s">
        <v>359</v>
      </c>
      <c r="D7" s="40" t="s">
        <v>360</v>
      </c>
      <c r="E7" s="40" t="s">
        <v>361</v>
      </c>
      <c r="F7" s="40">
        <v>6</v>
      </c>
      <c r="G7" s="34">
        <f t="shared" si="0"/>
        <v>4</v>
      </c>
      <c r="H7" s="34">
        <v>582961228432</v>
      </c>
      <c r="I7" s="367">
        <v>45429</v>
      </c>
      <c r="J7" s="367">
        <v>45430</v>
      </c>
      <c r="K7" s="40" t="s">
        <v>349</v>
      </c>
      <c r="L7" s="367">
        <v>45430</v>
      </c>
      <c r="M7" s="367">
        <v>45430</v>
      </c>
      <c r="N7" s="399">
        <v>45430</v>
      </c>
      <c r="O7" s="399">
        <v>45431</v>
      </c>
      <c r="P7" s="367">
        <v>45432</v>
      </c>
      <c r="Q7" s="367">
        <v>45433</v>
      </c>
      <c r="R7" s="400" t="s">
        <v>356</v>
      </c>
    </row>
    <row r="9" spans="1:18" ht="15">
      <c r="A9" s="392" t="s">
        <v>362</v>
      </c>
    </row>
    <row r="11" spans="1:18" ht="15.75" customHeight="1">
      <c r="A11" s="393" t="s">
        <v>327</v>
      </c>
      <c r="B11" s="394" t="s">
        <v>328</v>
      </c>
      <c r="C11" s="394" t="s">
        <v>329</v>
      </c>
      <c r="D11" s="394" t="s">
        <v>330</v>
      </c>
      <c r="E11" s="394" t="s">
        <v>331</v>
      </c>
      <c r="F11" s="394" t="s">
        <v>33</v>
      </c>
      <c r="G11" s="401" t="s">
        <v>332</v>
      </c>
      <c r="H11" s="401" t="s">
        <v>333</v>
      </c>
      <c r="I11" s="394" t="s">
        <v>334</v>
      </c>
      <c r="J11" s="393" t="s">
        <v>335</v>
      </c>
      <c r="K11" s="401" t="s">
        <v>336</v>
      </c>
      <c r="L11" s="401" t="s">
        <v>337</v>
      </c>
      <c r="M11" s="401" t="s">
        <v>338</v>
      </c>
      <c r="N11" s="401" t="s">
        <v>339</v>
      </c>
      <c r="O11" s="401" t="s">
        <v>340</v>
      </c>
      <c r="P11" s="401" t="s">
        <v>341</v>
      </c>
      <c r="Q11" s="401" t="s">
        <v>342</v>
      </c>
      <c r="R11" s="401" t="s">
        <v>343</v>
      </c>
    </row>
    <row r="12" spans="1:18" ht="15.75" customHeight="1">
      <c r="A12" s="33" t="s">
        <v>363</v>
      </c>
      <c r="B12" s="34" t="s">
        <v>345</v>
      </c>
      <c r="C12" s="34" t="s">
        <v>346</v>
      </c>
      <c r="D12" s="34" t="s">
        <v>347</v>
      </c>
      <c r="E12" s="33" t="s">
        <v>364</v>
      </c>
      <c r="F12" s="402">
        <v>2</v>
      </c>
      <c r="G12" s="33">
        <f t="shared" ref="G12:G13" si="1">Q12-I12</f>
        <v>4</v>
      </c>
      <c r="H12" s="43">
        <v>582961228443</v>
      </c>
      <c r="I12" s="403">
        <v>45436</v>
      </c>
      <c r="J12" s="403">
        <v>45439</v>
      </c>
      <c r="K12" s="43" t="s">
        <v>365</v>
      </c>
      <c r="L12" s="395">
        <v>45439</v>
      </c>
      <c r="M12" s="395">
        <v>45439</v>
      </c>
      <c r="N12" s="395">
        <v>45439</v>
      </c>
      <c r="O12" s="395">
        <v>45439</v>
      </c>
      <c r="P12" s="395">
        <v>45439</v>
      </c>
      <c r="Q12" s="395">
        <v>45440</v>
      </c>
      <c r="R12" s="43"/>
    </row>
    <row r="13" spans="1:18" ht="15.75" customHeight="1">
      <c r="A13" s="35" t="s">
        <v>366</v>
      </c>
      <c r="B13" s="40" t="s">
        <v>352</v>
      </c>
      <c r="C13" s="40" t="s">
        <v>353</v>
      </c>
      <c r="D13" s="40" t="s">
        <v>354</v>
      </c>
      <c r="E13" s="35" t="s">
        <v>355</v>
      </c>
      <c r="F13" s="404">
        <v>2</v>
      </c>
      <c r="G13" s="33">
        <f t="shared" si="1"/>
        <v>4</v>
      </c>
      <c r="H13" s="43">
        <v>582961228454</v>
      </c>
      <c r="I13" s="367">
        <v>45442</v>
      </c>
      <c r="J13" s="367">
        <v>45443</v>
      </c>
      <c r="K13" s="43" t="s">
        <v>365</v>
      </c>
      <c r="L13" s="395">
        <v>45443</v>
      </c>
      <c r="M13" s="367">
        <v>45443</v>
      </c>
      <c r="N13" s="367">
        <v>45443</v>
      </c>
      <c r="O13" s="367">
        <v>45443</v>
      </c>
      <c r="P13" s="399">
        <v>45443</v>
      </c>
      <c r="Q13" s="397">
        <v>45446</v>
      </c>
      <c r="R13" s="43"/>
    </row>
    <row r="16" spans="1:18" ht="15">
      <c r="A16" s="392" t="s">
        <v>367</v>
      </c>
    </row>
    <row r="18" spans="1:7" ht="15.75" customHeight="1">
      <c r="A18" s="55"/>
      <c r="B18" s="405" t="s">
        <v>368</v>
      </c>
      <c r="C18" s="406" t="s">
        <v>369</v>
      </c>
      <c r="D18" s="406" t="s">
        <v>370</v>
      </c>
      <c r="E18" s="406" t="s">
        <v>340</v>
      </c>
      <c r="F18" s="406" t="s">
        <v>341</v>
      </c>
      <c r="G18" s="406" t="s">
        <v>371</v>
      </c>
    </row>
    <row r="19" spans="1:7" ht="15.75" customHeight="1">
      <c r="A19" s="55" t="s">
        <v>372</v>
      </c>
      <c r="B19" s="407">
        <v>0</v>
      </c>
      <c r="C19" s="407">
        <v>0</v>
      </c>
      <c r="D19" s="407">
        <v>0</v>
      </c>
      <c r="E19" s="408" t="s">
        <v>373</v>
      </c>
      <c r="F19" s="409" t="s">
        <v>374</v>
      </c>
      <c r="G19" s="408" t="s">
        <v>375</v>
      </c>
    </row>
    <row r="20" spans="1:7" ht="15.75" customHeight="1">
      <c r="A20" s="55" t="s">
        <v>376</v>
      </c>
      <c r="B20" s="410">
        <v>0</v>
      </c>
      <c r="C20" s="410">
        <v>0</v>
      </c>
      <c r="D20" s="411" t="s">
        <v>377</v>
      </c>
      <c r="E20" s="411" t="s">
        <v>378</v>
      </c>
      <c r="F20" s="411" t="s">
        <v>379</v>
      </c>
      <c r="G20" s="411" t="s">
        <v>380</v>
      </c>
    </row>
  </sheetData>
  <phoneticPr fontId="6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2:X31"/>
  <sheetViews>
    <sheetView workbookViewId="0"/>
  </sheetViews>
  <sheetFormatPr defaultColWidth="14.42578125" defaultRowHeight="15.75" customHeight="1"/>
  <cols>
    <col min="1" max="1" width="3.7109375" customWidth="1"/>
    <col min="11" max="11" width="15.28515625" customWidth="1"/>
    <col min="13" max="13" width="15.5703125" customWidth="1"/>
  </cols>
  <sheetData>
    <row r="2" spans="1:24" ht="24" customHeight="1">
      <c r="A2" s="385"/>
      <c r="B2" s="412" t="s">
        <v>381</v>
      </c>
      <c r="C2" s="412" t="s">
        <v>382</v>
      </c>
      <c r="D2" s="679" t="s">
        <v>383</v>
      </c>
      <c r="E2" s="634"/>
      <c r="F2" s="634"/>
      <c r="G2" s="634"/>
      <c r="H2" s="634"/>
      <c r="I2" s="590"/>
      <c r="R2" s="413" t="s">
        <v>384</v>
      </c>
    </row>
    <row r="3" spans="1:24" ht="24" customHeight="1">
      <c r="A3" s="414"/>
      <c r="B3" s="415" t="s">
        <v>385</v>
      </c>
      <c r="C3" s="415" t="s">
        <v>386</v>
      </c>
      <c r="D3" s="680" t="s">
        <v>387</v>
      </c>
      <c r="E3" s="634"/>
      <c r="F3" s="634"/>
      <c r="G3" s="634"/>
      <c r="H3" s="634"/>
      <c r="I3" s="590"/>
      <c r="R3" s="416" t="s">
        <v>388</v>
      </c>
      <c r="S3" s="416" t="s">
        <v>381</v>
      </c>
      <c r="T3" s="416" t="s">
        <v>389</v>
      </c>
      <c r="U3" s="416" t="s">
        <v>390</v>
      </c>
      <c r="V3" s="416" t="s">
        <v>391</v>
      </c>
      <c r="W3" s="416" t="s">
        <v>392</v>
      </c>
      <c r="X3" s="416" t="s">
        <v>393</v>
      </c>
    </row>
    <row r="4" spans="1:24" ht="24" customHeight="1">
      <c r="A4" s="414"/>
      <c r="B4" s="670" t="s">
        <v>384</v>
      </c>
      <c r="C4" s="415" t="s">
        <v>394</v>
      </c>
      <c r="D4" s="680" t="s">
        <v>395</v>
      </c>
      <c r="E4" s="634"/>
      <c r="F4" s="634"/>
      <c r="G4" s="634"/>
      <c r="H4" s="634"/>
      <c r="I4" s="590"/>
      <c r="R4" s="417">
        <v>20</v>
      </c>
      <c r="S4" s="417">
        <v>21</v>
      </c>
      <c r="T4" s="417">
        <v>22</v>
      </c>
      <c r="U4" s="417">
        <v>23</v>
      </c>
      <c r="V4" s="417">
        <v>24</v>
      </c>
      <c r="W4" s="417">
        <v>25</v>
      </c>
      <c r="X4" s="417">
        <v>26</v>
      </c>
    </row>
    <row r="5" spans="1:24" ht="24" customHeight="1">
      <c r="A5" s="418"/>
      <c r="B5" s="584"/>
      <c r="C5" s="415" t="s">
        <v>396</v>
      </c>
      <c r="D5" s="415" t="s">
        <v>397</v>
      </c>
      <c r="E5" s="666" t="s">
        <v>398</v>
      </c>
      <c r="F5" s="634"/>
      <c r="G5" s="634"/>
      <c r="H5" s="634"/>
      <c r="I5" s="590"/>
      <c r="R5" s="419"/>
      <c r="S5" s="420"/>
      <c r="T5" s="420"/>
      <c r="U5" s="420"/>
      <c r="V5" s="420"/>
      <c r="W5" s="420"/>
      <c r="X5" s="420"/>
    </row>
    <row r="6" spans="1:24" ht="24" customHeight="1">
      <c r="A6" s="418"/>
      <c r="B6" s="670" t="s">
        <v>399</v>
      </c>
      <c r="C6" s="415" t="s">
        <v>400</v>
      </c>
      <c r="D6" s="415" t="s">
        <v>401</v>
      </c>
      <c r="E6" s="681">
        <v>45597</v>
      </c>
      <c r="F6" s="634"/>
      <c r="G6" s="634"/>
      <c r="H6" s="634"/>
      <c r="I6" s="590"/>
      <c r="R6" s="676"/>
      <c r="S6" s="677"/>
      <c r="T6" s="677"/>
      <c r="U6" s="677"/>
      <c r="V6" s="677"/>
      <c r="W6" s="677"/>
      <c r="X6" s="678"/>
    </row>
    <row r="7" spans="1:24" ht="24" customHeight="1">
      <c r="A7" s="418"/>
      <c r="B7" s="584"/>
      <c r="C7" s="415" t="s">
        <v>402</v>
      </c>
      <c r="D7" s="415" t="s">
        <v>403</v>
      </c>
      <c r="E7" s="666" t="s">
        <v>404</v>
      </c>
      <c r="F7" s="634"/>
      <c r="G7" s="634"/>
      <c r="H7" s="634"/>
      <c r="I7" s="590"/>
      <c r="R7" s="417">
        <v>27</v>
      </c>
      <c r="S7" s="417">
        <v>28</v>
      </c>
      <c r="T7" s="417">
        <v>29</v>
      </c>
      <c r="U7" s="417">
        <v>30</v>
      </c>
      <c r="V7" s="417">
        <v>31</v>
      </c>
      <c r="W7" s="417">
        <v>1</v>
      </c>
      <c r="X7" s="417">
        <v>2</v>
      </c>
    </row>
    <row r="8" spans="1:24" ht="24" customHeight="1">
      <c r="A8" s="385"/>
      <c r="B8" s="597"/>
      <c r="C8" s="415" t="s">
        <v>405</v>
      </c>
      <c r="D8" s="415" t="s">
        <v>406</v>
      </c>
      <c r="E8" s="666" t="s">
        <v>407</v>
      </c>
      <c r="F8" s="634"/>
      <c r="G8" s="634"/>
      <c r="H8" s="634"/>
      <c r="I8" s="590"/>
      <c r="R8" s="419"/>
      <c r="S8" s="420"/>
      <c r="T8" s="673" t="s">
        <v>408</v>
      </c>
      <c r="U8" s="674"/>
      <c r="V8" s="674"/>
      <c r="W8" s="675"/>
      <c r="X8" s="421"/>
    </row>
    <row r="9" spans="1:24" ht="24" customHeight="1">
      <c r="A9" s="385"/>
      <c r="R9" s="676"/>
      <c r="S9" s="677"/>
      <c r="T9" s="677"/>
      <c r="U9" s="677"/>
      <c r="V9" s="677"/>
      <c r="W9" s="677"/>
      <c r="X9" s="678"/>
    </row>
    <row r="10" spans="1:24" ht="21" customHeight="1">
      <c r="A10" s="422"/>
      <c r="J10" s="31"/>
      <c r="K10" s="31"/>
      <c r="L10" s="31"/>
      <c r="M10" s="31"/>
      <c r="R10" s="385"/>
      <c r="S10" s="385"/>
      <c r="T10" s="385"/>
      <c r="U10" s="385"/>
      <c r="V10" s="385"/>
      <c r="W10" s="385"/>
      <c r="X10" s="385"/>
    </row>
    <row r="11" spans="1:24" ht="21" customHeight="1">
      <c r="A11" s="422"/>
      <c r="R11" s="413" t="s">
        <v>399</v>
      </c>
      <c r="S11" s="385"/>
      <c r="T11" s="385"/>
      <c r="U11" s="385"/>
      <c r="V11" s="385"/>
      <c r="W11" s="385"/>
      <c r="X11" s="385"/>
    </row>
    <row r="12" spans="1:24" ht="21" customHeight="1">
      <c r="A12" s="422"/>
      <c r="R12" s="423" t="s">
        <v>388</v>
      </c>
      <c r="S12" s="423" t="s">
        <v>381</v>
      </c>
      <c r="T12" s="423" t="s">
        <v>389</v>
      </c>
      <c r="U12" s="423" t="s">
        <v>390</v>
      </c>
      <c r="V12" s="423" t="s">
        <v>391</v>
      </c>
      <c r="W12" s="423" t="s">
        <v>392</v>
      </c>
      <c r="X12" s="423" t="s">
        <v>393</v>
      </c>
    </row>
    <row r="13" spans="1:24" ht="21" customHeight="1">
      <c r="A13" s="422"/>
      <c r="R13" s="417">
        <v>3</v>
      </c>
      <c r="S13" s="417">
        <v>4</v>
      </c>
      <c r="T13" s="417">
        <v>5</v>
      </c>
      <c r="U13" s="417">
        <v>6</v>
      </c>
      <c r="V13" s="417">
        <v>7</v>
      </c>
      <c r="W13" s="417">
        <v>8</v>
      </c>
      <c r="X13" s="417">
        <v>9</v>
      </c>
    </row>
    <row r="14" spans="1:24" ht="21" customHeight="1">
      <c r="A14" s="422"/>
      <c r="R14" s="419"/>
      <c r="S14" s="424" t="s">
        <v>401</v>
      </c>
      <c r="T14" s="425"/>
      <c r="U14" s="426"/>
      <c r="V14" s="426"/>
      <c r="W14" s="427"/>
      <c r="X14" s="421"/>
    </row>
    <row r="15" spans="1:24" ht="21" customHeight="1">
      <c r="A15" s="422"/>
      <c r="B15" s="667" t="s">
        <v>409</v>
      </c>
      <c r="C15" s="579"/>
      <c r="D15" s="579"/>
      <c r="E15" s="579"/>
      <c r="F15" s="579"/>
      <c r="G15" s="31"/>
      <c r="H15" s="31"/>
      <c r="I15" s="31"/>
      <c r="J15" s="31"/>
      <c r="K15" s="31"/>
      <c r="L15" s="31"/>
      <c r="M15" s="31"/>
      <c r="R15" s="676" t="s">
        <v>397</v>
      </c>
      <c r="S15" s="677"/>
      <c r="T15" s="677"/>
      <c r="U15" s="677"/>
      <c r="V15" s="677"/>
      <c r="W15" s="677"/>
      <c r="X15" s="678"/>
    </row>
    <row r="16" spans="1:24" ht="21" customHeight="1">
      <c r="A16" s="42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 ht="21" customHeight="1">
      <c r="A17" s="422"/>
      <c r="B17" s="668"/>
      <c r="C17" s="428"/>
      <c r="D17" s="428" t="s">
        <v>410</v>
      </c>
      <c r="E17" s="428" t="s">
        <v>411</v>
      </c>
      <c r="F17" s="428" t="s">
        <v>412</v>
      </c>
      <c r="G17" s="429" t="s">
        <v>411</v>
      </c>
      <c r="H17" s="669" t="s">
        <v>413</v>
      </c>
      <c r="I17" s="669" t="s">
        <v>414</v>
      </c>
      <c r="J17" s="671" t="s">
        <v>415</v>
      </c>
      <c r="K17" s="590"/>
      <c r="L17" s="672" t="s">
        <v>416</v>
      </c>
      <c r="M17" s="582"/>
    </row>
    <row r="18" spans="1:13" ht="14.25">
      <c r="B18" s="597"/>
      <c r="C18" s="430"/>
      <c r="D18" s="430" t="s">
        <v>114</v>
      </c>
      <c r="E18" s="430" t="s">
        <v>116</v>
      </c>
      <c r="F18" s="430" t="s">
        <v>77</v>
      </c>
      <c r="G18" s="431" t="s">
        <v>135</v>
      </c>
      <c r="H18" s="597"/>
      <c r="I18" s="597"/>
      <c r="J18" s="432" t="s">
        <v>417</v>
      </c>
      <c r="K18" s="428" t="s">
        <v>418</v>
      </c>
      <c r="L18" s="428" t="s">
        <v>419</v>
      </c>
      <c r="M18" s="428" t="s">
        <v>420</v>
      </c>
    </row>
    <row r="19" spans="1:13" ht="14.25">
      <c r="B19" s="35" t="s">
        <v>421</v>
      </c>
      <c r="C19" s="39"/>
      <c r="D19" s="39">
        <v>1294</v>
      </c>
      <c r="E19" s="40">
        <v>0</v>
      </c>
      <c r="F19" s="40">
        <v>442</v>
      </c>
      <c r="G19" s="433">
        <v>1619</v>
      </c>
      <c r="H19" s="38">
        <v>3417</v>
      </c>
      <c r="I19" s="40">
        <v>12.7</v>
      </c>
      <c r="J19" s="404">
        <v>270</v>
      </c>
      <c r="K19" s="35">
        <v>1</v>
      </c>
      <c r="L19" s="39">
        <v>3147</v>
      </c>
      <c r="M19" s="40">
        <v>12</v>
      </c>
    </row>
    <row r="20" spans="1:13" ht="14.25">
      <c r="B20" s="35" t="s">
        <v>283</v>
      </c>
      <c r="C20" s="39"/>
      <c r="D20" s="39">
        <v>8072</v>
      </c>
      <c r="E20" s="40">
        <v>0</v>
      </c>
      <c r="F20" s="40">
        <v>752</v>
      </c>
      <c r="G20" s="433">
        <v>2758</v>
      </c>
      <c r="H20" s="38">
        <v>7414</v>
      </c>
      <c r="I20" s="40">
        <v>27.5</v>
      </c>
      <c r="J20" s="404">
        <v>540</v>
      </c>
      <c r="K20" s="35">
        <v>2</v>
      </c>
      <c r="L20" s="39">
        <v>6874</v>
      </c>
      <c r="M20" s="40">
        <v>26</v>
      </c>
    </row>
    <row r="21" spans="1:13" ht="14.25">
      <c r="B21" s="35" t="s">
        <v>285</v>
      </c>
      <c r="C21" s="39"/>
      <c r="D21" s="39">
        <v>5544</v>
      </c>
      <c r="E21" s="39">
        <v>11070</v>
      </c>
      <c r="F21" s="39">
        <v>1041</v>
      </c>
      <c r="G21" s="433">
        <v>3817</v>
      </c>
      <c r="H21" s="38">
        <v>10549</v>
      </c>
      <c r="I21" s="40">
        <v>39.1</v>
      </c>
      <c r="J21" s="404">
        <v>810</v>
      </c>
      <c r="K21" s="35">
        <v>3</v>
      </c>
      <c r="L21" s="39">
        <v>9739</v>
      </c>
      <c r="M21" s="40">
        <v>37</v>
      </c>
    </row>
    <row r="22" spans="1:13" ht="14.25">
      <c r="B22" s="35" t="s">
        <v>286</v>
      </c>
      <c r="C22" s="39"/>
      <c r="D22" s="39">
        <v>2398</v>
      </c>
      <c r="E22" s="40">
        <v>810</v>
      </c>
      <c r="F22" s="40">
        <v>121</v>
      </c>
      <c r="G22" s="404">
        <v>442</v>
      </c>
      <c r="H22" s="38">
        <v>2301</v>
      </c>
      <c r="I22" s="40">
        <v>8.5</v>
      </c>
      <c r="J22" s="404">
        <v>270</v>
      </c>
      <c r="K22" s="35">
        <v>1</v>
      </c>
      <c r="L22" s="39">
        <v>2031</v>
      </c>
      <c r="M22" s="40">
        <v>8</v>
      </c>
    </row>
    <row r="23" spans="1:13" ht="14.25">
      <c r="B23" s="35" t="s">
        <v>422</v>
      </c>
      <c r="C23" s="39"/>
      <c r="D23" s="39">
        <v>26908</v>
      </c>
      <c r="E23" s="39">
        <v>37180</v>
      </c>
      <c r="F23" s="39">
        <v>4678</v>
      </c>
      <c r="G23" s="433">
        <v>17152</v>
      </c>
      <c r="H23" s="38">
        <v>38453</v>
      </c>
      <c r="I23" s="40">
        <v>100.1</v>
      </c>
      <c r="J23" s="433">
        <v>2688</v>
      </c>
      <c r="K23" s="35">
        <v>7</v>
      </c>
      <c r="L23" s="39">
        <v>35765</v>
      </c>
      <c r="M23" s="40">
        <v>94</v>
      </c>
    </row>
    <row r="24" spans="1:13" ht="14.25">
      <c r="B24" s="35" t="s">
        <v>423</v>
      </c>
      <c r="C24" s="39"/>
      <c r="D24" s="39">
        <v>23329</v>
      </c>
      <c r="E24" s="39">
        <v>61256</v>
      </c>
      <c r="F24" s="39">
        <v>6826</v>
      </c>
      <c r="G24" s="433">
        <v>25027</v>
      </c>
      <c r="H24" s="38">
        <v>50853</v>
      </c>
      <c r="I24" s="40">
        <v>132.4</v>
      </c>
      <c r="J24" s="433">
        <v>3840</v>
      </c>
      <c r="K24" s="35">
        <v>10</v>
      </c>
      <c r="L24" s="39">
        <v>47013</v>
      </c>
      <c r="M24" s="40">
        <v>123</v>
      </c>
    </row>
    <row r="25" spans="1:13" ht="14.25">
      <c r="B25" s="35" t="s">
        <v>424</v>
      </c>
      <c r="C25" s="39"/>
      <c r="D25" s="39">
        <v>19117</v>
      </c>
      <c r="E25" s="39">
        <v>33024</v>
      </c>
      <c r="F25" s="39">
        <v>7349</v>
      </c>
      <c r="G25" s="433">
        <v>26945</v>
      </c>
      <c r="H25" s="38">
        <v>52493</v>
      </c>
      <c r="I25" s="40">
        <v>136.69999999999999</v>
      </c>
      <c r="J25" s="433">
        <v>4608</v>
      </c>
      <c r="K25" s="35">
        <v>12</v>
      </c>
      <c r="L25" s="39">
        <v>47885</v>
      </c>
      <c r="M25" s="40">
        <v>125</v>
      </c>
    </row>
    <row r="26" spans="1:13" ht="14.25">
      <c r="B26" s="35" t="s">
        <v>425</v>
      </c>
      <c r="C26" s="39"/>
      <c r="D26" s="39">
        <v>1</v>
      </c>
      <c r="E26" s="39">
        <v>3500</v>
      </c>
      <c r="F26" s="40">
        <v>421</v>
      </c>
      <c r="G26" s="433">
        <v>1545</v>
      </c>
      <c r="H26" s="38">
        <v>3661</v>
      </c>
      <c r="I26" s="40">
        <v>9.5</v>
      </c>
      <c r="J26" s="433">
        <v>1152</v>
      </c>
      <c r="K26" s="35">
        <v>3</v>
      </c>
      <c r="L26" s="39">
        <v>2509</v>
      </c>
      <c r="M26" s="40">
        <v>7</v>
      </c>
    </row>
    <row r="27" spans="1:13" ht="14.25">
      <c r="B27" s="35" t="s">
        <v>90</v>
      </c>
      <c r="C27" s="40"/>
      <c r="D27" s="40">
        <v>1336</v>
      </c>
      <c r="E27" s="39">
        <v>3024</v>
      </c>
      <c r="F27" s="40">
        <v>282</v>
      </c>
      <c r="G27" s="433">
        <v>1034</v>
      </c>
      <c r="H27" s="38">
        <v>2018</v>
      </c>
      <c r="I27" s="40">
        <v>2</v>
      </c>
      <c r="J27" s="404">
        <v>504</v>
      </c>
      <c r="K27" s="35">
        <v>0.5</v>
      </c>
      <c r="L27" s="39">
        <v>1514</v>
      </c>
      <c r="M27" s="40">
        <v>2</v>
      </c>
    </row>
    <row r="28" spans="1:13" ht="14.25">
      <c r="B28" s="434" t="s">
        <v>91</v>
      </c>
      <c r="C28" s="435"/>
      <c r="D28" s="435">
        <v>334</v>
      </c>
      <c r="E28" s="365">
        <v>1008</v>
      </c>
      <c r="F28" s="435">
        <v>97</v>
      </c>
      <c r="G28" s="27">
        <v>357</v>
      </c>
      <c r="H28" s="436">
        <v>1303</v>
      </c>
      <c r="I28" s="435">
        <v>1.3</v>
      </c>
      <c r="J28" s="27">
        <v>504</v>
      </c>
      <c r="K28" s="35">
        <v>0.5</v>
      </c>
      <c r="L28" s="40">
        <v>799</v>
      </c>
      <c r="M28" s="40">
        <v>1</v>
      </c>
    </row>
    <row r="29" spans="1:13" ht="14.25">
      <c r="B29" s="33" t="s">
        <v>426</v>
      </c>
      <c r="C29" s="37"/>
      <c r="D29" s="37">
        <f t="shared" ref="D29:M29" si="0">SUM(D19:D28)</f>
        <v>88333</v>
      </c>
      <c r="E29" s="37">
        <f t="shared" si="0"/>
        <v>150872</v>
      </c>
      <c r="F29" s="37">
        <f t="shared" si="0"/>
        <v>22009</v>
      </c>
      <c r="G29" s="37">
        <f t="shared" si="0"/>
        <v>80696</v>
      </c>
      <c r="H29" s="37">
        <f t="shared" si="0"/>
        <v>172462</v>
      </c>
      <c r="I29" s="37">
        <f t="shared" si="0"/>
        <v>469.8</v>
      </c>
      <c r="J29" s="37">
        <f t="shared" si="0"/>
        <v>15186</v>
      </c>
      <c r="K29" s="37">
        <f t="shared" si="0"/>
        <v>40</v>
      </c>
      <c r="L29" s="37">
        <f t="shared" si="0"/>
        <v>157276</v>
      </c>
      <c r="M29" s="37">
        <f t="shared" si="0"/>
        <v>435</v>
      </c>
    </row>
    <row r="30" spans="1:13" ht="14.25">
      <c r="B30" s="31"/>
      <c r="C30" s="31"/>
      <c r="D30" s="31"/>
      <c r="E30" s="31"/>
      <c r="F30" s="31"/>
      <c r="G30" s="31"/>
      <c r="H30" s="31"/>
      <c r="I30" s="31"/>
      <c r="J30" s="437" t="s">
        <v>427</v>
      </c>
      <c r="K30" s="438">
        <v>2</v>
      </c>
      <c r="L30" s="400" t="s">
        <v>427</v>
      </c>
      <c r="M30" s="438">
        <v>22</v>
      </c>
    </row>
    <row r="31" spans="1:13" ht="14.25">
      <c r="B31" s="31"/>
      <c r="C31" s="31"/>
      <c r="D31" s="31"/>
      <c r="E31" s="31"/>
      <c r="F31" s="31"/>
      <c r="G31" s="31"/>
      <c r="H31" s="31"/>
      <c r="I31" s="31"/>
      <c r="J31" s="437" t="s">
        <v>428</v>
      </c>
      <c r="K31" s="438">
        <v>1</v>
      </c>
      <c r="L31" s="400" t="s">
        <v>428</v>
      </c>
      <c r="M31" s="438">
        <v>5</v>
      </c>
    </row>
  </sheetData>
  <mergeCells count="19">
    <mergeCell ref="R6:X6"/>
    <mergeCell ref="D2:I2"/>
    <mergeCell ref="D3:I3"/>
    <mergeCell ref="B4:B5"/>
    <mergeCell ref="D4:I4"/>
    <mergeCell ref="E5:I5"/>
    <mergeCell ref="E6:I6"/>
    <mergeCell ref="J17:K17"/>
    <mergeCell ref="L17:M17"/>
    <mergeCell ref="E8:I8"/>
    <mergeCell ref="T8:W8"/>
    <mergeCell ref="R9:X9"/>
    <mergeCell ref="R15:X15"/>
    <mergeCell ref="E7:I7"/>
    <mergeCell ref="B15:F15"/>
    <mergeCell ref="B17:B18"/>
    <mergeCell ref="H17:H18"/>
    <mergeCell ref="I17:I18"/>
    <mergeCell ref="B6:B8"/>
  </mergeCells>
  <phoneticPr fontId="6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"/>
  <sheetViews>
    <sheetView workbookViewId="0"/>
  </sheetViews>
  <sheetFormatPr defaultColWidth="14.42578125" defaultRowHeight="15.75" customHeight="1"/>
  <sheetData/>
  <phoneticPr fontId="6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F1000"/>
  <sheetViews>
    <sheetView workbookViewId="0"/>
  </sheetViews>
  <sheetFormatPr defaultColWidth="14.42578125" defaultRowHeight="15.75" customHeight="1"/>
  <cols>
    <col min="1" max="1" width="5.140625" customWidth="1"/>
  </cols>
  <sheetData>
    <row r="1" spans="1:6" ht="15.75" customHeight="1">
      <c r="A1" s="29"/>
    </row>
    <row r="2" spans="1:6" ht="15.75" customHeight="1">
      <c r="A2" s="29"/>
    </row>
    <row r="3" spans="1:6" ht="15.75" customHeight="1">
      <c r="A3" s="439"/>
      <c r="B3" s="682" t="s">
        <v>429</v>
      </c>
      <c r="C3" s="579"/>
      <c r="D3" s="579"/>
      <c r="E3" s="31"/>
    </row>
    <row r="4" spans="1:6" ht="15.75" customHeight="1">
      <c r="A4" s="440"/>
      <c r="B4" s="441" t="s">
        <v>251</v>
      </c>
      <c r="C4" s="442" t="s">
        <v>430</v>
      </c>
      <c r="D4" s="442" t="s">
        <v>431</v>
      </c>
      <c r="E4" s="442" t="s">
        <v>432</v>
      </c>
    </row>
    <row r="5" spans="1:6" ht="15.75" customHeight="1">
      <c r="A5" s="440"/>
      <c r="B5" s="443" t="s">
        <v>433</v>
      </c>
      <c r="C5" s="444">
        <v>14283</v>
      </c>
      <c r="D5" s="445">
        <v>0.5</v>
      </c>
      <c r="E5" s="444">
        <f>C5/6</f>
        <v>2380.5</v>
      </c>
    </row>
    <row r="6" spans="1:6" ht="15.75" customHeight="1">
      <c r="A6" s="440"/>
      <c r="B6" s="443" t="s">
        <v>434</v>
      </c>
      <c r="C6" s="444">
        <v>10556</v>
      </c>
      <c r="D6" s="445">
        <v>0.37</v>
      </c>
      <c r="E6" s="444">
        <f>C6/4</f>
        <v>2639</v>
      </c>
    </row>
    <row r="7" spans="1:6" ht="15.75" customHeight="1">
      <c r="A7" s="440"/>
      <c r="B7" s="443" t="s">
        <v>435</v>
      </c>
      <c r="C7" s="444">
        <v>3683</v>
      </c>
      <c r="D7" s="445">
        <v>0.13</v>
      </c>
      <c r="E7" s="444">
        <f>C7/3</f>
        <v>1227.6666666666667</v>
      </c>
    </row>
    <row r="8" spans="1:6" ht="15.75" customHeight="1">
      <c r="A8" s="440"/>
      <c r="B8" s="446" t="s">
        <v>426</v>
      </c>
      <c r="C8" s="447">
        <f t="shared" ref="C8:E8" si="0">SUM(C5:C7)</f>
        <v>28522</v>
      </c>
      <c r="D8" s="448">
        <f t="shared" si="0"/>
        <v>1</v>
      </c>
      <c r="E8" s="447">
        <f t="shared" si="0"/>
        <v>6247.166666666667</v>
      </c>
    </row>
    <row r="9" spans="1:6" ht="15.75" customHeight="1">
      <c r="A9" s="29"/>
    </row>
    <row r="10" spans="1:6" ht="15.75" customHeight="1">
      <c r="A10" s="29"/>
    </row>
    <row r="11" spans="1:6" ht="15">
      <c r="A11" s="449"/>
      <c r="B11" s="450" t="s">
        <v>436</v>
      </c>
      <c r="C11" s="31"/>
      <c r="D11" s="31"/>
      <c r="E11" s="31"/>
      <c r="F11" s="31"/>
    </row>
    <row r="12" spans="1:6" ht="15">
      <c r="A12" s="451"/>
      <c r="B12" s="452"/>
      <c r="C12" s="453"/>
      <c r="D12" s="453"/>
      <c r="E12" s="454" t="s">
        <v>437</v>
      </c>
      <c r="F12" s="455">
        <v>177.9</v>
      </c>
    </row>
    <row r="13" spans="1:6" ht="15.75" customHeight="1">
      <c r="A13" s="456"/>
      <c r="B13" s="457" t="s">
        <v>438</v>
      </c>
      <c r="C13" s="458" t="s">
        <v>439</v>
      </c>
      <c r="D13" s="458" t="s">
        <v>440</v>
      </c>
      <c r="E13" s="459" t="s">
        <v>441</v>
      </c>
      <c r="F13" s="459" t="s">
        <v>442</v>
      </c>
    </row>
    <row r="14" spans="1:6" ht="15.75" customHeight="1">
      <c r="A14" s="460"/>
      <c r="B14" s="35" t="s">
        <v>39</v>
      </c>
      <c r="C14" s="40">
        <f t="shared" ref="C14:C15" si="1">5*$F$12</f>
        <v>889.5</v>
      </c>
      <c r="D14" s="40" t="s">
        <v>443</v>
      </c>
      <c r="E14" s="40">
        <v>153</v>
      </c>
      <c r="F14" s="39">
        <f t="shared" ref="F14:F15" si="2">E14*C14</f>
        <v>136093.5</v>
      </c>
    </row>
    <row r="15" spans="1:6" ht="15.75" customHeight="1">
      <c r="A15" s="460"/>
      <c r="B15" s="35" t="s">
        <v>444</v>
      </c>
      <c r="C15" s="40">
        <f t="shared" si="1"/>
        <v>889.5</v>
      </c>
      <c r="D15" s="40" t="s">
        <v>443</v>
      </c>
      <c r="E15" s="39">
        <v>6247</v>
      </c>
      <c r="F15" s="39">
        <f t="shared" si="2"/>
        <v>5556706.5</v>
      </c>
    </row>
    <row r="16" spans="1:6" ht="15.75" customHeight="1">
      <c r="A16" s="461"/>
      <c r="B16" s="462" t="s">
        <v>445</v>
      </c>
      <c r="C16" s="463"/>
      <c r="D16" s="463"/>
      <c r="E16" s="464">
        <f t="shared" ref="E16:F16" si="3">E14+E15</f>
        <v>6400</v>
      </c>
      <c r="F16" s="464">
        <f t="shared" si="3"/>
        <v>5692800</v>
      </c>
    </row>
    <row r="17" spans="1:1" ht="15.75" customHeight="1">
      <c r="A17" s="29"/>
    </row>
    <row r="18" spans="1:1" ht="15.75" customHeight="1">
      <c r="A18" s="29"/>
    </row>
    <row r="19" spans="1:1" ht="15.75" customHeight="1">
      <c r="A19" s="29"/>
    </row>
    <row r="20" spans="1:1" ht="15.75" customHeight="1">
      <c r="A20" s="29"/>
    </row>
    <row r="21" spans="1:1" ht="15.75" customHeight="1">
      <c r="A21" s="29"/>
    </row>
    <row r="22" spans="1:1" ht="15.75" customHeight="1">
      <c r="A22" s="29"/>
    </row>
    <row r="23" spans="1:1" ht="15.75" customHeight="1">
      <c r="A23" s="29"/>
    </row>
    <row r="24" spans="1:1" ht="15.75" customHeight="1">
      <c r="A24" s="29"/>
    </row>
    <row r="25" spans="1:1" ht="15.75" customHeight="1">
      <c r="A25" s="29"/>
    </row>
    <row r="26" spans="1:1" ht="15.75" customHeight="1">
      <c r="A26" s="29"/>
    </row>
    <row r="27" spans="1:1" ht="15.75" customHeight="1">
      <c r="A27" s="29"/>
    </row>
    <row r="28" spans="1:1" ht="15.75" customHeight="1">
      <c r="A28" s="29"/>
    </row>
    <row r="29" spans="1:1" ht="15.75" customHeight="1">
      <c r="A29" s="29"/>
    </row>
    <row r="30" spans="1:1" ht="15.75" customHeight="1">
      <c r="A30" s="29"/>
    </row>
    <row r="31" spans="1:1" ht="15.75" customHeight="1">
      <c r="A31" s="29"/>
    </row>
    <row r="32" spans="1:1" ht="15.75" customHeight="1">
      <c r="A32" s="29"/>
    </row>
    <row r="33" spans="1:1" ht="15.75" customHeight="1">
      <c r="A33" s="29"/>
    </row>
    <row r="34" spans="1:1" ht="15.75" customHeight="1">
      <c r="A34" s="29"/>
    </row>
    <row r="35" spans="1:1" ht="15.75" customHeight="1">
      <c r="A35" s="29"/>
    </row>
    <row r="36" spans="1:1" ht="15.75" customHeight="1">
      <c r="A36" s="29"/>
    </row>
    <row r="37" spans="1:1" ht="12.75">
      <c r="A37" s="29"/>
    </row>
    <row r="38" spans="1:1" ht="12.75">
      <c r="A38" s="29"/>
    </row>
    <row r="39" spans="1:1" ht="12.75">
      <c r="A39" s="29"/>
    </row>
    <row r="40" spans="1:1" ht="12.75">
      <c r="A40" s="29"/>
    </row>
    <row r="41" spans="1:1" ht="12.75">
      <c r="A41" s="29"/>
    </row>
    <row r="42" spans="1:1" ht="12.75">
      <c r="A42" s="29"/>
    </row>
    <row r="43" spans="1:1" ht="12.75">
      <c r="A43" s="29"/>
    </row>
    <row r="44" spans="1:1" ht="12.75">
      <c r="A44" s="29"/>
    </row>
    <row r="45" spans="1:1" ht="12.75">
      <c r="A45" s="29"/>
    </row>
    <row r="46" spans="1:1" ht="12.75">
      <c r="A46" s="29"/>
    </row>
    <row r="47" spans="1:1" ht="12.75">
      <c r="A47" s="29"/>
    </row>
    <row r="48" spans="1:1" ht="12.75">
      <c r="A48" s="29"/>
    </row>
    <row r="49" spans="1:1" ht="12.75">
      <c r="A49" s="29"/>
    </row>
    <row r="50" spans="1:1" ht="12.75">
      <c r="A50" s="29"/>
    </row>
    <row r="51" spans="1:1" ht="12.75">
      <c r="A51" s="29"/>
    </row>
    <row r="52" spans="1:1" ht="12.75">
      <c r="A52" s="29"/>
    </row>
    <row r="53" spans="1:1" ht="12.75">
      <c r="A53" s="29"/>
    </row>
    <row r="54" spans="1:1" ht="12.75">
      <c r="A54" s="29"/>
    </row>
    <row r="55" spans="1:1" ht="12.75">
      <c r="A55" s="29"/>
    </row>
    <row r="56" spans="1:1" ht="12.75">
      <c r="A56" s="29"/>
    </row>
    <row r="57" spans="1:1" ht="12.75">
      <c r="A57" s="29"/>
    </row>
    <row r="58" spans="1:1" ht="12.75">
      <c r="A58" s="29"/>
    </row>
    <row r="59" spans="1:1" ht="12.75">
      <c r="A59" s="29"/>
    </row>
    <row r="60" spans="1:1" ht="12.75">
      <c r="A60" s="29"/>
    </row>
    <row r="61" spans="1:1" ht="12.75">
      <c r="A61" s="29"/>
    </row>
    <row r="62" spans="1:1" ht="12.75">
      <c r="A62" s="29"/>
    </row>
    <row r="63" spans="1:1" ht="12.75">
      <c r="A63" s="29"/>
    </row>
    <row r="64" spans="1:1" ht="12.75">
      <c r="A64" s="29"/>
    </row>
    <row r="65" spans="1:1" ht="12.75">
      <c r="A65" s="29"/>
    </row>
    <row r="66" spans="1:1" ht="12.75">
      <c r="A66" s="29"/>
    </row>
    <row r="67" spans="1:1" ht="12.75">
      <c r="A67" s="29"/>
    </row>
    <row r="68" spans="1:1" ht="12.75">
      <c r="A68" s="29"/>
    </row>
    <row r="69" spans="1:1" ht="12.75">
      <c r="A69" s="29"/>
    </row>
    <row r="70" spans="1:1" ht="12.75">
      <c r="A70" s="29"/>
    </row>
    <row r="71" spans="1:1" ht="12.75">
      <c r="A71" s="29"/>
    </row>
    <row r="72" spans="1:1" ht="12.75">
      <c r="A72" s="29"/>
    </row>
    <row r="73" spans="1:1" ht="12.75">
      <c r="A73" s="29"/>
    </row>
    <row r="74" spans="1:1" ht="12.75">
      <c r="A74" s="29"/>
    </row>
    <row r="75" spans="1:1" ht="12.75">
      <c r="A75" s="29"/>
    </row>
    <row r="76" spans="1:1" ht="12.75">
      <c r="A76" s="29"/>
    </row>
    <row r="77" spans="1:1" ht="12.75">
      <c r="A77" s="29"/>
    </row>
    <row r="78" spans="1:1" ht="12.75">
      <c r="A78" s="29"/>
    </row>
    <row r="79" spans="1:1" ht="12.75">
      <c r="A79" s="29"/>
    </row>
    <row r="80" spans="1:1" ht="12.75">
      <c r="A80" s="29"/>
    </row>
    <row r="81" spans="1:1" ht="12.75">
      <c r="A81" s="29"/>
    </row>
    <row r="82" spans="1:1" ht="12.75">
      <c r="A82" s="29"/>
    </row>
    <row r="83" spans="1:1" ht="12.75">
      <c r="A83" s="29"/>
    </row>
    <row r="84" spans="1:1" ht="12.75">
      <c r="A84" s="29"/>
    </row>
    <row r="85" spans="1:1" ht="12.75">
      <c r="A85" s="29"/>
    </row>
    <row r="86" spans="1:1" ht="12.75">
      <c r="A86" s="29"/>
    </row>
    <row r="87" spans="1:1" ht="12.75">
      <c r="A87" s="29"/>
    </row>
    <row r="88" spans="1:1" ht="12.75">
      <c r="A88" s="29"/>
    </row>
    <row r="89" spans="1:1" ht="12.75">
      <c r="A89" s="29"/>
    </row>
    <row r="90" spans="1:1" ht="12.75">
      <c r="A90" s="29"/>
    </row>
    <row r="91" spans="1:1" ht="12.75">
      <c r="A91" s="29"/>
    </row>
    <row r="92" spans="1:1" ht="12.75">
      <c r="A92" s="29"/>
    </row>
    <row r="93" spans="1:1" ht="12.75">
      <c r="A93" s="29"/>
    </row>
    <row r="94" spans="1:1" ht="12.75">
      <c r="A94" s="29"/>
    </row>
    <row r="95" spans="1:1" ht="12.75">
      <c r="A95" s="29"/>
    </row>
    <row r="96" spans="1:1" ht="12.75">
      <c r="A96" s="29"/>
    </row>
    <row r="97" spans="1:1" ht="12.75">
      <c r="A97" s="29"/>
    </row>
    <row r="98" spans="1:1" ht="12.75">
      <c r="A98" s="29"/>
    </row>
    <row r="99" spans="1:1" ht="12.75">
      <c r="A99" s="29"/>
    </row>
    <row r="100" spans="1:1" ht="12.75">
      <c r="A100" s="29"/>
    </row>
    <row r="101" spans="1:1" ht="12.75">
      <c r="A101" s="29"/>
    </row>
    <row r="102" spans="1:1" ht="12.75">
      <c r="A102" s="29"/>
    </row>
    <row r="103" spans="1:1" ht="12.75">
      <c r="A103" s="29"/>
    </row>
    <row r="104" spans="1:1" ht="12.75">
      <c r="A104" s="29"/>
    </row>
    <row r="105" spans="1:1" ht="12.75">
      <c r="A105" s="29"/>
    </row>
    <row r="106" spans="1:1" ht="12.75">
      <c r="A106" s="29"/>
    </row>
    <row r="107" spans="1:1" ht="12.75">
      <c r="A107" s="29"/>
    </row>
    <row r="108" spans="1:1" ht="12.75">
      <c r="A108" s="29"/>
    </row>
    <row r="109" spans="1:1" ht="12.75">
      <c r="A109" s="29"/>
    </row>
    <row r="110" spans="1:1" ht="12.75">
      <c r="A110" s="29"/>
    </row>
    <row r="111" spans="1:1" ht="12.75">
      <c r="A111" s="29"/>
    </row>
    <row r="112" spans="1:1" ht="12.75">
      <c r="A112" s="29"/>
    </row>
    <row r="113" spans="1:1" ht="12.75">
      <c r="A113" s="29"/>
    </row>
    <row r="114" spans="1:1" ht="12.75">
      <c r="A114" s="29"/>
    </row>
    <row r="115" spans="1:1" ht="12.75">
      <c r="A115" s="29"/>
    </row>
    <row r="116" spans="1:1" ht="12.75">
      <c r="A116" s="29"/>
    </row>
    <row r="117" spans="1:1" ht="12.75">
      <c r="A117" s="29"/>
    </row>
    <row r="118" spans="1:1" ht="12.75">
      <c r="A118" s="29"/>
    </row>
    <row r="119" spans="1:1" ht="12.75">
      <c r="A119" s="29"/>
    </row>
    <row r="120" spans="1:1" ht="12.75">
      <c r="A120" s="29"/>
    </row>
    <row r="121" spans="1:1" ht="12.75">
      <c r="A121" s="29"/>
    </row>
    <row r="122" spans="1:1" ht="12.75">
      <c r="A122" s="29"/>
    </row>
    <row r="123" spans="1:1" ht="12.75">
      <c r="A123" s="29"/>
    </row>
    <row r="124" spans="1:1" ht="12.75">
      <c r="A124" s="29"/>
    </row>
    <row r="125" spans="1:1" ht="12.75">
      <c r="A125" s="29"/>
    </row>
    <row r="126" spans="1:1" ht="12.75">
      <c r="A126" s="29"/>
    </row>
    <row r="127" spans="1:1" ht="12.75">
      <c r="A127" s="29"/>
    </row>
    <row r="128" spans="1:1" ht="12.75">
      <c r="A128" s="29"/>
    </row>
    <row r="129" spans="1:1" ht="12.75">
      <c r="A129" s="29"/>
    </row>
    <row r="130" spans="1:1" ht="12.75">
      <c r="A130" s="29"/>
    </row>
    <row r="131" spans="1:1" ht="12.75">
      <c r="A131" s="29"/>
    </row>
    <row r="132" spans="1:1" ht="12.75">
      <c r="A132" s="29"/>
    </row>
    <row r="133" spans="1:1" ht="12.75">
      <c r="A133" s="29"/>
    </row>
    <row r="134" spans="1:1" ht="12.75">
      <c r="A134" s="29"/>
    </row>
    <row r="135" spans="1:1" ht="12.75">
      <c r="A135" s="29"/>
    </row>
    <row r="136" spans="1:1" ht="12.75">
      <c r="A136" s="29"/>
    </row>
    <row r="137" spans="1:1" ht="12.75">
      <c r="A137" s="29"/>
    </row>
    <row r="138" spans="1:1" ht="12.75">
      <c r="A138" s="29"/>
    </row>
    <row r="139" spans="1:1" ht="12.75">
      <c r="A139" s="29"/>
    </row>
    <row r="140" spans="1:1" ht="12.75">
      <c r="A140" s="29"/>
    </row>
    <row r="141" spans="1:1" ht="12.75">
      <c r="A141" s="29"/>
    </row>
    <row r="142" spans="1:1" ht="12.75">
      <c r="A142" s="29"/>
    </row>
    <row r="143" spans="1:1" ht="12.75">
      <c r="A143" s="29"/>
    </row>
    <row r="144" spans="1:1" ht="12.75">
      <c r="A144" s="29"/>
    </row>
    <row r="145" spans="1:1" ht="12.75">
      <c r="A145" s="29"/>
    </row>
    <row r="146" spans="1:1" ht="12.75">
      <c r="A146" s="29"/>
    </row>
    <row r="147" spans="1:1" ht="12.75">
      <c r="A147" s="29"/>
    </row>
    <row r="148" spans="1:1" ht="12.75">
      <c r="A148" s="29"/>
    </row>
    <row r="149" spans="1:1" ht="12.75">
      <c r="A149" s="29"/>
    </row>
    <row r="150" spans="1:1" ht="12.75">
      <c r="A150" s="29"/>
    </row>
    <row r="151" spans="1:1" ht="12.75">
      <c r="A151" s="29"/>
    </row>
    <row r="152" spans="1:1" ht="12.75">
      <c r="A152" s="29"/>
    </row>
    <row r="153" spans="1:1" ht="12.75">
      <c r="A153" s="29"/>
    </row>
    <row r="154" spans="1:1" ht="12.75">
      <c r="A154" s="29"/>
    </row>
    <row r="155" spans="1:1" ht="12.75">
      <c r="A155" s="29"/>
    </row>
    <row r="156" spans="1:1" ht="12.75">
      <c r="A156" s="29"/>
    </row>
    <row r="157" spans="1:1" ht="12.75">
      <c r="A157" s="29"/>
    </row>
    <row r="158" spans="1:1" ht="12.75">
      <c r="A158" s="29"/>
    </row>
    <row r="159" spans="1:1" ht="12.75">
      <c r="A159" s="29"/>
    </row>
    <row r="160" spans="1:1" ht="12.75">
      <c r="A160" s="29"/>
    </row>
    <row r="161" spans="1:1" ht="12.75">
      <c r="A161" s="29"/>
    </row>
    <row r="162" spans="1:1" ht="12.75">
      <c r="A162" s="29"/>
    </row>
    <row r="163" spans="1:1" ht="12.75">
      <c r="A163" s="29"/>
    </row>
    <row r="164" spans="1:1" ht="12.75">
      <c r="A164" s="29"/>
    </row>
    <row r="165" spans="1:1" ht="12.75">
      <c r="A165" s="29"/>
    </row>
    <row r="166" spans="1:1" ht="12.75">
      <c r="A166" s="29"/>
    </row>
    <row r="167" spans="1:1" ht="12.75">
      <c r="A167" s="29"/>
    </row>
    <row r="168" spans="1:1" ht="12.75">
      <c r="A168" s="29"/>
    </row>
    <row r="169" spans="1:1" ht="12.75">
      <c r="A169" s="29"/>
    </row>
    <row r="170" spans="1:1" ht="12.75">
      <c r="A170" s="29"/>
    </row>
    <row r="171" spans="1:1" ht="12.75">
      <c r="A171" s="29"/>
    </row>
    <row r="172" spans="1:1" ht="12.75">
      <c r="A172" s="29"/>
    </row>
    <row r="173" spans="1:1" ht="12.75">
      <c r="A173" s="29"/>
    </row>
    <row r="174" spans="1:1" ht="12.75">
      <c r="A174" s="29"/>
    </row>
    <row r="175" spans="1:1" ht="12.75">
      <c r="A175" s="29"/>
    </row>
    <row r="176" spans="1:1" ht="12.75">
      <c r="A176" s="29"/>
    </row>
    <row r="177" spans="1:1" ht="12.75">
      <c r="A177" s="29"/>
    </row>
    <row r="178" spans="1:1" ht="12.75">
      <c r="A178" s="29"/>
    </row>
    <row r="179" spans="1:1" ht="12.75">
      <c r="A179" s="29"/>
    </row>
    <row r="180" spans="1:1" ht="12.75">
      <c r="A180" s="29"/>
    </row>
    <row r="181" spans="1:1" ht="12.75">
      <c r="A181" s="29"/>
    </row>
    <row r="182" spans="1:1" ht="12.75">
      <c r="A182" s="29"/>
    </row>
    <row r="183" spans="1:1" ht="12.75">
      <c r="A183" s="29"/>
    </row>
    <row r="184" spans="1:1" ht="12.75">
      <c r="A184" s="29"/>
    </row>
    <row r="185" spans="1:1" ht="12.75">
      <c r="A185" s="29"/>
    </row>
    <row r="186" spans="1:1" ht="12.75">
      <c r="A186" s="29"/>
    </row>
    <row r="187" spans="1:1" ht="12.75">
      <c r="A187" s="29"/>
    </row>
    <row r="188" spans="1:1" ht="12.75">
      <c r="A188" s="29"/>
    </row>
    <row r="189" spans="1:1" ht="12.75">
      <c r="A189" s="29"/>
    </row>
    <row r="190" spans="1:1" ht="12.75">
      <c r="A190" s="29"/>
    </row>
    <row r="191" spans="1:1" ht="12.75">
      <c r="A191" s="29"/>
    </row>
    <row r="192" spans="1:1" ht="12.75">
      <c r="A192" s="29"/>
    </row>
    <row r="193" spans="1:1" ht="12.75">
      <c r="A193" s="29"/>
    </row>
    <row r="194" spans="1:1" ht="12.75">
      <c r="A194" s="29"/>
    </row>
    <row r="195" spans="1:1" ht="12.75">
      <c r="A195" s="29"/>
    </row>
    <row r="196" spans="1:1" ht="12.75">
      <c r="A196" s="29"/>
    </row>
    <row r="197" spans="1:1" ht="12.75">
      <c r="A197" s="29"/>
    </row>
    <row r="198" spans="1:1" ht="12.75">
      <c r="A198" s="29"/>
    </row>
    <row r="199" spans="1:1" ht="12.75">
      <c r="A199" s="29"/>
    </row>
    <row r="200" spans="1:1" ht="12.75">
      <c r="A200" s="29"/>
    </row>
    <row r="201" spans="1:1" ht="12.75">
      <c r="A201" s="29"/>
    </row>
    <row r="202" spans="1:1" ht="12.75">
      <c r="A202" s="29"/>
    </row>
    <row r="203" spans="1:1" ht="12.75">
      <c r="A203" s="29"/>
    </row>
    <row r="204" spans="1:1" ht="12.75">
      <c r="A204" s="29"/>
    </row>
    <row r="205" spans="1:1" ht="12.75">
      <c r="A205" s="29"/>
    </row>
    <row r="206" spans="1:1" ht="12.75">
      <c r="A206" s="29"/>
    </row>
    <row r="207" spans="1:1" ht="12.75">
      <c r="A207" s="29"/>
    </row>
    <row r="208" spans="1:1" ht="12.75">
      <c r="A208" s="29"/>
    </row>
    <row r="209" spans="1:1" ht="12.75">
      <c r="A209" s="29"/>
    </row>
    <row r="210" spans="1:1" ht="12.75">
      <c r="A210" s="29"/>
    </row>
    <row r="211" spans="1:1" ht="12.75">
      <c r="A211" s="29"/>
    </row>
    <row r="212" spans="1:1" ht="12.75">
      <c r="A212" s="29"/>
    </row>
    <row r="213" spans="1:1" ht="12.75">
      <c r="A213" s="29"/>
    </row>
    <row r="214" spans="1:1" ht="12.75">
      <c r="A214" s="29"/>
    </row>
    <row r="215" spans="1:1" ht="12.75">
      <c r="A215" s="29"/>
    </row>
    <row r="216" spans="1:1" ht="12.75">
      <c r="A216" s="29"/>
    </row>
    <row r="217" spans="1:1" ht="12.75">
      <c r="A217" s="29"/>
    </row>
    <row r="218" spans="1:1" ht="12.75">
      <c r="A218" s="29"/>
    </row>
    <row r="219" spans="1:1" ht="12.75">
      <c r="A219" s="29"/>
    </row>
    <row r="220" spans="1:1" ht="12.75">
      <c r="A220" s="29"/>
    </row>
    <row r="221" spans="1:1" ht="12.75">
      <c r="A221" s="29"/>
    </row>
    <row r="222" spans="1:1" ht="12.75">
      <c r="A222" s="29"/>
    </row>
    <row r="223" spans="1:1" ht="12.75">
      <c r="A223" s="29"/>
    </row>
    <row r="224" spans="1:1" ht="12.75">
      <c r="A224" s="29"/>
    </row>
    <row r="225" spans="1:1" ht="12.75">
      <c r="A225" s="29"/>
    </row>
    <row r="226" spans="1:1" ht="12.75">
      <c r="A226" s="29"/>
    </row>
    <row r="227" spans="1:1" ht="12.75">
      <c r="A227" s="29"/>
    </row>
    <row r="228" spans="1:1" ht="12.75">
      <c r="A228" s="29"/>
    </row>
    <row r="229" spans="1:1" ht="12.75">
      <c r="A229" s="29"/>
    </row>
    <row r="230" spans="1:1" ht="12.75">
      <c r="A230" s="29"/>
    </row>
    <row r="231" spans="1:1" ht="12.75">
      <c r="A231" s="29"/>
    </row>
    <row r="232" spans="1:1" ht="12.75">
      <c r="A232" s="29"/>
    </row>
    <row r="233" spans="1:1" ht="12.75">
      <c r="A233" s="29"/>
    </row>
    <row r="234" spans="1:1" ht="12.75">
      <c r="A234" s="29"/>
    </row>
    <row r="235" spans="1:1" ht="12.75">
      <c r="A235" s="29"/>
    </row>
    <row r="236" spans="1:1" ht="12.75">
      <c r="A236" s="29"/>
    </row>
    <row r="237" spans="1:1" ht="12.75">
      <c r="A237" s="29"/>
    </row>
    <row r="238" spans="1:1" ht="12.75">
      <c r="A238" s="29"/>
    </row>
    <row r="239" spans="1:1" ht="12.75">
      <c r="A239" s="29"/>
    </row>
    <row r="240" spans="1:1" ht="12.75">
      <c r="A240" s="29"/>
    </row>
    <row r="241" spans="1:1" ht="12.75">
      <c r="A241" s="29"/>
    </row>
    <row r="242" spans="1:1" ht="12.75">
      <c r="A242" s="29"/>
    </row>
    <row r="243" spans="1:1" ht="12.75">
      <c r="A243" s="29"/>
    </row>
    <row r="244" spans="1:1" ht="12.75">
      <c r="A244" s="29"/>
    </row>
    <row r="245" spans="1:1" ht="12.75">
      <c r="A245" s="29"/>
    </row>
    <row r="246" spans="1:1" ht="12.75">
      <c r="A246" s="29"/>
    </row>
    <row r="247" spans="1:1" ht="12.75">
      <c r="A247" s="29"/>
    </row>
    <row r="248" spans="1:1" ht="12.75">
      <c r="A248" s="29"/>
    </row>
    <row r="249" spans="1:1" ht="12.75">
      <c r="A249" s="29"/>
    </row>
    <row r="250" spans="1:1" ht="12.75">
      <c r="A250" s="29"/>
    </row>
    <row r="251" spans="1:1" ht="12.75">
      <c r="A251" s="29"/>
    </row>
    <row r="252" spans="1:1" ht="12.75">
      <c r="A252" s="29"/>
    </row>
    <row r="253" spans="1:1" ht="12.75">
      <c r="A253" s="29"/>
    </row>
    <row r="254" spans="1:1" ht="12.75">
      <c r="A254" s="29"/>
    </row>
    <row r="255" spans="1:1" ht="12.75">
      <c r="A255" s="29"/>
    </row>
    <row r="256" spans="1:1" ht="12.75">
      <c r="A256" s="29"/>
    </row>
    <row r="257" spans="1:1" ht="12.75">
      <c r="A257" s="29"/>
    </row>
    <row r="258" spans="1:1" ht="12.75">
      <c r="A258" s="29"/>
    </row>
    <row r="259" spans="1:1" ht="12.75">
      <c r="A259" s="29"/>
    </row>
    <row r="260" spans="1:1" ht="12.75">
      <c r="A260" s="29"/>
    </row>
    <row r="261" spans="1:1" ht="12.75">
      <c r="A261" s="29"/>
    </row>
    <row r="262" spans="1:1" ht="12.75">
      <c r="A262" s="29"/>
    </row>
    <row r="263" spans="1:1" ht="12.75">
      <c r="A263" s="29"/>
    </row>
    <row r="264" spans="1:1" ht="12.75">
      <c r="A264" s="29"/>
    </row>
    <row r="265" spans="1:1" ht="12.75">
      <c r="A265" s="29"/>
    </row>
    <row r="266" spans="1:1" ht="12.75">
      <c r="A266" s="29"/>
    </row>
    <row r="267" spans="1:1" ht="12.75">
      <c r="A267" s="29"/>
    </row>
    <row r="268" spans="1:1" ht="12.75">
      <c r="A268" s="29"/>
    </row>
    <row r="269" spans="1:1" ht="12.75">
      <c r="A269" s="29"/>
    </row>
    <row r="270" spans="1:1" ht="12.75">
      <c r="A270" s="29"/>
    </row>
    <row r="271" spans="1:1" ht="12.75">
      <c r="A271" s="29"/>
    </row>
    <row r="272" spans="1:1" ht="12.75">
      <c r="A272" s="29"/>
    </row>
    <row r="273" spans="1:1" ht="12.75">
      <c r="A273" s="29"/>
    </row>
    <row r="274" spans="1:1" ht="12.75">
      <c r="A274" s="29"/>
    </row>
    <row r="275" spans="1:1" ht="12.75">
      <c r="A275" s="29"/>
    </row>
    <row r="276" spans="1:1" ht="12.75">
      <c r="A276" s="29"/>
    </row>
    <row r="277" spans="1:1" ht="12.75">
      <c r="A277" s="29"/>
    </row>
    <row r="278" spans="1:1" ht="12.75">
      <c r="A278" s="29"/>
    </row>
    <row r="279" spans="1:1" ht="12.75">
      <c r="A279" s="29"/>
    </row>
    <row r="280" spans="1:1" ht="12.75">
      <c r="A280" s="29"/>
    </row>
    <row r="281" spans="1:1" ht="12.75">
      <c r="A281" s="29"/>
    </row>
    <row r="282" spans="1:1" ht="12.75">
      <c r="A282" s="29"/>
    </row>
    <row r="283" spans="1:1" ht="12.75">
      <c r="A283" s="29"/>
    </row>
    <row r="284" spans="1:1" ht="12.75">
      <c r="A284" s="29"/>
    </row>
    <row r="285" spans="1:1" ht="12.75">
      <c r="A285" s="29"/>
    </row>
    <row r="286" spans="1:1" ht="12.75">
      <c r="A286" s="29"/>
    </row>
    <row r="287" spans="1:1" ht="12.75">
      <c r="A287" s="29"/>
    </row>
    <row r="288" spans="1:1" ht="12.75">
      <c r="A288" s="29"/>
    </row>
    <row r="289" spans="1:1" ht="12.75">
      <c r="A289" s="29"/>
    </row>
    <row r="290" spans="1:1" ht="12.75">
      <c r="A290" s="29"/>
    </row>
    <row r="291" spans="1:1" ht="12.75">
      <c r="A291" s="29"/>
    </row>
    <row r="292" spans="1:1" ht="12.75">
      <c r="A292" s="29"/>
    </row>
    <row r="293" spans="1:1" ht="12.75">
      <c r="A293" s="29"/>
    </row>
    <row r="294" spans="1:1" ht="12.75">
      <c r="A294" s="29"/>
    </row>
    <row r="295" spans="1:1" ht="12.75">
      <c r="A295" s="29"/>
    </row>
    <row r="296" spans="1:1" ht="12.75">
      <c r="A296" s="29"/>
    </row>
    <row r="297" spans="1:1" ht="12.75">
      <c r="A297" s="29"/>
    </row>
    <row r="298" spans="1:1" ht="12.75">
      <c r="A298" s="29"/>
    </row>
    <row r="299" spans="1:1" ht="12.75">
      <c r="A299" s="29"/>
    </row>
    <row r="300" spans="1:1" ht="12.75">
      <c r="A300" s="29"/>
    </row>
    <row r="301" spans="1:1" ht="12.75">
      <c r="A301" s="29"/>
    </row>
    <row r="302" spans="1:1" ht="12.75">
      <c r="A302" s="29"/>
    </row>
    <row r="303" spans="1:1" ht="12.75">
      <c r="A303" s="29"/>
    </row>
    <row r="304" spans="1:1" ht="12.75">
      <c r="A304" s="29"/>
    </row>
    <row r="305" spans="1:1" ht="12.75">
      <c r="A305" s="29"/>
    </row>
    <row r="306" spans="1:1" ht="12.75">
      <c r="A306" s="29"/>
    </row>
    <row r="307" spans="1:1" ht="12.75">
      <c r="A307" s="29"/>
    </row>
    <row r="308" spans="1:1" ht="12.75">
      <c r="A308" s="29"/>
    </row>
    <row r="309" spans="1:1" ht="12.75">
      <c r="A309" s="29"/>
    </row>
    <row r="310" spans="1:1" ht="12.75">
      <c r="A310" s="29"/>
    </row>
    <row r="311" spans="1:1" ht="12.75">
      <c r="A311" s="29"/>
    </row>
    <row r="312" spans="1:1" ht="12.75">
      <c r="A312" s="29"/>
    </row>
    <row r="313" spans="1:1" ht="12.75">
      <c r="A313" s="29"/>
    </row>
    <row r="314" spans="1:1" ht="12.75">
      <c r="A314" s="29"/>
    </row>
    <row r="315" spans="1:1" ht="12.75">
      <c r="A315" s="29"/>
    </row>
    <row r="316" spans="1:1" ht="12.75">
      <c r="A316" s="29"/>
    </row>
    <row r="317" spans="1:1" ht="12.75">
      <c r="A317" s="29"/>
    </row>
    <row r="318" spans="1:1" ht="12.75">
      <c r="A318" s="29"/>
    </row>
    <row r="319" spans="1:1" ht="12.75">
      <c r="A319" s="29"/>
    </row>
    <row r="320" spans="1:1" ht="12.75">
      <c r="A320" s="29"/>
    </row>
    <row r="321" spans="1:1" ht="12.75">
      <c r="A321" s="29"/>
    </row>
    <row r="322" spans="1:1" ht="12.75">
      <c r="A322" s="29"/>
    </row>
    <row r="323" spans="1:1" ht="12.75">
      <c r="A323" s="29"/>
    </row>
    <row r="324" spans="1:1" ht="12.75">
      <c r="A324" s="29"/>
    </row>
    <row r="325" spans="1:1" ht="12.75">
      <c r="A325" s="29"/>
    </row>
    <row r="326" spans="1:1" ht="12.75">
      <c r="A326" s="29"/>
    </row>
    <row r="327" spans="1:1" ht="12.75">
      <c r="A327" s="29"/>
    </row>
    <row r="328" spans="1:1" ht="12.75">
      <c r="A328" s="29"/>
    </row>
    <row r="329" spans="1:1" ht="12.75">
      <c r="A329" s="29"/>
    </row>
    <row r="330" spans="1:1" ht="12.75">
      <c r="A330" s="29"/>
    </row>
    <row r="331" spans="1:1" ht="12.75">
      <c r="A331" s="29"/>
    </row>
    <row r="332" spans="1:1" ht="12.75">
      <c r="A332" s="29"/>
    </row>
    <row r="333" spans="1:1" ht="12.75">
      <c r="A333" s="29"/>
    </row>
    <row r="334" spans="1:1" ht="12.75">
      <c r="A334" s="29"/>
    </row>
    <row r="335" spans="1:1" ht="12.75">
      <c r="A335" s="29"/>
    </row>
    <row r="336" spans="1:1" ht="12.75">
      <c r="A336" s="29"/>
    </row>
    <row r="337" spans="1:1" ht="12.75">
      <c r="A337" s="29"/>
    </row>
    <row r="338" spans="1:1" ht="12.75">
      <c r="A338" s="29"/>
    </row>
    <row r="339" spans="1:1" ht="12.75">
      <c r="A339" s="29"/>
    </row>
    <row r="340" spans="1:1" ht="12.75">
      <c r="A340" s="29"/>
    </row>
    <row r="341" spans="1:1" ht="12.75">
      <c r="A341" s="29"/>
    </row>
    <row r="342" spans="1:1" ht="12.75">
      <c r="A342" s="29"/>
    </row>
    <row r="343" spans="1:1" ht="12.75">
      <c r="A343" s="29"/>
    </row>
    <row r="344" spans="1:1" ht="12.75">
      <c r="A344" s="29"/>
    </row>
    <row r="345" spans="1:1" ht="12.75">
      <c r="A345" s="29"/>
    </row>
    <row r="346" spans="1:1" ht="12.75">
      <c r="A346" s="29"/>
    </row>
    <row r="347" spans="1:1" ht="12.75">
      <c r="A347" s="29"/>
    </row>
    <row r="348" spans="1:1" ht="12.75">
      <c r="A348" s="29"/>
    </row>
    <row r="349" spans="1:1" ht="12.75">
      <c r="A349" s="29"/>
    </row>
    <row r="350" spans="1:1" ht="12.75">
      <c r="A350" s="29"/>
    </row>
    <row r="351" spans="1:1" ht="12.75">
      <c r="A351" s="29"/>
    </row>
    <row r="352" spans="1:1" ht="12.75">
      <c r="A352" s="29"/>
    </row>
    <row r="353" spans="1:1" ht="12.75">
      <c r="A353" s="29"/>
    </row>
    <row r="354" spans="1:1" ht="12.75">
      <c r="A354" s="29"/>
    </row>
    <row r="355" spans="1:1" ht="12.75">
      <c r="A355" s="29"/>
    </row>
    <row r="356" spans="1:1" ht="12.75">
      <c r="A356" s="29"/>
    </row>
    <row r="357" spans="1:1" ht="12.75">
      <c r="A357" s="29"/>
    </row>
    <row r="358" spans="1:1" ht="12.75">
      <c r="A358" s="29"/>
    </row>
    <row r="359" spans="1:1" ht="12.75">
      <c r="A359" s="29"/>
    </row>
    <row r="360" spans="1:1" ht="12.75">
      <c r="A360" s="29"/>
    </row>
    <row r="361" spans="1:1" ht="12.75">
      <c r="A361" s="29"/>
    </row>
    <row r="362" spans="1:1" ht="12.75">
      <c r="A362" s="29"/>
    </row>
    <row r="363" spans="1:1" ht="12.75">
      <c r="A363" s="29"/>
    </row>
    <row r="364" spans="1:1" ht="12.75">
      <c r="A364" s="29"/>
    </row>
    <row r="365" spans="1:1" ht="12.75">
      <c r="A365" s="29"/>
    </row>
    <row r="366" spans="1:1" ht="12.75">
      <c r="A366" s="29"/>
    </row>
    <row r="367" spans="1:1" ht="12.75">
      <c r="A367" s="29"/>
    </row>
    <row r="368" spans="1:1" ht="12.75">
      <c r="A368" s="29"/>
    </row>
    <row r="369" spans="1:1" ht="12.75">
      <c r="A369" s="29"/>
    </row>
    <row r="370" spans="1:1" ht="12.75">
      <c r="A370" s="29"/>
    </row>
    <row r="371" spans="1:1" ht="12.75">
      <c r="A371" s="29"/>
    </row>
    <row r="372" spans="1:1" ht="12.75">
      <c r="A372" s="29"/>
    </row>
    <row r="373" spans="1:1" ht="12.75">
      <c r="A373" s="29"/>
    </row>
    <row r="374" spans="1:1" ht="12.75">
      <c r="A374" s="29"/>
    </row>
    <row r="375" spans="1:1" ht="12.75">
      <c r="A375" s="29"/>
    </row>
    <row r="376" spans="1:1" ht="12.75">
      <c r="A376" s="29"/>
    </row>
    <row r="377" spans="1:1" ht="12.75">
      <c r="A377" s="29"/>
    </row>
    <row r="378" spans="1:1" ht="12.75">
      <c r="A378" s="29"/>
    </row>
    <row r="379" spans="1:1" ht="12.75">
      <c r="A379" s="29"/>
    </row>
    <row r="380" spans="1:1" ht="12.75">
      <c r="A380" s="29"/>
    </row>
    <row r="381" spans="1:1" ht="12.75">
      <c r="A381" s="29"/>
    </row>
    <row r="382" spans="1:1" ht="12.75">
      <c r="A382" s="29"/>
    </row>
    <row r="383" spans="1:1" ht="12.75">
      <c r="A383" s="29"/>
    </row>
    <row r="384" spans="1:1" ht="12.75">
      <c r="A384" s="29"/>
    </row>
    <row r="385" spans="1:1" ht="12.75">
      <c r="A385" s="29"/>
    </row>
    <row r="386" spans="1:1" ht="12.75">
      <c r="A386" s="29"/>
    </row>
    <row r="387" spans="1:1" ht="12.75">
      <c r="A387" s="29"/>
    </row>
    <row r="388" spans="1:1" ht="12.75">
      <c r="A388" s="29"/>
    </row>
    <row r="389" spans="1:1" ht="12.75">
      <c r="A389" s="29"/>
    </row>
    <row r="390" spans="1:1" ht="12.75">
      <c r="A390" s="29"/>
    </row>
    <row r="391" spans="1:1" ht="12.75">
      <c r="A391" s="29"/>
    </row>
    <row r="392" spans="1:1" ht="12.75">
      <c r="A392" s="29"/>
    </row>
    <row r="393" spans="1:1" ht="12.75">
      <c r="A393" s="29"/>
    </row>
    <row r="394" spans="1:1" ht="12.75">
      <c r="A394" s="29"/>
    </row>
    <row r="395" spans="1:1" ht="12.75">
      <c r="A395" s="29"/>
    </row>
    <row r="396" spans="1:1" ht="12.75">
      <c r="A396" s="29"/>
    </row>
    <row r="397" spans="1:1" ht="12.75">
      <c r="A397" s="29"/>
    </row>
    <row r="398" spans="1:1" ht="12.75">
      <c r="A398" s="29"/>
    </row>
    <row r="399" spans="1:1" ht="12.75">
      <c r="A399" s="29"/>
    </row>
    <row r="400" spans="1:1" ht="12.75">
      <c r="A400" s="29"/>
    </row>
    <row r="401" spans="1:1" ht="12.75">
      <c r="A401" s="29"/>
    </row>
    <row r="402" spans="1:1" ht="12.75">
      <c r="A402" s="29"/>
    </row>
    <row r="403" spans="1:1" ht="12.75">
      <c r="A403" s="29"/>
    </row>
    <row r="404" spans="1:1" ht="12.75">
      <c r="A404" s="29"/>
    </row>
    <row r="405" spans="1:1" ht="12.75">
      <c r="A405" s="29"/>
    </row>
    <row r="406" spans="1:1" ht="12.75">
      <c r="A406" s="29"/>
    </row>
    <row r="407" spans="1:1" ht="12.75">
      <c r="A407" s="29"/>
    </row>
    <row r="408" spans="1:1" ht="12.75">
      <c r="A408" s="29"/>
    </row>
    <row r="409" spans="1:1" ht="12.75">
      <c r="A409" s="29"/>
    </row>
    <row r="410" spans="1:1" ht="12.75">
      <c r="A410" s="29"/>
    </row>
    <row r="411" spans="1:1" ht="12.75">
      <c r="A411" s="29"/>
    </row>
    <row r="412" spans="1:1" ht="12.75">
      <c r="A412" s="29"/>
    </row>
    <row r="413" spans="1:1" ht="12.75">
      <c r="A413" s="29"/>
    </row>
    <row r="414" spans="1:1" ht="12.75">
      <c r="A414" s="29"/>
    </row>
    <row r="415" spans="1:1" ht="12.75">
      <c r="A415" s="29"/>
    </row>
    <row r="416" spans="1:1" ht="12.75">
      <c r="A416" s="29"/>
    </row>
    <row r="417" spans="1:1" ht="12.75">
      <c r="A417" s="29"/>
    </row>
    <row r="418" spans="1:1" ht="12.75">
      <c r="A418" s="29"/>
    </row>
    <row r="419" spans="1:1" ht="12.75">
      <c r="A419" s="29"/>
    </row>
    <row r="420" spans="1:1" ht="12.75">
      <c r="A420" s="29"/>
    </row>
    <row r="421" spans="1:1" ht="12.75">
      <c r="A421" s="29"/>
    </row>
    <row r="422" spans="1:1" ht="12.75">
      <c r="A422" s="29"/>
    </row>
    <row r="423" spans="1:1" ht="12.75">
      <c r="A423" s="29"/>
    </row>
    <row r="424" spans="1:1" ht="12.75">
      <c r="A424" s="29"/>
    </row>
    <row r="425" spans="1:1" ht="12.75">
      <c r="A425" s="29"/>
    </row>
    <row r="426" spans="1:1" ht="12.75">
      <c r="A426" s="29"/>
    </row>
    <row r="427" spans="1:1" ht="12.75">
      <c r="A427" s="29"/>
    </row>
    <row r="428" spans="1:1" ht="12.75">
      <c r="A428" s="29"/>
    </row>
    <row r="429" spans="1:1" ht="12.75">
      <c r="A429" s="29"/>
    </row>
    <row r="430" spans="1:1" ht="12.75">
      <c r="A430" s="29"/>
    </row>
    <row r="431" spans="1:1" ht="12.75">
      <c r="A431" s="29"/>
    </row>
    <row r="432" spans="1:1" ht="12.75">
      <c r="A432" s="29"/>
    </row>
    <row r="433" spans="1:1" ht="12.75">
      <c r="A433" s="29"/>
    </row>
    <row r="434" spans="1:1" ht="12.75">
      <c r="A434" s="29"/>
    </row>
    <row r="435" spans="1:1" ht="12.75">
      <c r="A435" s="29"/>
    </row>
    <row r="436" spans="1:1" ht="12.75">
      <c r="A436" s="29"/>
    </row>
    <row r="437" spans="1:1" ht="12.75">
      <c r="A437" s="29"/>
    </row>
    <row r="438" spans="1:1" ht="12.75">
      <c r="A438" s="29"/>
    </row>
    <row r="439" spans="1:1" ht="12.75">
      <c r="A439" s="29"/>
    </row>
    <row r="440" spans="1:1" ht="12.75">
      <c r="A440" s="29"/>
    </row>
    <row r="441" spans="1:1" ht="12.75">
      <c r="A441" s="29"/>
    </row>
    <row r="442" spans="1:1" ht="12.75">
      <c r="A442" s="29"/>
    </row>
    <row r="443" spans="1:1" ht="12.75">
      <c r="A443" s="29"/>
    </row>
    <row r="444" spans="1:1" ht="12.75">
      <c r="A444" s="29"/>
    </row>
    <row r="445" spans="1:1" ht="12.75">
      <c r="A445" s="29"/>
    </row>
    <row r="446" spans="1:1" ht="12.75">
      <c r="A446" s="29"/>
    </row>
    <row r="447" spans="1:1" ht="12.75">
      <c r="A447" s="29"/>
    </row>
    <row r="448" spans="1:1" ht="12.75">
      <c r="A448" s="29"/>
    </row>
    <row r="449" spans="1:1" ht="12.75">
      <c r="A449" s="29"/>
    </row>
    <row r="450" spans="1:1" ht="12.75">
      <c r="A450" s="29"/>
    </row>
    <row r="451" spans="1:1" ht="12.75">
      <c r="A451" s="29"/>
    </row>
    <row r="452" spans="1:1" ht="12.75">
      <c r="A452" s="29"/>
    </row>
    <row r="453" spans="1:1" ht="12.75">
      <c r="A453" s="29"/>
    </row>
    <row r="454" spans="1:1" ht="12.75">
      <c r="A454" s="29"/>
    </row>
    <row r="455" spans="1:1" ht="12.75">
      <c r="A455" s="29"/>
    </row>
    <row r="456" spans="1:1" ht="12.75">
      <c r="A456" s="29"/>
    </row>
    <row r="457" spans="1:1" ht="12.75">
      <c r="A457" s="29"/>
    </row>
    <row r="458" spans="1:1" ht="12.75">
      <c r="A458" s="29"/>
    </row>
    <row r="459" spans="1:1" ht="12.75">
      <c r="A459" s="29"/>
    </row>
    <row r="460" spans="1:1" ht="12.75">
      <c r="A460" s="29"/>
    </row>
    <row r="461" spans="1:1" ht="12.75">
      <c r="A461" s="29"/>
    </row>
    <row r="462" spans="1:1" ht="12.75">
      <c r="A462" s="29"/>
    </row>
    <row r="463" spans="1:1" ht="12.75">
      <c r="A463" s="29"/>
    </row>
    <row r="464" spans="1:1" ht="12.75">
      <c r="A464" s="29"/>
    </row>
    <row r="465" spans="1:1" ht="12.75">
      <c r="A465" s="29"/>
    </row>
    <row r="466" spans="1:1" ht="12.75">
      <c r="A466" s="29"/>
    </row>
    <row r="467" spans="1:1" ht="12.75">
      <c r="A467" s="29"/>
    </row>
    <row r="468" spans="1:1" ht="12.75">
      <c r="A468" s="29"/>
    </row>
    <row r="469" spans="1:1" ht="12.75">
      <c r="A469" s="29"/>
    </row>
    <row r="470" spans="1:1" ht="12.75">
      <c r="A470" s="29"/>
    </row>
    <row r="471" spans="1:1" ht="12.75">
      <c r="A471" s="29"/>
    </row>
    <row r="472" spans="1:1" ht="12.75">
      <c r="A472" s="29"/>
    </row>
    <row r="473" spans="1:1" ht="12.75">
      <c r="A473" s="29"/>
    </row>
    <row r="474" spans="1:1" ht="12.75">
      <c r="A474" s="29"/>
    </row>
    <row r="475" spans="1:1" ht="12.75">
      <c r="A475" s="29"/>
    </row>
    <row r="476" spans="1:1" ht="12.75">
      <c r="A476" s="29"/>
    </row>
    <row r="477" spans="1:1" ht="12.75">
      <c r="A477" s="29"/>
    </row>
    <row r="478" spans="1:1" ht="12.75">
      <c r="A478" s="29"/>
    </row>
    <row r="479" spans="1:1" ht="12.75">
      <c r="A479" s="29"/>
    </row>
    <row r="480" spans="1:1" ht="12.75">
      <c r="A480" s="29"/>
    </row>
    <row r="481" spans="1:1" ht="12.75">
      <c r="A481" s="29"/>
    </row>
    <row r="482" spans="1:1" ht="12.75">
      <c r="A482" s="29"/>
    </row>
    <row r="483" spans="1:1" ht="12.75">
      <c r="A483" s="29"/>
    </row>
    <row r="484" spans="1:1" ht="12.75">
      <c r="A484" s="29"/>
    </row>
    <row r="485" spans="1:1" ht="12.75">
      <c r="A485" s="29"/>
    </row>
    <row r="486" spans="1:1" ht="12.75">
      <c r="A486" s="29"/>
    </row>
    <row r="487" spans="1:1" ht="12.75">
      <c r="A487" s="29"/>
    </row>
    <row r="488" spans="1:1" ht="12.75">
      <c r="A488" s="29"/>
    </row>
    <row r="489" spans="1:1" ht="12.75">
      <c r="A489" s="29"/>
    </row>
    <row r="490" spans="1:1" ht="12.75">
      <c r="A490" s="29"/>
    </row>
    <row r="491" spans="1:1" ht="12.75">
      <c r="A491" s="29"/>
    </row>
    <row r="492" spans="1:1" ht="12.75">
      <c r="A492" s="29"/>
    </row>
    <row r="493" spans="1:1" ht="12.75">
      <c r="A493" s="29"/>
    </row>
    <row r="494" spans="1:1" ht="12.75">
      <c r="A494" s="29"/>
    </row>
    <row r="495" spans="1:1" ht="12.75">
      <c r="A495" s="29"/>
    </row>
    <row r="496" spans="1:1" ht="12.75">
      <c r="A496" s="29"/>
    </row>
    <row r="497" spans="1:1" ht="12.75">
      <c r="A497" s="29"/>
    </row>
    <row r="498" spans="1:1" ht="12.75">
      <c r="A498" s="29"/>
    </row>
    <row r="499" spans="1:1" ht="12.75">
      <c r="A499" s="29"/>
    </row>
    <row r="500" spans="1:1" ht="12.75">
      <c r="A500" s="29"/>
    </row>
    <row r="501" spans="1:1" ht="12.75">
      <c r="A501" s="29"/>
    </row>
    <row r="502" spans="1:1" ht="12.75">
      <c r="A502" s="29"/>
    </row>
    <row r="503" spans="1:1" ht="12.75">
      <c r="A503" s="29"/>
    </row>
    <row r="504" spans="1:1" ht="12.75">
      <c r="A504" s="29"/>
    </row>
    <row r="505" spans="1:1" ht="12.75">
      <c r="A505" s="29"/>
    </row>
    <row r="506" spans="1:1" ht="12.75">
      <c r="A506" s="29"/>
    </row>
    <row r="507" spans="1:1" ht="12.75">
      <c r="A507" s="29"/>
    </row>
    <row r="508" spans="1:1" ht="12.75">
      <c r="A508" s="29"/>
    </row>
    <row r="509" spans="1:1" ht="12.75">
      <c r="A509" s="29"/>
    </row>
    <row r="510" spans="1:1" ht="12.75">
      <c r="A510" s="29"/>
    </row>
    <row r="511" spans="1:1" ht="12.75">
      <c r="A511" s="29"/>
    </row>
    <row r="512" spans="1:1" ht="12.75">
      <c r="A512" s="29"/>
    </row>
    <row r="513" spans="1:1" ht="12.75">
      <c r="A513" s="29"/>
    </row>
    <row r="514" spans="1:1" ht="12.75">
      <c r="A514" s="29"/>
    </row>
    <row r="515" spans="1:1" ht="12.75">
      <c r="A515" s="29"/>
    </row>
    <row r="516" spans="1:1" ht="12.75">
      <c r="A516" s="29"/>
    </row>
    <row r="517" spans="1:1" ht="12.75">
      <c r="A517" s="29"/>
    </row>
    <row r="518" spans="1:1" ht="12.75">
      <c r="A518" s="29"/>
    </row>
    <row r="519" spans="1:1" ht="12.75">
      <c r="A519" s="29"/>
    </row>
    <row r="520" spans="1:1" ht="12.75">
      <c r="A520" s="29"/>
    </row>
    <row r="521" spans="1:1" ht="12.75">
      <c r="A521" s="29"/>
    </row>
    <row r="522" spans="1:1" ht="12.75">
      <c r="A522" s="29"/>
    </row>
    <row r="523" spans="1:1" ht="12.75">
      <c r="A523" s="29"/>
    </row>
    <row r="524" spans="1:1" ht="12.75">
      <c r="A524" s="29"/>
    </row>
    <row r="525" spans="1:1" ht="12.75">
      <c r="A525" s="29"/>
    </row>
    <row r="526" spans="1:1" ht="12.75">
      <c r="A526" s="29"/>
    </row>
    <row r="527" spans="1:1" ht="12.75">
      <c r="A527" s="29"/>
    </row>
    <row r="528" spans="1:1" ht="12.75">
      <c r="A528" s="29"/>
    </row>
    <row r="529" spans="1:1" ht="12.75">
      <c r="A529" s="29"/>
    </row>
    <row r="530" spans="1:1" ht="12.75">
      <c r="A530" s="29"/>
    </row>
    <row r="531" spans="1:1" ht="12.75">
      <c r="A531" s="29"/>
    </row>
    <row r="532" spans="1:1" ht="12.75">
      <c r="A532" s="29"/>
    </row>
    <row r="533" spans="1:1" ht="12.75">
      <c r="A533" s="29"/>
    </row>
    <row r="534" spans="1:1" ht="12.75">
      <c r="A534" s="29"/>
    </row>
    <row r="535" spans="1:1" ht="12.75">
      <c r="A535" s="29"/>
    </row>
    <row r="536" spans="1:1" ht="12.75">
      <c r="A536" s="29"/>
    </row>
    <row r="537" spans="1:1" ht="12.75">
      <c r="A537" s="29"/>
    </row>
    <row r="538" spans="1:1" ht="12.75">
      <c r="A538" s="29"/>
    </row>
    <row r="539" spans="1:1" ht="12.75">
      <c r="A539" s="29"/>
    </row>
    <row r="540" spans="1:1" ht="12.75">
      <c r="A540" s="29"/>
    </row>
    <row r="541" spans="1:1" ht="12.75">
      <c r="A541" s="29"/>
    </row>
    <row r="542" spans="1:1" ht="12.75">
      <c r="A542" s="29"/>
    </row>
    <row r="543" spans="1:1" ht="12.75">
      <c r="A543" s="29"/>
    </row>
    <row r="544" spans="1:1" ht="12.75">
      <c r="A544" s="29"/>
    </row>
    <row r="545" spans="1:1" ht="12.75">
      <c r="A545" s="29"/>
    </row>
    <row r="546" spans="1:1" ht="12.75">
      <c r="A546" s="29"/>
    </row>
    <row r="547" spans="1:1" ht="12.75">
      <c r="A547" s="29"/>
    </row>
    <row r="548" spans="1:1" ht="12.75">
      <c r="A548" s="29"/>
    </row>
    <row r="549" spans="1:1" ht="12.75">
      <c r="A549" s="29"/>
    </row>
    <row r="550" spans="1:1" ht="12.75">
      <c r="A550" s="29"/>
    </row>
    <row r="551" spans="1:1" ht="12.75">
      <c r="A551" s="29"/>
    </row>
    <row r="552" spans="1:1" ht="12.75">
      <c r="A552" s="29"/>
    </row>
    <row r="553" spans="1:1" ht="12.75">
      <c r="A553" s="29"/>
    </row>
    <row r="554" spans="1:1" ht="12.75">
      <c r="A554" s="29"/>
    </row>
    <row r="555" spans="1:1" ht="12.75">
      <c r="A555" s="29"/>
    </row>
    <row r="556" spans="1:1" ht="12.75">
      <c r="A556" s="29"/>
    </row>
    <row r="557" spans="1:1" ht="12.75">
      <c r="A557" s="29"/>
    </row>
    <row r="558" spans="1:1" ht="12.75">
      <c r="A558" s="29"/>
    </row>
    <row r="559" spans="1:1" ht="12.75">
      <c r="A559" s="29"/>
    </row>
    <row r="560" spans="1:1" ht="12.75">
      <c r="A560" s="29"/>
    </row>
    <row r="561" spans="1:1" ht="12.75">
      <c r="A561" s="29"/>
    </row>
    <row r="562" spans="1:1" ht="12.75">
      <c r="A562" s="29"/>
    </row>
    <row r="563" spans="1:1" ht="12.75">
      <c r="A563" s="29"/>
    </row>
    <row r="564" spans="1:1" ht="12.75">
      <c r="A564" s="29"/>
    </row>
    <row r="565" spans="1:1" ht="12.75">
      <c r="A565" s="29"/>
    </row>
    <row r="566" spans="1:1" ht="12.75">
      <c r="A566" s="29"/>
    </row>
    <row r="567" spans="1:1" ht="12.75">
      <c r="A567" s="29"/>
    </row>
    <row r="568" spans="1:1" ht="12.75">
      <c r="A568" s="29"/>
    </row>
    <row r="569" spans="1:1" ht="12.75">
      <c r="A569" s="29"/>
    </row>
    <row r="570" spans="1:1" ht="12.75">
      <c r="A570" s="29"/>
    </row>
    <row r="571" spans="1:1" ht="12.75">
      <c r="A571" s="29"/>
    </row>
    <row r="572" spans="1:1" ht="12.75">
      <c r="A572" s="29"/>
    </row>
    <row r="573" spans="1:1" ht="12.75">
      <c r="A573" s="29"/>
    </row>
    <row r="574" spans="1:1" ht="12.75">
      <c r="A574" s="29"/>
    </row>
    <row r="575" spans="1:1" ht="12.75">
      <c r="A575" s="29"/>
    </row>
    <row r="576" spans="1:1" ht="12.75">
      <c r="A576" s="29"/>
    </row>
    <row r="577" spans="1:1" ht="12.75">
      <c r="A577" s="29"/>
    </row>
    <row r="578" spans="1:1" ht="12.75">
      <c r="A578" s="29"/>
    </row>
    <row r="579" spans="1:1" ht="12.75">
      <c r="A579" s="29"/>
    </row>
    <row r="580" spans="1:1" ht="12.75">
      <c r="A580" s="29"/>
    </row>
    <row r="581" spans="1:1" ht="12.75">
      <c r="A581" s="29"/>
    </row>
    <row r="582" spans="1:1" ht="12.75">
      <c r="A582" s="29"/>
    </row>
    <row r="583" spans="1:1" ht="12.75">
      <c r="A583" s="29"/>
    </row>
    <row r="584" spans="1:1" ht="12.75">
      <c r="A584" s="29"/>
    </row>
    <row r="585" spans="1:1" ht="12.75">
      <c r="A585" s="29"/>
    </row>
    <row r="586" spans="1:1" ht="12.75">
      <c r="A586" s="29"/>
    </row>
    <row r="587" spans="1:1" ht="12.75">
      <c r="A587" s="29"/>
    </row>
    <row r="588" spans="1:1" ht="12.75">
      <c r="A588" s="29"/>
    </row>
    <row r="589" spans="1:1" ht="12.75">
      <c r="A589" s="29"/>
    </row>
    <row r="590" spans="1:1" ht="12.75">
      <c r="A590" s="29"/>
    </row>
    <row r="591" spans="1:1" ht="12.75">
      <c r="A591" s="29"/>
    </row>
    <row r="592" spans="1:1" ht="12.75">
      <c r="A592" s="29"/>
    </row>
    <row r="593" spans="1:1" ht="12.75">
      <c r="A593" s="29"/>
    </row>
    <row r="594" spans="1:1" ht="12.75">
      <c r="A594" s="29"/>
    </row>
    <row r="595" spans="1:1" ht="12.75">
      <c r="A595" s="29"/>
    </row>
    <row r="596" spans="1:1" ht="12.75">
      <c r="A596" s="29"/>
    </row>
    <row r="597" spans="1:1" ht="12.75">
      <c r="A597" s="29"/>
    </row>
    <row r="598" spans="1:1" ht="12.75">
      <c r="A598" s="29"/>
    </row>
    <row r="599" spans="1:1" ht="12.75">
      <c r="A599" s="29"/>
    </row>
    <row r="600" spans="1:1" ht="12.75">
      <c r="A600" s="29"/>
    </row>
    <row r="601" spans="1:1" ht="12.75">
      <c r="A601" s="29"/>
    </row>
    <row r="602" spans="1:1" ht="12.75">
      <c r="A602" s="29"/>
    </row>
    <row r="603" spans="1:1" ht="12.75">
      <c r="A603" s="29"/>
    </row>
    <row r="604" spans="1:1" ht="12.75">
      <c r="A604" s="29"/>
    </row>
    <row r="605" spans="1:1" ht="12.75">
      <c r="A605" s="29"/>
    </row>
    <row r="606" spans="1:1" ht="12.75">
      <c r="A606" s="29"/>
    </row>
    <row r="607" spans="1:1" ht="12.75">
      <c r="A607" s="29"/>
    </row>
    <row r="608" spans="1:1" ht="12.75">
      <c r="A608" s="29"/>
    </row>
    <row r="609" spans="1:1" ht="12.75">
      <c r="A609" s="29"/>
    </row>
    <row r="610" spans="1:1" ht="12.75">
      <c r="A610" s="29"/>
    </row>
    <row r="611" spans="1:1" ht="12.75">
      <c r="A611" s="29"/>
    </row>
    <row r="612" spans="1:1" ht="12.75">
      <c r="A612" s="29"/>
    </row>
    <row r="613" spans="1:1" ht="12.75">
      <c r="A613" s="29"/>
    </row>
    <row r="614" spans="1:1" ht="12.75">
      <c r="A614" s="29"/>
    </row>
    <row r="615" spans="1:1" ht="12.75">
      <c r="A615" s="29"/>
    </row>
    <row r="616" spans="1:1" ht="12.75">
      <c r="A616" s="29"/>
    </row>
    <row r="617" spans="1:1" ht="12.75">
      <c r="A617" s="29"/>
    </row>
    <row r="618" spans="1:1" ht="12.75">
      <c r="A618" s="29"/>
    </row>
    <row r="619" spans="1:1" ht="12.75">
      <c r="A619" s="29"/>
    </row>
    <row r="620" spans="1:1" ht="12.75">
      <c r="A620" s="29"/>
    </row>
    <row r="621" spans="1:1" ht="12.75">
      <c r="A621" s="29"/>
    </row>
    <row r="622" spans="1:1" ht="12.75">
      <c r="A622" s="29"/>
    </row>
    <row r="623" spans="1:1" ht="12.75">
      <c r="A623" s="29"/>
    </row>
    <row r="624" spans="1:1" ht="12.75">
      <c r="A624" s="29"/>
    </row>
    <row r="625" spans="1:1" ht="12.75">
      <c r="A625" s="29"/>
    </row>
    <row r="626" spans="1:1" ht="12.75">
      <c r="A626" s="29"/>
    </row>
    <row r="627" spans="1:1" ht="12.75">
      <c r="A627" s="29"/>
    </row>
    <row r="628" spans="1:1" ht="12.75">
      <c r="A628" s="29"/>
    </row>
    <row r="629" spans="1:1" ht="12.75">
      <c r="A629" s="29"/>
    </row>
    <row r="630" spans="1:1" ht="12.75">
      <c r="A630" s="29"/>
    </row>
    <row r="631" spans="1:1" ht="12.75">
      <c r="A631" s="29"/>
    </row>
    <row r="632" spans="1:1" ht="12.75">
      <c r="A632" s="29"/>
    </row>
    <row r="633" spans="1:1" ht="12.75">
      <c r="A633" s="29"/>
    </row>
    <row r="634" spans="1:1" ht="12.75">
      <c r="A634" s="29"/>
    </row>
    <row r="635" spans="1:1" ht="12.75">
      <c r="A635" s="29"/>
    </row>
    <row r="636" spans="1:1" ht="12.75">
      <c r="A636" s="29"/>
    </row>
    <row r="637" spans="1:1" ht="12.75">
      <c r="A637" s="29"/>
    </row>
    <row r="638" spans="1:1" ht="12.75">
      <c r="A638" s="29"/>
    </row>
    <row r="639" spans="1:1" ht="12.75">
      <c r="A639" s="29"/>
    </row>
    <row r="640" spans="1:1" ht="12.75">
      <c r="A640" s="29"/>
    </row>
    <row r="641" spans="1:1" ht="12.75">
      <c r="A641" s="29"/>
    </row>
    <row r="642" spans="1:1" ht="12.75">
      <c r="A642" s="29"/>
    </row>
    <row r="643" spans="1:1" ht="12.75">
      <c r="A643" s="29"/>
    </row>
    <row r="644" spans="1:1" ht="12.75">
      <c r="A644" s="29"/>
    </row>
    <row r="645" spans="1:1" ht="12.75">
      <c r="A645" s="29"/>
    </row>
    <row r="646" spans="1:1" ht="12.75">
      <c r="A646" s="29"/>
    </row>
    <row r="647" spans="1:1" ht="12.75">
      <c r="A647" s="29"/>
    </row>
    <row r="648" spans="1:1" ht="12.75">
      <c r="A648" s="29"/>
    </row>
    <row r="649" spans="1:1" ht="12.75">
      <c r="A649" s="29"/>
    </row>
    <row r="650" spans="1:1" ht="12.75">
      <c r="A650" s="29"/>
    </row>
    <row r="651" spans="1:1" ht="12.75">
      <c r="A651" s="29"/>
    </row>
    <row r="652" spans="1:1" ht="12.75">
      <c r="A652" s="29"/>
    </row>
    <row r="653" spans="1:1" ht="12.75">
      <c r="A653" s="29"/>
    </row>
    <row r="654" spans="1:1" ht="12.75">
      <c r="A654" s="29"/>
    </row>
    <row r="655" spans="1:1" ht="12.75">
      <c r="A655" s="29"/>
    </row>
    <row r="656" spans="1:1" ht="12.75">
      <c r="A656" s="29"/>
    </row>
    <row r="657" spans="1:1" ht="12.75">
      <c r="A657" s="29"/>
    </row>
    <row r="658" spans="1:1" ht="12.75">
      <c r="A658" s="29"/>
    </row>
    <row r="659" spans="1:1" ht="12.75">
      <c r="A659" s="29"/>
    </row>
    <row r="660" spans="1:1" ht="12.75">
      <c r="A660" s="29"/>
    </row>
    <row r="661" spans="1:1" ht="12.75">
      <c r="A661" s="29"/>
    </row>
    <row r="662" spans="1:1" ht="12.75">
      <c r="A662" s="29"/>
    </row>
    <row r="663" spans="1:1" ht="12.75">
      <c r="A663" s="29"/>
    </row>
    <row r="664" spans="1:1" ht="12.75">
      <c r="A664" s="29"/>
    </row>
    <row r="665" spans="1:1" ht="12.75">
      <c r="A665" s="29"/>
    </row>
    <row r="666" spans="1:1" ht="12.75">
      <c r="A666" s="29"/>
    </row>
    <row r="667" spans="1:1" ht="12.75">
      <c r="A667" s="29"/>
    </row>
    <row r="668" spans="1:1" ht="12.75">
      <c r="A668" s="29"/>
    </row>
    <row r="669" spans="1:1" ht="12.75">
      <c r="A669" s="29"/>
    </row>
    <row r="670" spans="1:1" ht="12.75">
      <c r="A670" s="29"/>
    </row>
    <row r="671" spans="1:1" ht="12.75">
      <c r="A671" s="29"/>
    </row>
    <row r="672" spans="1:1" ht="12.75">
      <c r="A672" s="29"/>
    </row>
    <row r="673" spans="1:1" ht="12.75">
      <c r="A673" s="29"/>
    </row>
    <row r="674" spans="1:1" ht="12.75">
      <c r="A674" s="29"/>
    </row>
    <row r="675" spans="1:1" ht="12.75">
      <c r="A675" s="29"/>
    </row>
    <row r="676" spans="1:1" ht="12.75">
      <c r="A676" s="29"/>
    </row>
    <row r="677" spans="1:1" ht="12.75">
      <c r="A677" s="29"/>
    </row>
    <row r="678" spans="1:1" ht="12.75">
      <c r="A678" s="29"/>
    </row>
    <row r="679" spans="1:1" ht="12.75">
      <c r="A679" s="29"/>
    </row>
    <row r="680" spans="1:1" ht="12.75">
      <c r="A680" s="29"/>
    </row>
    <row r="681" spans="1:1" ht="12.75">
      <c r="A681" s="29"/>
    </row>
    <row r="682" spans="1:1" ht="12.75">
      <c r="A682" s="29"/>
    </row>
    <row r="683" spans="1:1" ht="12.75">
      <c r="A683" s="29"/>
    </row>
    <row r="684" spans="1:1" ht="12.75">
      <c r="A684" s="29"/>
    </row>
    <row r="685" spans="1:1" ht="12.75">
      <c r="A685" s="29"/>
    </row>
    <row r="686" spans="1:1" ht="12.75">
      <c r="A686" s="29"/>
    </row>
    <row r="687" spans="1:1" ht="12.75">
      <c r="A687" s="29"/>
    </row>
    <row r="688" spans="1:1" ht="12.75">
      <c r="A688" s="29"/>
    </row>
    <row r="689" spans="1:1" ht="12.75">
      <c r="A689" s="29"/>
    </row>
    <row r="690" spans="1:1" ht="12.75">
      <c r="A690" s="29"/>
    </row>
    <row r="691" spans="1:1" ht="12.75">
      <c r="A691" s="29"/>
    </row>
    <row r="692" spans="1:1" ht="12.75">
      <c r="A692" s="29"/>
    </row>
    <row r="693" spans="1:1" ht="12.75">
      <c r="A693" s="29"/>
    </row>
    <row r="694" spans="1:1" ht="12.75">
      <c r="A694" s="29"/>
    </row>
    <row r="695" spans="1:1" ht="12.75">
      <c r="A695" s="29"/>
    </row>
    <row r="696" spans="1:1" ht="12.75">
      <c r="A696" s="29"/>
    </row>
    <row r="697" spans="1:1" ht="12.75">
      <c r="A697" s="29"/>
    </row>
    <row r="698" spans="1:1" ht="12.75">
      <c r="A698" s="29"/>
    </row>
    <row r="699" spans="1:1" ht="12.75">
      <c r="A699" s="29"/>
    </row>
    <row r="700" spans="1:1" ht="12.75">
      <c r="A700" s="29"/>
    </row>
    <row r="701" spans="1:1" ht="12.75">
      <c r="A701" s="29"/>
    </row>
    <row r="702" spans="1:1" ht="12.75">
      <c r="A702" s="29"/>
    </row>
    <row r="703" spans="1:1" ht="12.75">
      <c r="A703" s="29"/>
    </row>
    <row r="704" spans="1:1" ht="12.75">
      <c r="A704" s="29"/>
    </row>
    <row r="705" spans="1:1" ht="12.75">
      <c r="A705" s="29"/>
    </row>
    <row r="706" spans="1:1" ht="12.75">
      <c r="A706" s="29"/>
    </row>
    <row r="707" spans="1:1" ht="12.75">
      <c r="A707" s="29"/>
    </row>
    <row r="708" spans="1:1" ht="12.75">
      <c r="A708" s="29"/>
    </row>
    <row r="709" spans="1:1" ht="12.75">
      <c r="A709" s="29"/>
    </row>
    <row r="710" spans="1:1" ht="12.75">
      <c r="A710" s="29"/>
    </row>
    <row r="711" spans="1:1" ht="12.75">
      <c r="A711" s="29"/>
    </row>
    <row r="712" spans="1:1" ht="12.75">
      <c r="A712" s="29"/>
    </row>
    <row r="713" spans="1:1" ht="12.75">
      <c r="A713" s="29"/>
    </row>
    <row r="714" spans="1:1" ht="12.75">
      <c r="A714" s="29"/>
    </row>
    <row r="715" spans="1:1" ht="12.75">
      <c r="A715" s="29"/>
    </row>
    <row r="716" spans="1:1" ht="12.75">
      <c r="A716" s="29"/>
    </row>
    <row r="717" spans="1:1" ht="12.75">
      <c r="A717" s="29"/>
    </row>
    <row r="718" spans="1:1" ht="12.75">
      <c r="A718" s="29"/>
    </row>
    <row r="719" spans="1:1" ht="12.75">
      <c r="A719" s="29"/>
    </row>
    <row r="720" spans="1:1" ht="12.75">
      <c r="A720" s="29"/>
    </row>
    <row r="721" spans="1:1" ht="12.75">
      <c r="A721" s="29"/>
    </row>
    <row r="722" spans="1:1" ht="12.75">
      <c r="A722" s="29"/>
    </row>
    <row r="723" spans="1:1" ht="12.75">
      <c r="A723" s="29"/>
    </row>
    <row r="724" spans="1:1" ht="12.75">
      <c r="A724" s="29"/>
    </row>
    <row r="725" spans="1:1" ht="12.75">
      <c r="A725" s="29"/>
    </row>
    <row r="726" spans="1:1" ht="12.75">
      <c r="A726" s="29"/>
    </row>
    <row r="727" spans="1:1" ht="12.75">
      <c r="A727" s="29"/>
    </row>
    <row r="728" spans="1:1" ht="12.75">
      <c r="A728" s="29"/>
    </row>
    <row r="729" spans="1:1" ht="12.75">
      <c r="A729" s="29"/>
    </row>
    <row r="730" spans="1:1" ht="12.75">
      <c r="A730" s="29"/>
    </row>
    <row r="731" spans="1:1" ht="12.75">
      <c r="A731" s="29"/>
    </row>
    <row r="732" spans="1:1" ht="12.75">
      <c r="A732" s="29"/>
    </row>
    <row r="733" spans="1:1" ht="12.75">
      <c r="A733" s="29"/>
    </row>
    <row r="734" spans="1:1" ht="12.75">
      <c r="A734" s="29"/>
    </row>
    <row r="735" spans="1:1" ht="12.75">
      <c r="A735" s="29"/>
    </row>
    <row r="736" spans="1:1" ht="12.75">
      <c r="A736" s="29"/>
    </row>
    <row r="737" spans="1:1" ht="12.75">
      <c r="A737" s="29"/>
    </row>
    <row r="738" spans="1:1" ht="12.75">
      <c r="A738" s="29"/>
    </row>
    <row r="739" spans="1:1" ht="12.75">
      <c r="A739" s="29"/>
    </row>
    <row r="740" spans="1:1" ht="12.75">
      <c r="A740" s="29"/>
    </row>
    <row r="741" spans="1:1" ht="12.75">
      <c r="A741" s="29"/>
    </row>
    <row r="742" spans="1:1" ht="12.75">
      <c r="A742" s="29"/>
    </row>
    <row r="743" spans="1:1" ht="12.75">
      <c r="A743" s="29"/>
    </row>
    <row r="744" spans="1:1" ht="12.75">
      <c r="A744" s="29"/>
    </row>
    <row r="745" spans="1:1" ht="12.75">
      <c r="A745" s="29"/>
    </row>
    <row r="746" spans="1:1" ht="12.75">
      <c r="A746" s="29"/>
    </row>
    <row r="747" spans="1:1" ht="12.75">
      <c r="A747" s="29"/>
    </row>
    <row r="748" spans="1:1" ht="12.75">
      <c r="A748" s="29"/>
    </row>
    <row r="749" spans="1:1" ht="12.75">
      <c r="A749" s="29"/>
    </row>
    <row r="750" spans="1:1" ht="12.75">
      <c r="A750" s="29"/>
    </row>
    <row r="751" spans="1:1" ht="12.75">
      <c r="A751" s="29"/>
    </row>
    <row r="752" spans="1:1" ht="12.75">
      <c r="A752" s="29"/>
    </row>
    <row r="753" spans="1:1" ht="12.75">
      <c r="A753" s="29"/>
    </row>
    <row r="754" spans="1:1" ht="12.75">
      <c r="A754" s="29"/>
    </row>
    <row r="755" spans="1:1" ht="12.75">
      <c r="A755" s="29"/>
    </row>
    <row r="756" spans="1:1" ht="12.75">
      <c r="A756" s="29"/>
    </row>
    <row r="757" spans="1:1" ht="12.75">
      <c r="A757" s="29"/>
    </row>
    <row r="758" spans="1:1" ht="12.75">
      <c r="A758" s="29"/>
    </row>
    <row r="759" spans="1:1" ht="12.75">
      <c r="A759" s="29"/>
    </row>
    <row r="760" spans="1:1" ht="12.75">
      <c r="A760" s="29"/>
    </row>
    <row r="761" spans="1:1" ht="12.75">
      <c r="A761" s="29"/>
    </row>
    <row r="762" spans="1:1" ht="12.75">
      <c r="A762" s="29"/>
    </row>
    <row r="763" spans="1:1" ht="12.75">
      <c r="A763" s="29"/>
    </row>
    <row r="764" spans="1:1" ht="12.75">
      <c r="A764" s="29"/>
    </row>
    <row r="765" spans="1:1" ht="12.75">
      <c r="A765" s="29"/>
    </row>
    <row r="766" spans="1:1" ht="12.75">
      <c r="A766" s="29"/>
    </row>
    <row r="767" spans="1:1" ht="12.75">
      <c r="A767" s="29"/>
    </row>
    <row r="768" spans="1:1" ht="12.75">
      <c r="A768" s="29"/>
    </row>
    <row r="769" spans="1:1" ht="12.75">
      <c r="A769" s="29"/>
    </row>
    <row r="770" spans="1:1" ht="12.75">
      <c r="A770" s="29"/>
    </row>
    <row r="771" spans="1:1" ht="12.75">
      <c r="A771" s="29"/>
    </row>
    <row r="772" spans="1:1" ht="12.75">
      <c r="A772" s="29"/>
    </row>
    <row r="773" spans="1:1" ht="12.75">
      <c r="A773" s="29"/>
    </row>
    <row r="774" spans="1:1" ht="12.75">
      <c r="A774" s="29"/>
    </row>
    <row r="775" spans="1:1" ht="12.75">
      <c r="A775" s="29"/>
    </row>
    <row r="776" spans="1:1" ht="12.75">
      <c r="A776" s="29"/>
    </row>
    <row r="777" spans="1:1" ht="12.75">
      <c r="A777" s="29"/>
    </row>
    <row r="778" spans="1:1" ht="12.75">
      <c r="A778" s="29"/>
    </row>
    <row r="779" spans="1:1" ht="12.75">
      <c r="A779" s="29"/>
    </row>
    <row r="780" spans="1:1" ht="12.75">
      <c r="A780" s="29"/>
    </row>
    <row r="781" spans="1:1" ht="12.75">
      <c r="A781" s="29"/>
    </row>
    <row r="782" spans="1:1" ht="12.75">
      <c r="A782" s="29"/>
    </row>
    <row r="783" spans="1:1" ht="12.75">
      <c r="A783" s="29"/>
    </row>
    <row r="784" spans="1:1" ht="12.75">
      <c r="A784" s="29"/>
    </row>
    <row r="785" spans="1:1" ht="12.75">
      <c r="A785" s="29"/>
    </row>
    <row r="786" spans="1:1" ht="12.75">
      <c r="A786" s="29"/>
    </row>
    <row r="787" spans="1:1" ht="12.75">
      <c r="A787" s="29"/>
    </row>
    <row r="788" spans="1:1" ht="12.75">
      <c r="A788" s="29"/>
    </row>
    <row r="789" spans="1:1" ht="12.75">
      <c r="A789" s="29"/>
    </row>
    <row r="790" spans="1:1" ht="12.75">
      <c r="A790" s="29"/>
    </row>
    <row r="791" spans="1:1" ht="12.75">
      <c r="A791" s="29"/>
    </row>
    <row r="792" spans="1:1" ht="12.75">
      <c r="A792" s="29"/>
    </row>
    <row r="793" spans="1:1" ht="12.75">
      <c r="A793" s="29"/>
    </row>
    <row r="794" spans="1:1" ht="12.75">
      <c r="A794" s="29"/>
    </row>
    <row r="795" spans="1:1" ht="12.75">
      <c r="A795" s="29"/>
    </row>
    <row r="796" spans="1:1" ht="12.75">
      <c r="A796" s="29"/>
    </row>
    <row r="797" spans="1:1" ht="12.75">
      <c r="A797" s="29"/>
    </row>
    <row r="798" spans="1:1" ht="12.75">
      <c r="A798" s="29"/>
    </row>
    <row r="799" spans="1:1" ht="12.75">
      <c r="A799" s="29"/>
    </row>
    <row r="800" spans="1:1" ht="12.75">
      <c r="A800" s="29"/>
    </row>
    <row r="801" spans="1:1" ht="12.75">
      <c r="A801" s="29"/>
    </row>
    <row r="802" spans="1:1" ht="12.75">
      <c r="A802" s="29"/>
    </row>
    <row r="803" spans="1:1" ht="12.75">
      <c r="A803" s="29"/>
    </row>
    <row r="804" spans="1:1" ht="12.75">
      <c r="A804" s="29"/>
    </row>
    <row r="805" spans="1:1" ht="12.75">
      <c r="A805" s="29"/>
    </row>
    <row r="806" spans="1:1" ht="12.75">
      <c r="A806" s="29"/>
    </row>
    <row r="807" spans="1:1" ht="12.75">
      <c r="A807" s="29"/>
    </row>
    <row r="808" spans="1:1" ht="12.75">
      <c r="A808" s="29"/>
    </row>
    <row r="809" spans="1:1" ht="12.75">
      <c r="A809" s="29"/>
    </row>
    <row r="810" spans="1:1" ht="12.75">
      <c r="A810" s="29"/>
    </row>
    <row r="811" spans="1:1" ht="12.75">
      <c r="A811" s="29"/>
    </row>
    <row r="812" spans="1:1" ht="12.75">
      <c r="A812" s="29"/>
    </row>
    <row r="813" spans="1:1" ht="12.75">
      <c r="A813" s="29"/>
    </row>
    <row r="814" spans="1:1" ht="12.75">
      <c r="A814" s="29"/>
    </row>
    <row r="815" spans="1:1" ht="12.75">
      <c r="A815" s="29"/>
    </row>
    <row r="816" spans="1:1" ht="12.75">
      <c r="A816" s="29"/>
    </row>
    <row r="817" spans="1:1" ht="12.75">
      <c r="A817" s="29"/>
    </row>
    <row r="818" spans="1:1" ht="12.75">
      <c r="A818" s="29"/>
    </row>
    <row r="819" spans="1:1" ht="12.75">
      <c r="A819" s="29"/>
    </row>
    <row r="820" spans="1:1" ht="12.75">
      <c r="A820" s="29"/>
    </row>
    <row r="821" spans="1:1" ht="12.75">
      <c r="A821" s="29"/>
    </row>
    <row r="822" spans="1:1" ht="12.75">
      <c r="A822" s="29"/>
    </row>
    <row r="823" spans="1:1" ht="12.75">
      <c r="A823" s="29"/>
    </row>
    <row r="824" spans="1:1" ht="12.75">
      <c r="A824" s="29"/>
    </row>
    <row r="825" spans="1:1" ht="12.75">
      <c r="A825" s="29"/>
    </row>
    <row r="826" spans="1:1" ht="12.75">
      <c r="A826" s="29"/>
    </row>
    <row r="827" spans="1:1" ht="12.75">
      <c r="A827" s="29"/>
    </row>
    <row r="828" spans="1:1" ht="12.75">
      <c r="A828" s="29"/>
    </row>
    <row r="829" spans="1:1" ht="12.75">
      <c r="A829" s="29"/>
    </row>
    <row r="830" spans="1:1" ht="12.75">
      <c r="A830" s="29"/>
    </row>
    <row r="831" spans="1:1" ht="12.75">
      <c r="A831" s="29"/>
    </row>
    <row r="832" spans="1:1" ht="12.75">
      <c r="A832" s="29"/>
    </row>
    <row r="833" spans="1:1" ht="12.75">
      <c r="A833" s="29"/>
    </row>
    <row r="834" spans="1:1" ht="12.75">
      <c r="A834" s="29"/>
    </row>
    <row r="835" spans="1:1" ht="12.75">
      <c r="A835" s="29"/>
    </row>
    <row r="836" spans="1:1" ht="12.75">
      <c r="A836" s="29"/>
    </row>
    <row r="837" spans="1:1" ht="12.75">
      <c r="A837" s="29"/>
    </row>
    <row r="838" spans="1:1" ht="12.75">
      <c r="A838" s="29"/>
    </row>
    <row r="839" spans="1:1" ht="12.75">
      <c r="A839" s="29"/>
    </row>
    <row r="840" spans="1:1" ht="12.75">
      <c r="A840" s="29"/>
    </row>
    <row r="841" spans="1:1" ht="12.75">
      <c r="A841" s="29"/>
    </row>
    <row r="842" spans="1:1" ht="12.75">
      <c r="A842" s="29"/>
    </row>
    <row r="843" spans="1:1" ht="12.75">
      <c r="A843" s="29"/>
    </row>
    <row r="844" spans="1:1" ht="12.75">
      <c r="A844" s="29"/>
    </row>
    <row r="845" spans="1:1" ht="12.75">
      <c r="A845" s="29"/>
    </row>
    <row r="846" spans="1:1" ht="12.75">
      <c r="A846" s="29"/>
    </row>
    <row r="847" spans="1:1" ht="12.75">
      <c r="A847" s="29"/>
    </row>
    <row r="848" spans="1:1" ht="12.75">
      <c r="A848" s="29"/>
    </row>
    <row r="849" spans="1:1" ht="12.75">
      <c r="A849" s="29"/>
    </row>
    <row r="850" spans="1:1" ht="12.75">
      <c r="A850" s="29"/>
    </row>
    <row r="851" spans="1:1" ht="12.75">
      <c r="A851" s="29"/>
    </row>
    <row r="852" spans="1:1" ht="12.75">
      <c r="A852" s="29"/>
    </row>
    <row r="853" spans="1:1" ht="12.75">
      <c r="A853" s="29"/>
    </row>
    <row r="854" spans="1:1" ht="12.75">
      <c r="A854" s="29"/>
    </row>
    <row r="855" spans="1:1" ht="12.75">
      <c r="A855" s="29"/>
    </row>
    <row r="856" spans="1:1" ht="12.75">
      <c r="A856" s="29"/>
    </row>
    <row r="857" spans="1:1" ht="12.75">
      <c r="A857" s="29"/>
    </row>
    <row r="858" spans="1:1" ht="12.75">
      <c r="A858" s="29"/>
    </row>
    <row r="859" spans="1:1" ht="12.75">
      <c r="A859" s="29"/>
    </row>
    <row r="860" spans="1:1" ht="12.75">
      <c r="A860" s="29"/>
    </row>
    <row r="861" spans="1:1" ht="12.75">
      <c r="A861" s="29"/>
    </row>
    <row r="862" spans="1:1" ht="12.75">
      <c r="A862" s="29"/>
    </row>
    <row r="863" spans="1:1" ht="12.75">
      <c r="A863" s="29"/>
    </row>
    <row r="864" spans="1:1" ht="12.75">
      <c r="A864" s="29"/>
    </row>
    <row r="865" spans="1:1" ht="12.75">
      <c r="A865" s="29"/>
    </row>
    <row r="866" spans="1:1" ht="12.75">
      <c r="A866" s="29"/>
    </row>
    <row r="867" spans="1:1" ht="12.75">
      <c r="A867" s="29"/>
    </row>
    <row r="868" spans="1:1" ht="12.75">
      <c r="A868" s="29"/>
    </row>
    <row r="869" spans="1:1" ht="12.75">
      <c r="A869" s="29"/>
    </row>
    <row r="870" spans="1:1" ht="12.75">
      <c r="A870" s="29"/>
    </row>
    <row r="871" spans="1:1" ht="12.75">
      <c r="A871" s="29"/>
    </row>
    <row r="872" spans="1:1" ht="12.75">
      <c r="A872" s="29"/>
    </row>
    <row r="873" spans="1:1" ht="12.75">
      <c r="A873" s="29"/>
    </row>
    <row r="874" spans="1:1" ht="12.75">
      <c r="A874" s="29"/>
    </row>
    <row r="875" spans="1:1" ht="12.75">
      <c r="A875" s="29"/>
    </row>
    <row r="876" spans="1:1" ht="12.75">
      <c r="A876" s="29"/>
    </row>
    <row r="877" spans="1:1" ht="12.75">
      <c r="A877" s="29"/>
    </row>
    <row r="878" spans="1:1" ht="12.75">
      <c r="A878" s="29"/>
    </row>
    <row r="879" spans="1:1" ht="12.75">
      <c r="A879" s="29"/>
    </row>
    <row r="880" spans="1:1" ht="12.75">
      <c r="A880" s="29"/>
    </row>
    <row r="881" spans="1:1" ht="12.75">
      <c r="A881" s="29"/>
    </row>
    <row r="882" spans="1:1" ht="12.75">
      <c r="A882" s="29"/>
    </row>
    <row r="883" spans="1:1" ht="12.75">
      <c r="A883" s="29"/>
    </row>
    <row r="884" spans="1:1" ht="12.75">
      <c r="A884" s="29"/>
    </row>
    <row r="885" spans="1:1" ht="12.75">
      <c r="A885" s="29"/>
    </row>
    <row r="886" spans="1:1" ht="12.75">
      <c r="A886" s="29"/>
    </row>
    <row r="887" spans="1:1" ht="12.75">
      <c r="A887" s="29"/>
    </row>
    <row r="888" spans="1:1" ht="12.75">
      <c r="A888" s="29"/>
    </row>
    <row r="889" spans="1:1" ht="12.75">
      <c r="A889" s="29"/>
    </row>
    <row r="890" spans="1:1" ht="12.75">
      <c r="A890" s="29"/>
    </row>
    <row r="891" spans="1:1" ht="12.75">
      <c r="A891" s="29"/>
    </row>
    <row r="892" spans="1:1" ht="12.75">
      <c r="A892" s="29"/>
    </row>
    <row r="893" spans="1:1" ht="12.75">
      <c r="A893" s="29"/>
    </row>
    <row r="894" spans="1:1" ht="12.75">
      <c r="A894" s="29"/>
    </row>
    <row r="895" spans="1:1" ht="12.75">
      <c r="A895" s="29"/>
    </row>
    <row r="896" spans="1:1" ht="12.75">
      <c r="A896" s="29"/>
    </row>
    <row r="897" spans="1:1" ht="12.75">
      <c r="A897" s="29"/>
    </row>
    <row r="898" spans="1:1" ht="12.75">
      <c r="A898" s="29"/>
    </row>
    <row r="899" spans="1:1" ht="12.75">
      <c r="A899" s="29"/>
    </row>
    <row r="900" spans="1:1" ht="12.75">
      <c r="A900" s="29"/>
    </row>
    <row r="901" spans="1:1" ht="12.75">
      <c r="A901" s="29"/>
    </row>
    <row r="902" spans="1:1" ht="12.75">
      <c r="A902" s="29"/>
    </row>
    <row r="903" spans="1:1" ht="12.75">
      <c r="A903" s="29"/>
    </row>
    <row r="904" spans="1:1" ht="12.75">
      <c r="A904" s="29"/>
    </row>
    <row r="905" spans="1:1" ht="12.75">
      <c r="A905" s="29"/>
    </row>
    <row r="906" spans="1:1" ht="12.75">
      <c r="A906" s="29"/>
    </row>
    <row r="907" spans="1:1" ht="12.75">
      <c r="A907" s="29"/>
    </row>
    <row r="908" spans="1:1" ht="12.75">
      <c r="A908" s="29"/>
    </row>
    <row r="909" spans="1:1" ht="12.75">
      <c r="A909" s="29"/>
    </row>
    <row r="910" spans="1:1" ht="12.75">
      <c r="A910" s="29"/>
    </row>
    <row r="911" spans="1:1" ht="12.75">
      <c r="A911" s="29"/>
    </row>
    <row r="912" spans="1:1" ht="12.75">
      <c r="A912" s="29"/>
    </row>
    <row r="913" spans="1:1" ht="12.75">
      <c r="A913" s="29"/>
    </row>
    <row r="914" spans="1:1" ht="12.75">
      <c r="A914" s="29"/>
    </row>
    <row r="915" spans="1:1" ht="12.75">
      <c r="A915" s="29"/>
    </row>
    <row r="916" spans="1:1" ht="12.75">
      <c r="A916" s="29"/>
    </row>
    <row r="917" spans="1:1" ht="12.75">
      <c r="A917" s="29"/>
    </row>
    <row r="918" spans="1:1" ht="12.75">
      <c r="A918" s="29"/>
    </row>
    <row r="919" spans="1:1" ht="12.75">
      <c r="A919" s="29"/>
    </row>
    <row r="920" spans="1:1" ht="12.75">
      <c r="A920" s="29"/>
    </row>
    <row r="921" spans="1:1" ht="12.75">
      <c r="A921" s="29"/>
    </row>
    <row r="922" spans="1:1" ht="12.75">
      <c r="A922" s="29"/>
    </row>
    <row r="923" spans="1:1" ht="12.75">
      <c r="A923" s="29"/>
    </row>
    <row r="924" spans="1:1" ht="12.75">
      <c r="A924" s="29"/>
    </row>
    <row r="925" spans="1:1" ht="12.75">
      <c r="A925" s="29"/>
    </row>
    <row r="926" spans="1:1" ht="12.75">
      <c r="A926" s="29"/>
    </row>
    <row r="927" spans="1:1" ht="12.75">
      <c r="A927" s="29"/>
    </row>
    <row r="928" spans="1:1" ht="12.75">
      <c r="A928" s="29"/>
    </row>
    <row r="929" spans="1:1" ht="12.75">
      <c r="A929" s="29"/>
    </row>
    <row r="930" spans="1:1" ht="12.75">
      <c r="A930" s="29"/>
    </row>
    <row r="931" spans="1:1" ht="12.75">
      <c r="A931" s="29"/>
    </row>
    <row r="932" spans="1:1" ht="12.75">
      <c r="A932" s="29"/>
    </row>
    <row r="933" spans="1:1" ht="12.75">
      <c r="A933" s="29"/>
    </row>
    <row r="934" spans="1:1" ht="12.75">
      <c r="A934" s="29"/>
    </row>
    <row r="935" spans="1:1" ht="12.75">
      <c r="A935" s="29"/>
    </row>
    <row r="936" spans="1:1" ht="12.75">
      <c r="A936" s="29"/>
    </row>
    <row r="937" spans="1:1" ht="12.75">
      <c r="A937" s="29"/>
    </row>
    <row r="938" spans="1:1" ht="12.75">
      <c r="A938" s="29"/>
    </row>
    <row r="939" spans="1:1" ht="12.75">
      <c r="A939" s="29"/>
    </row>
    <row r="940" spans="1:1" ht="12.75">
      <c r="A940" s="29"/>
    </row>
    <row r="941" spans="1:1" ht="12.75">
      <c r="A941" s="29"/>
    </row>
    <row r="942" spans="1:1" ht="12.75">
      <c r="A942" s="29"/>
    </row>
    <row r="943" spans="1:1" ht="12.75">
      <c r="A943" s="29"/>
    </row>
    <row r="944" spans="1:1" ht="12.75">
      <c r="A944" s="29"/>
    </row>
    <row r="945" spans="1:1" ht="12.75">
      <c r="A945" s="29"/>
    </row>
    <row r="946" spans="1:1" ht="12.75">
      <c r="A946" s="29"/>
    </row>
    <row r="947" spans="1:1" ht="12.75">
      <c r="A947" s="29"/>
    </row>
    <row r="948" spans="1:1" ht="12.75">
      <c r="A948" s="29"/>
    </row>
    <row r="949" spans="1:1" ht="12.75">
      <c r="A949" s="29"/>
    </row>
    <row r="950" spans="1:1" ht="12.75">
      <c r="A950" s="29"/>
    </row>
    <row r="951" spans="1:1" ht="12.75">
      <c r="A951" s="29"/>
    </row>
    <row r="952" spans="1:1" ht="12.75">
      <c r="A952" s="29"/>
    </row>
    <row r="953" spans="1:1" ht="12.75">
      <c r="A953" s="29"/>
    </row>
    <row r="954" spans="1:1" ht="12.75">
      <c r="A954" s="29"/>
    </row>
    <row r="955" spans="1:1" ht="12.75">
      <c r="A955" s="29"/>
    </row>
    <row r="956" spans="1:1" ht="12.75">
      <c r="A956" s="29"/>
    </row>
    <row r="957" spans="1:1" ht="12.75">
      <c r="A957" s="29"/>
    </row>
    <row r="958" spans="1:1" ht="12.75">
      <c r="A958" s="29"/>
    </row>
    <row r="959" spans="1:1" ht="12.75">
      <c r="A959" s="29"/>
    </row>
    <row r="960" spans="1:1" ht="12.75">
      <c r="A960" s="29"/>
    </row>
    <row r="961" spans="1:1" ht="12.75">
      <c r="A961" s="29"/>
    </row>
    <row r="962" spans="1:1" ht="12.75">
      <c r="A962" s="29"/>
    </row>
    <row r="963" spans="1:1" ht="12.75">
      <c r="A963" s="29"/>
    </row>
    <row r="964" spans="1:1" ht="12.75">
      <c r="A964" s="29"/>
    </row>
    <row r="965" spans="1:1" ht="12.75">
      <c r="A965" s="29"/>
    </row>
    <row r="966" spans="1:1" ht="12.75">
      <c r="A966" s="29"/>
    </row>
    <row r="967" spans="1:1" ht="12.75">
      <c r="A967" s="29"/>
    </row>
    <row r="968" spans="1:1" ht="12.75">
      <c r="A968" s="29"/>
    </row>
    <row r="969" spans="1:1" ht="12.75">
      <c r="A969" s="29"/>
    </row>
    <row r="970" spans="1:1" ht="12.75">
      <c r="A970" s="29"/>
    </row>
    <row r="971" spans="1:1" ht="12.75">
      <c r="A971" s="29"/>
    </row>
    <row r="972" spans="1:1" ht="12.75">
      <c r="A972" s="29"/>
    </row>
    <row r="973" spans="1:1" ht="12.75">
      <c r="A973" s="29"/>
    </row>
    <row r="974" spans="1:1" ht="12.75">
      <c r="A974" s="29"/>
    </row>
    <row r="975" spans="1:1" ht="12.75">
      <c r="A975" s="29"/>
    </row>
    <row r="976" spans="1:1" ht="12.75">
      <c r="A976" s="29"/>
    </row>
    <row r="977" spans="1:1" ht="12.75">
      <c r="A977" s="29"/>
    </row>
    <row r="978" spans="1:1" ht="12.75">
      <c r="A978" s="29"/>
    </row>
    <row r="979" spans="1:1" ht="12.75">
      <c r="A979" s="29"/>
    </row>
    <row r="980" spans="1:1" ht="12.75">
      <c r="A980" s="29"/>
    </row>
    <row r="981" spans="1:1" ht="12.75">
      <c r="A981" s="29"/>
    </row>
    <row r="982" spans="1:1" ht="12.75">
      <c r="A982" s="29"/>
    </row>
    <row r="983" spans="1:1" ht="12.75">
      <c r="A983" s="29"/>
    </row>
    <row r="984" spans="1:1" ht="12.75">
      <c r="A984" s="29"/>
    </row>
    <row r="985" spans="1:1" ht="12.75">
      <c r="A985" s="29"/>
    </row>
    <row r="986" spans="1:1" ht="12.75">
      <c r="A986" s="29"/>
    </row>
    <row r="987" spans="1:1" ht="12.75">
      <c r="A987" s="29"/>
    </row>
    <row r="988" spans="1:1" ht="12.75">
      <c r="A988" s="29"/>
    </row>
    <row r="989" spans="1:1" ht="12.75">
      <c r="A989" s="29"/>
    </row>
    <row r="990" spans="1:1" ht="12.75">
      <c r="A990" s="29"/>
    </row>
    <row r="991" spans="1:1" ht="12.75">
      <c r="A991" s="29"/>
    </row>
    <row r="992" spans="1:1" ht="12.75">
      <c r="A992" s="29"/>
    </row>
    <row r="993" spans="1:1" ht="12.75">
      <c r="A993" s="29"/>
    </row>
    <row r="994" spans="1:1" ht="12.75">
      <c r="A994" s="29"/>
    </row>
    <row r="995" spans="1:1" ht="12.75">
      <c r="A995" s="29"/>
    </row>
    <row r="996" spans="1:1" ht="12.75">
      <c r="A996" s="29"/>
    </row>
    <row r="997" spans="1:1" ht="12.75">
      <c r="A997" s="29"/>
    </row>
    <row r="998" spans="1:1" ht="12.75">
      <c r="A998" s="29"/>
    </row>
    <row r="999" spans="1:1" ht="12.75">
      <c r="A999" s="29"/>
    </row>
    <row r="1000" spans="1:1" ht="12.75">
      <c r="A1000" s="29"/>
    </row>
  </sheetData>
  <mergeCells count="1">
    <mergeCell ref="B3:D3"/>
  </mergeCells>
  <phoneticPr fontId="6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3:O15"/>
  <sheetViews>
    <sheetView workbookViewId="0"/>
  </sheetViews>
  <sheetFormatPr defaultColWidth="14.42578125" defaultRowHeight="15.75" customHeight="1"/>
  <cols>
    <col min="2" max="2" width="19.5703125" customWidth="1"/>
    <col min="8" max="15" width="17.7109375" customWidth="1"/>
  </cols>
  <sheetData>
    <row r="3" spans="1:15" ht="15.75" customHeight="1">
      <c r="A3" s="465" t="s">
        <v>446</v>
      </c>
      <c r="B3" s="466">
        <v>3935</v>
      </c>
    </row>
    <row r="4" spans="1:15" ht="15.75" customHeight="1">
      <c r="A4" s="467" t="s">
        <v>447</v>
      </c>
      <c r="B4" s="468">
        <v>4171</v>
      </c>
      <c r="G4" s="31"/>
      <c r="H4" s="31" t="s">
        <v>130</v>
      </c>
      <c r="I4" s="31" t="s">
        <v>39</v>
      </c>
      <c r="J4" s="31" t="s">
        <v>448</v>
      </c>
      <c r="K4" s="31" t="s">
        <v>40</v>
      </c>
      <c r="L4" s="31" t="s">
        <v>449</v>
      </c>
      <c r="M4" s="31" t="s">
        <v>384</v>
      </c>
      <c r="N4" s="31" t="s">
        <v>399</v>
      </c>
      <c r="O4" s="31" t="s">
        <v>126</v>
      </c>
    </row>
    <row r="5" spans="1:15" ht="15.75" customHeight="1">
      <c r="A5" s="469" t="s">
        <v>450</v>
      </c>
      <c r="B5" s="468">
        <v>8136</v>
      </c>
      <c r="G5" s="31" t="s">
        <v>376</v>
      </c>
      <c r="H5" s="470">
        <v>90492047.340000004</v>
      </c>
      <c r="I5" s="470">
        <v>93987001.340000004</v>
      </c>
      <c r="J5" s="470">
        <v>97287985.209999993</v>
      </c>
      <c r="K5" s="470">
        <v>99981667.269999996</v>
      </c>
      <c r="L5" s="470">
        <v>102770498.06</v>
      </c>
      <c r="M5" s="470">
        <v>105657280.79000001</v>
      </c>
      <c r="N5" s="470">
        <v>108698476.37</v>
      </c>
      <c r="O5" s="470">
        <v>111412287.98999999</v>
      </c>
    </row>
    <row r="6" spans="1:15" ht="15.75" customHeight="1">
      <c r="A6" s="471"/>
      <c r="B6" s="472"/>
      <c r="G6" s="31" t="s">
        <v>372</v>
      </c>
      <c r="H6" s="470">
        <v>169213469.05000001</v>
      </c>
      <c r="I6" s="470">
        <v>174614679.44</v>
      </c>
      <c r="J6" s="470">
        <v>180374351.97999999</v>
      </c>
      <c r="K6" s="470">
        <v>184501760.88999999</v>
      </c>
      <c r="L6" s="470">
        <v>188681618.52000001</v>
      </c>
      <c r="M6" s="470">
        <v>193644325.49000001</v>
      </c>
      <c r="N6" s="470">
        <v>198559651.90000001</v>
      </c>
      <c r="O6" s="470">
        <v>203150471.37</v>
      </c>
    </row>
    <row r="7" spans="1:15" ht="15.75" customHeight="1">
      <c r="A7" s="471" t="s">
        <v>451</v>
      </c>
      <c r="B7" s="473">
        <v>3000</v>
      </c>
      <c r="G7" s="31" t="s">
        <v>452</v>
      </c>
      <c r="H7" s="470">
        <v>78721421.700000003</v>
      </c>
      <c r="I7" s="470">
        <v>80627678.099999994</v>
      </c>
      <c r="J7" s="470">
        <v>83086366.760000005</v>
      </c>
      <c r="K7" s="470">
        <v>84520093.620000005</v>
      </c>
      <c r="L7" s="470">
        <v>85911120.459999993</v>
      </c>
      <c r="M7" s="470">
        <v>87987044.700000003</v>
      </c>
      <c r="N7" s="470">
        <v>89861175.530000001</v>
      </c>
      <c r="O7" s="470">
        <v>91738183.370000005</v>
      </c>
    </row>
    <row r="8" spans="1:15" ht="15.75" customHeight="1">
      <c r="A8" s="474" t="s">
        <v>453</v>
      </c>
      <c r="B8" s="475">
        <f>B7/B5</f>
        <v>0.36873156342182889</v>
      </c>
    </row>
    <row r="10" spans="1:15" ht="15.75" customHeight="1">
      <c r="A10" s="476" t="s">
        <v>454</v>
      </c>
      <c r="B10" s="477"/>
    </row>
    <row r="11" spans="1:15" ht="15.75" customHeight="1">
      <c r="A11" s="478" t="s">
        <v>455</v>
      </c>
      <c r="B11" s="479">
        <v>247</v>
      </c>
    </row>
    <row r="12" spans="1:15" ht="15.75" customHeight="1">
      <c r="A12" s="478" t="s">
        <v>456</v>
      </c>
      <c r="B12" s="480" t="s">
        <v>457</v>
      </c>
    </row>
    <row r="13" spans="1:15" ht="15.75" customHeight="1">
      <c r="A13" s="481"/>
      <c r="B13" s="482">
        <v>81047153</v>
      </c>
    </row>
    <row r="15" spans="1:15" ht="15.75" customHeight="1">
      <c r="B15" s="483">
        <f>B13/B7</f>
        <v>27015.717666666667</v>
      </c>
    </row>
  </sheetData>
  <phoneticPr fontId="63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I29"/>
  <sheetViews>
    <sheetView workbookViewId="0"/>
  </sheetViews>
  <sheetFormatPr defaultColWidth="14.42578125" defaultRowHeight="15.75" customHeight="1"/>
  <cols>
    <col min="1" max="1" width="16" customWidth="1"/>
    <col min="5" max="5" width="23.140625" customWidth="1"/>
    <col min="6" max="6" width="21.7109375" customWidth="1"/>
    <col min="7" max="7" width="18" customWidth="1"/>
    <col min="8" max="8" width="13.5703125" customWidth="1"/>
    <col min="9" max="9" width="19.85546875" customWidth="1"/>
  </cols>
  <sheetData>
    <row r="1" spans="1:9" ht="15.75" customHeight="1">
      <c r="A1" s="454" t="s">
        <v>458</v>
      </c>
      <c r="B1" s="484">
        <v>45642</v>
      </c>
      <c r="C1" s="485"/>
      <c r="D1" s="485"/>
      <c r="E1" s="485"/>
      <c r="F1" s="486"/>
      <c r="G1" s="486"/>
      <c r="H1" s="485"/>
      <c r="I1" s="31"/>
    </row>
    <row r="2" spans="1:9" ht="19.5">
      <c r="A2" s="487" t="s">
        <v>459</v>
      </c>
      <c r="B2" s="485"/>
      <c r="C2" s="485"/>
      <c r="D2" s="485"/>
      <c r="E2" s="485"/>
      <c r="F2" s="486"/>
      <c r="G2" s="486"/>
      <c r="H2" s="485"/>
      <c r="I2" s="31"/>
    </row>
    <row r="3" spans="1:9" ht="15.75" customHeight="1">
      <c r="A3" s="488" t="s">
        <v>32</v>
      </c>
      <c r="B3" s="489" t="s">
        <v>460</v>
      </c>
      <c r="C3" s="489" t="s">
        <v>271</v>
      </c>
      <c r="D3" s="489" t="s">
        <v>461</v>
      </c>
      <c r="E3" s="489" t="s">
        <v>462</v>
      </c>
      <c r="F3" s="489" t="s">
        <v>463</v>
      </c>
      <c r="G3" s="489" t="s">
        <v>464</v>
      </c>
      <c r="H3" s="489" t="s">
        <v>465</v>
      </c>
      <c r="I3" s="489" t="s">
        <v>466</v>
      </c>
    </row>
    <row r="4" spans="1:9" ht="15.75" customHeight="1">
      <c r="A4" s="683" t="s">
        <v>467</v>
      </c>
      <c r="B4" s="490">
        <v>785</v>
      </c>
      <c r="C4" s="491">
        <v>45743</v>
      </c>
      <c r="D4" s="491">
        <v>45653</v>
      </c>
      <c r="E4" s="490">
        <v>2</v>
      </c>
      <c r="F4" s="444">
        <v>1244</v>
      </c>
      <c r="G4" s="490"/>
      <c r="H4" s="490"/>
      <c r="I4" s="490"/>
    </row>
    <row r="5" spans="1:9" ht="15.75" customHeight="1">
      <c r="A5" s="584"/>
      <c r="B5" s="492">
        <v>9543</v>
      </c>
      <c r="C5" s="493">
        <v>45768</v>
      </c>
      <c r="D5" s="493">
        <v>45678</v>
      </c>
      <c r="E5" s="494">
        <v>5</v>
      </c>
      <c r="F5" s="494">
        <v>864</v>
      </c>
      <c r="G5" s="492">
        <v>1226</v>
      </c>
      <c r="H5" s="492">
        <v>1899</v>
      </c>
      <c r="I5" s="494">
        <v>369</v>
      </c>
    </row>
    <row r="6" spans="1:9" ht="15.75" customHeight="1">
      <c r="A6" s="597"/>
      <c r="B6" s="444">
        <v>3620</v>
      </c>
      <c r="C6" s="491">
        <v>45915</v>
      </c>
      <c r="D6" s="491">
        <v>45825</v>
      </c>
      <c r="E6" s="490">
        <v>26</v>
      </c>
      <c r="F6" s="490">
        <v>999</v>
      </c>
      <c r="G6" s="490"/>
      <c r="H6" s="490"/>
      <c r="I6" s="490"/>
    </row>
    <row r="7" spans="1:9" ht="15.75" customHeight="1">
      <c r="A7" s="683" t="s">
        <v>468</v>
      </c>
      <c r="B7" s="490">
        <v>139</v>
      </c>
      <c r="C7" s="491">
        <v>45803</v>
      </c>
      <c r="D7" s="491">
        <v>45713</v>
      </c>
      <c r="E7" s="490">
        <v>10</v>
      </c>
      <c r="F7" s="490">
        <v>774</v>
      </c>
      <c r="G7" s="490"/>
      <c r="H7" s="490"/>
      <c r="I7" s="490"/>
    </row>
    <row r="8" spans="1:9" ht="15.75" customHeight="1">
      <c r="A8" s="584"/>
      <c r="B8" s="444">
        <v>10643</v>
      </c>
      <c r="C8" s="491">
        <v>45843</v>
      </c>
      <c r="D8" s="491">
        <v>45753</v>
      </c>
      <c r="E8" s="490">
        <v>16</v>
      </c>
      <c r="F8" s="490">
        <v>279</v>
      </c>
      <c r="G8" s="490"/>
      <c r="H8" s="490"/>
      <c r="I8" s="490"/>
    </row>
    <row r="9" spans="1:9" ht="15.75" customHeight="1">
      <c r="A9" s="597"/>
      <c r="B9" s="492">
        <v>15480</v>
      </c>
      <c r="C9" s="493">
        <v>45861</v>
      </c>
      <c r="D9" s="493">
        <v>45771</v>
      </c>
      <c r="E9" s="494">
        <v>18</v>
      </c>
      <c r="F9" s="494">
        <v>108</v>
      </c>
      <c r="G9" s="494"/>
      <c r="H9" s="494">
        <v>714</v>
      </c>
      <c r="I9" s="494">
        <v>39</v>
      </c>
    </row>
    <row r="10" spans="1:9" ht="15.75" customHeight="1">
      <c r="A10" s="683" t="s">
        <v>469</v>
      </c>
      <c r="B10" s="444">
        <v>1207</v>
      </c>
      <c r="C10" s="491">
        <v>45795</v>
      </c>
      <c r="D10" s="491">
        <v>45705</v>
      </c>
      <c r="E10" s="490">
        <v>9</v>
      </c>
      <c r="F10" s="490">
        <v>99</v>
      </c>
      <c r="G10" s="490"/>
      <c r="H10" s="490"/>
      <c r="I10" s="490"/>
    </row>
    <row r="11" spans="1:9" ht="15.75" customHeight="1">
      <c r="A11" s="584"/>
      <c r="B11" s="492">
        <v>11086</v>
      </c>
      <c r="C11" s="493">
        <v>45850</v>
      </c>
      <c r="D11" s="493">
        <v>45760</v>
      </c>
      <c r="E11" s="494">
        <v>17</v>
      </c>
      <c r="F11" s="494">
        <v>46</v>
      </c>
      <c r="G11" s="492">
        <v>6772</v>
      </c>
      <c r="H11" s="492">
        <v>6648</v>
      </c>
      <c r="I11" s="494">
        <v>394</v>
      </c>
    </row>
    <row r="12" spans="1:9" ht="15.75" customHeight="1">
      <c r="A12" s="597"/>
      <c r="B12" s="490">
        <v>928</v>
      </c>
      <c r="C12" s="491">
        <v>45874</v>
      </c>
      <c r="D12" s="491">
        <v>45784</v>
      </c>
      <c r="E12" s="490">
        <v>20</v>
      </c>
      <c r="F12" s="490">
        <v>17</v>
      </c>
      <c r="G12" s="490"/>
      <c r="H12" s="490"/>
      <c r="I12" s="490"/>
    </row>
    <row r="13" spans="1:9" ht="15.75" customHeight="1">
      <c r="A13" s="683" t="s">
        <v>470</v>
      </c>
      <c r="B13" s="444">
        <v>3419</v>
      </c>
      <c r="C13" s="491">
        <v>46159</v>
      </c>
      <c r="D13" s="491">
        <v>46069</v>
      </c>
      <c r="E13" s="490">
        <v>61</v>
      </c>
      <c r="F13" s="444">
        <v>1145</v>
      </c>
      <c r="G13" s="490"/>
      <c r="H13" s="490"/>
      <c r="I13" s="490"/>
    </row>
    <row r="14" spans="1:9" ht="15.75" customHeight="1">
      <c r="A14" s="584"/>
      <c r="B14" s="444">
        <v>10306</v>
      </c>
      <c r="C14" s="491">
        <v>46185</v>
      </c>
      <c r="D14" s="491">
        <v>46095</v>
      </c>
      <c r="E14" s="490">
        <v>65</v>
      </c>
      <c r="F14" s="444">
        <v>1145</v>
      </c>
      <c r="G14" s="490"/>
      <c r="H14" s="490"/>
      <c r="I14" s="490"/>
    </row>
    <row r="15" spans="1:9" ht="15.75" customHeight="1">
      <c r="A15" s="584"/>
      <c r="B15" s="444">
        <v>16896</v>
      </c>
      <c r="C15" s="491">
        <v>46218</v>
      </c>
      <c r="D15" s="491">
        <v>46128</v>
      </c>
      <c r="E15" s="490">
        <v>69</v>
      </c>
      <c r="F15" s="444">
        <v>1145</v>
      </c>
      <c r="G15" s="490"/>
      <c r="H15" s="490"/>
      <c r="I15" s="490"/>
    </row>
    <row r="16" spans="1:9" ht="15.75" customHeight="1">
      <c r="A16" s="597"/>
      <c r="B16" s="444">
        <v>16128</v>
      </c>
      <c r="C16" s="491">
        <v>46273</v>
      </c>
      <c r="D16" s="491">
        <v>46183</v>
      </c>
      <c r="E16" s="490">
        <v>77</v>
      </c>
      <c r="F16" s="444">
        <v>1145</v>
      </c>
      <c r="G16" s="490"/>
      <c r="H16" s="490"/>
      <c r="I16" s="490"/>
    </row>
    <row r="17" spans="1:9" ht="15.75" customHeight="1">
      <c r="A17" s="683" t="s">
        <v>471</v>
      </c>
      <c r="B17" s="444">
        <v>8344</v>
      </c>
      <c r="C17" s="491">
        <v>46159</v>
      </c>
      <c r="D17" s="491">
        <v>46069</v>
      </c>
      <c r="E17" s="490">
        <v>61</v>
      </c>
      <c r="F17" s="490">
        <v>605</v>
      </c>
      <c r="G17" s="490"/>
      <c r="H17" s="490"/>
      <c r="I17" s="490"/>
    </row>
    <row r="18" spans="1:9" ht="15.75" customHeight="1">
      <c r="A18" s="597"/>
      <c r="B18" s="444">
        <v>17367</v>
      </c>
      <c r="C18" s="491">
        <v>46218</v>
      </c>
      <c r="D18" s="491">
        <v>46128</v>
      </c>
      <c r="E18" s="490">
        <v>69</v>
      </c>
      <c r="F18" s="490">
        <v>605</v>
      </c>
      <c r="G18" s="490"/>
      <c r="H18" s="490"/>
      <c r="I18" s="490"/>
    </row>
    <row r="19" spans="1:9" ht="15.75" customHeight="1">
      <c r="A19" s="683" t="s">
        <v>472</v>
      </c>
      <c r="B19" s="444">
        <v>7897</v>
      </c>
      <c r="C19" s="491">
        <v>46158</v>
      </c>
      <c r="D19" s="491">
        <v>46068</v>
      </c>
      <c r="E19" s="490">
        <v>61</v>
      </c>
      <c r="F19" s="490">
        <v>177</v>
      </c>
      <c r="G19" s="490"/>
      <c r="H19" s="490"/>
      <c r="I19" s="490"/>
    </row>
    <row r="20" spans="1:9" ht="15.75" customHeight="1">
      <c r="A20" s="597"/>
      <c r="B20" s="444">
        <v>8380</v>
      </c>
      <c r="C20" s="491">
        <v>46218</v>
      </c>
      <c r="D20" s="491">
        <v>46128</v>
      </c>
      <c r="E20" s="490">
        <v>69</v>
      </c>
      <c r="F20" s="490">
        <v>177</v>
      </c>
      <c r="G20" s="490"/>
      <c r="H20" s="490"/>
      <c r="I20" s="490"/>
    </row>
    <row r="23" spans="1:9" ht="19.5">
      <c r="A23" s="487" t="s">
        <v>473</v>
      </c>
    </row>
    <row r="24" spans="1:9" ht="15.75" customHeight="1">
      <c r="A24" s="288" t="s">
        <v>467</v>
      </c>
    </row>
    <row r="25" spans="1:9" ht="15.75" customHeight="1">
      <c r="A25" s="443" t="s">
        <v>468</v>
      </c>
    </row>
    <row r="26" spans="1:9" ht="15.75" customHeight="1">
      <c r="A26" s="443" t="s">
        <v>469</v>
      </c>
    </row>
    <row r="27" spans="1:9" ht="15.75" customHeight="1">
      <c r="A27" s="443" t="s">
        <v>470</v>
      </c>
    </row>
    <row r="28" spans="1:9" ht="15.75" customHeight="1">
      <c r="A28" s="443" t="s">
        <v>471</v>
      </c>
    </row>
    <row r="29" spans="1:9" ht="15.75" customHeight="1">
      <c r="A29" s="443" t="s">
        <v>472</v>
      </c>
    </row>
  </sheetData>
  <mergeCells count="6">
    <mergeCell ref="A19:A20"/>
    <mergeCell ref="A4:A6"/>
    <mergeCell ref="A7:A9"/>
    <mergeCell ref="A10:A12"/>
    <mergeCell ref="A13:A16"/>
    <mergeCell ref="A17:A18"/>
  </mergeCells>
  <phoneticPr fontId="6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S1000"/>
  <sheetViews>
    <sheetView topLeftCell="B1" workbookViewId="0"/>
  </sheetViews>
  <sheetFormatPr defaultColWidth="14.42578125" defaultRowHeight="15.75" customHeight="1"/>
  <cols>
    <col min="1" max="1" width="15.28515625" hidden="1" customWidth="1"/>
    <col min="2" max="2" width="13.85546875" customWidth="1"/>
    <col min="3" max="3" width="9.7109375" customWidth="1"/>
    <col min="4" max="4" width="16.28515625" customWidth="1"/>
    <col min="5" max="11" width="5.42578125" customWidth="1"/>
    <col min="12" max="14" width="7.140625" customWidth="1"/>
    <col min="15" max="21" width="5.42578125" customWidth="1"/>
    <col min="22" max="22" width="6.7109375" customWidth="1"/>
    <col min="23" max="24" width="7.140625" customWidth="1"/>
    <col min="25" max="31" width="5.42578125" customWidth="1"/>
    <col min="32" max="32" width="6.5703125" customWidth="1"/>
    <col min="33" max="34" width="7.140625" customWidth="1"/>
    <col min="35" max="41" width="5.42578125" customWidth="1"/>
    <col min="42" max="42" width="6.7109375" customWidth="1"/>
    <col min="43" max="44" width="7.140625" customWidth="1"/>
    <col min="45" max="45" width="8.7109375" customWidth="1"/>
  </cols>
  <sheetData>
    <row r="1" spans="1:45" ht="16.5" customHeight="1">
      <c r="A1" s="495"/>
      <c r="B1" s="495"/>
      <c r="C1" s="496"/>
      <c r="D1" s="495"/>
      <c r="E1" s="497">
        <v>1</v>
      </c>
      <c r="F1" s="497">
        <v>2</v>
      </c>
      <c r="G1" s="497">
        <v>3</v>
      </c>
      <c r="H1" s="497">
        <v>4</v>
      </c>
      <c r="I1" s="497">
        <v>5</v>
      </c>
      <c r="J1" s="497">
        <v>6</v>
      </c>
      <c r="K1" s="498">
        <v>7</v>
      </c>
      <c r="L1" s="499" t="s">
        <v>474</v>
      </c>
      <c r="M1" s="500" t="s">
        <v>18</v>
      </c>
      <c r="N1" s="500" t="s">
        <v>475</v>
      </c>
      <c r="O1" s="501">
        <v>8</v>
      </c>
      <c r="P1" s="497">
        <v>9</v>
      </c>
      <c r="Q1" s="497">
        <v>10</v>
      </c>
      <c r="R1" s="497">
        <v>11</v>
      </c>
      <c r="S1" s="497">
        <v>12</v>
      </c>
      <c r="T1" s="497">
        <v>13</v>
      </c>
      <c r="U1" s="498">
        <v>14</v>
      </c>
      <c r="V1" s="500" t="s">
        <v>476</v>
      </c>
      <c r="W1" s="500" t="s">
        <v>18</v>
      </c>
      <c r="X1" s="500" t="s">
        <v>475</v>
      </c>
      <c r="Y1" s="497">
        <v>15</v>
      </c>
      <c r="Z1" s="497">
        <v>16</v>
      </c>
      <c r="AA1" s="497">
        <v>17</v>
      </c>
      <c r="AB1" s="497">
        <v>18</v>
      </c>
      <c r="AC1" s="497">
        <v>19</v>
      </c>
      <c r="AD1" s="497">
        <v>20</v>
      </c>
      <c r="AE1" s="498">
        <v>21</v>
      </c>
      <c r="AF1" s="500" t="s">
        <v>477</v>
      </c>
      <c r="AG1" s="500" t="s">
        <v>18</v>
      </c>
      <c r="AH1" s="500" t="s">
        <v>475</v>
      </c>
      <c r="AI1" s="497">
        <v>22</v>
      </c>
      <c r="AJ1" s="497">
        <v>23</v>
      </c>
      <c r="AK1" s="497">
        <v>24</v>
      </c>
      <c r="AL1" s="497">
        <v>25</v>
      </c>
      <c r="AM1" s="497">
        <v>26</v>
      </c>
      <c r="AN1" s="497">
        <v>27</v>
      </c>
      <c r="AO1" s="498">
        <v>28</v>
      </c>
      <c r="AP1" s="500" t="s">
        <v>478</v>
      </c>
      <c r="AQ1" s="500" t="s">
        <v>18</v>
      </c>
      <c r="AR1" s="500" t="s">
        <v>475</v>
      </c>
      <c r="AS1" s="502"/>
    </row>
    <row r="2" spans="1:45" ht="16.5" customHeight="1">
      <c r="A2" s="685" t="s">
        <v>18</v>
      </c>
      <c r="B2" s="685" t="s">
        <v>18</v>
      </c>
      <c r="C2" s="687"/>
      <c r="D2" s="495" t="s">
        <v>467</v>
      </c>
      <c r="E2" s="503">
        <f t="shared" ref="E2:L2" si="0">SUMIF($D$8:$D$53,$D2,E$8:E$53)-E42</f>
        <v>176</v>
      </c>
      <c r="F2" s="503">
        <f t="shared" si="0"/>
        <v>186</v>
      </c>
      <c r="G2" s="503">
        <f t="shared" si="0"/>
        <v>179</v>
      </c>
      <c r="H2" s="503">
        <f t="shared" si="0"/>
        <v>193</v>
      </c>
      <c r="I2" s="503">
        <f t="shared" si="0"/>
        <v>143</v>
      </c>
      <c r="J2" s="503">
        <f t="shared" si="0"/>
        <v>153</v>
      </c>
      <c r="K2" s="503">
        <f t="shared" si="0"/>
        <v>188</v>
      </c>
      <c r="L2" s="504">
        <f t="shared" si="0"/>
        <v>1218</v>
      </c>
      <c r="M2" s="505">
        <v>2034</v>
      </c>
      <c r="N2" s="505">
        <f t="shared" ref="N2:N7" si="1">M2-L2</f>
        <v>816</v>
      </c>
      <c r="O2" s="506">
        <f t="shared" ref="O2:V2" si="2">SUMIF($D$8:$D$53,$D2,O$8:O$53)-O42</f>
        <v>143</v>
      </c>
      <c r="P2" s="503">
        <f t="shared" si="2"/>
        <v>167</v>
      </c>
      <c r="Q2" s="503">
        <f t="shared" si="2"/>
        <v>149</v>
      </c>
      <c r="R2" s="503">
        <f t="shared" si="2"/>
        <v>184</v>
      </c>
      <c r="S2" s="503">
        <f t="shared" si="2"/>
        <v>150</v>
      </c>
      <c r="T2" s="503">
        <f t="shared" si="2"/>
        <v>125</v>
      </c>
      <c r="U2" s="503">
        <f t="shared" si="2"/>
        <v>176</v>
      </c>
      <c r="V2" s="505">
        <f t="shared" si="2"/>
        <v>1094</v>
      </c>
      <c r="W2" s="505">
        <v>2114</v>
      </c>
      <c r="X2" s="505">
        <f t="shared" ref="X2:X7" si="3">W2-V2</f>
        <v>1020</v>
      </c>
      <c r="Y2" s="503">
        <f t="shared" ref="Y2:AF2" si="4">SUMIF($D$8:$D$53,$D2,Y$8:Y$53)-Y42</f>
        <v>172</v>
      </c>
      <c r="Z2" s="503">
        <f t="shared" si="4"/>
        <v>179</v>
      </c>
      <c r="AA2" s="503">
        <f t="shared" si="4"/>
        <v>161</v>
      </c>
      <c r="AB2" s="503">
        <f t="shared" si="4"/>
        <v>190</v>
      </c>
      <c r="AC2" s="503">
        <f t="shared" si="4"/>
        <v>187</v>
      </c>
      <c r="AD2" s="503">
        <f t="shared" si="4"/>
        <v>209</v>
      </c>
      <c r="AE2" s="503">
        <f t="shared" si="4"/>
        <v>172</v>
      </c>
      <c r="AF2" s="505">
        <f t="shared" si="4"/>
        <v>1270</v>
      </c>
      <c r="AG2" s="505">
        <v>2443</v>
      </c>
      <c r="AH2" s="505">
        <f t="shared" ref="AH2:AH7" si="5">AG2-AF2</f>
        <v>1173</v>
      </c>
      <c r="AI2" s="503">
        <f t="shared" ref="AI2:AP2" si="6">SUMIF($D$8:$D$53,$D2,AI$8:AI$53)-AI42</f>
        <v>136</v>
      </c>
      <c r="AJ2" s="503">
        <f t="shared" si="6"/>
        <v>159</v>
      </c>
      <c r="AK2" s="503">
        <f t="shared" si="6"/>
        <v>195</v>
      </c>
      <c r="AL2" s="503">
        <f t="shared" si="6"/>
        <v>179</v>
      </c>
      <c r="AM2" s="503">
        <f t="shared" si="6"/>
        <v>197</v>
      </c>
      <c r="AN2" s="503">
        <f t="shared" si="6"/>
        <v>128</v>
      </c>
      <c r="AO2" s="503">
        <f t="shared" si="6"/>
        <v>185</v>
      </c>
      <c r="AP2" s="505">
        <f t="shared" si="6"/>
        <v>1179</v>
      </c>
      <c r="AQ2" s="505">
        <v>2206</v>
      </c>
      <c r="AR2" s="505">
        <f t="shared" ref="AR2:AR7" si="7">AQ2-AP2</f>
        <v>1027</v>
      </c>
      <c r="AS2" s="502"/>
    </row>
    <row r="3" spans="1:45" ht="16.5" customHeight="1">
      <c r="A3" s="584"/>
      <c r="B3" s="584"/>
      <c r="C3" s="584"/>
      <c r="D3" s="495" t="s">
        <v>468</v>
      </c>
      <c r="E3" s="503">
        <f t="shared" ref="E3:L3" si="8">SUMIF($D$8:$D$53,$D3,E$8:E$53)-E43</f>
        <v>221</v>
      </c>
      <c r="F3" s="503">
        <f t="shared" si="8"/>
        <v>192</v>
      </c>
      <c r="G3" s="503">
        <f t="shared" si="8"/>
        <v>187</v>
      </c>
      <c r="H3" s="503">
        <f t="shared" si="8"/>
        <v>188</v>
      </c>
      <c r="I3" s="503">
        <f t="shared" si="8"/>
        <v>169</v>
      </c>
      <c r="J3" s="503">
        <f t="shared" si="8"/>
        <v>196</v>
      </c>
      <c r="K3" s="503">
        <f t="shared" si="8"/>
        <v>160</v>
      </c>
      <c r="L3" s="504">
        <f t="shared" si="8"/>
        <v>1313</v>
      </c>
      <c r="M3" s="505">
        <v>1823</v>
      </c>
      <c r="N3" s="505">
        <f t="shared" si="1"/>
        <v>510</v>
      </c>
      <c r="O3" s="506">
        <f t="shared" ref="O3:V3" si="9">SUMIF($D$8:$D$53,$D3,O$8:O$53)-O43</f>
        <v>184</v>
      </c>
      <c r="P3" s="503">
        <f t="shared" si="9"/>
        <v>196</v>
      </c>
      <c r="Q3" s="503">
        <f t="shared" si="9"/>
        <v>194</v>
      </c>
      <c r="R3" s="503">
        <f t="shared" si="9"/>
        <v>233</v>
      </c>
      <c r="S3" s="503">
        <f t="shared" si="9"/>
        <v>162</v>
      </c>
      <c r="T3" s="503">
        <f t="shared" si="9"/>
        <v>202</v>
      </c>
      <c r="U3" s="503">
        <f t="shared" si="9"/>
        <v>166</v>
      </c>
      <c r="V3" s="505">
        <f t="shared" si="9"/>
        <v>1337</v>
      </c>
      <c r="W3" s="505">
        <v>2064</v>
      </c>
      <c r="X3" s="505">
        <f t="shared" si="3"/>
        <v>727</v>
      </c>
      <c r="Y3" s="503">
        <f t="shared" ref="Y3:AF3" si="10">SUMIF($D$8:$D$53,$D3,Y$8:Y$53)-Y43</f>
        <v>167</v>
      </c>
      <c r="Z3" s="503">
        <f t="shared" si="10"/>
        <v>155</v>
      </c>
      <c r="AA3" s="503">
        <f t="shared" si="10"/>
        <v>182</v>
      </c>
      <c r="AB3" s="503">
        <f t="shared" si="10"/>
        <v>173</v>
      </c>
      <c r="AC3" s="503">
        <f t="shared" si="10"/>
        <v>174</v>
      </c>
      <c r="AD3" s="503">
        <f t="shared" si="10"/>
        <v>126</v>
      </c>
      <c r="AE3" s="503">
        <f t="shared" si="10"/>
        <v>179</v>
      </c>
      <c r="AF3" s="505">
        <f t="shared" si="10"/>
        <v>1156</v>
      </c>
      <c r="AG3" s="505">
        <v>1996</v>
      </c>
      <c r="AH3" s="505">
        <f t="shared" si="5"/>
        <v>840</v>
      </c>
      <c r="AI3" s="503">
        <f t="shared" ref="AI3:AP3" si="11">SUMIF($D$8:$D$53,$D3,AI$8:AI$53)-AI43</f>
        <v>180</v>
      </c>
      <c r="AJ3" s="503">
        <f t="shared" si="11"/>
        <v>173</v>
      </c>
      <c r="AK3" s="503">
        <f t="shared" si="11"/>
        <v>184</v>
      </c>
      <c r="AL3" s="503">
        <f t="shared" si="11"/>
        <v>169</v>
      </c>
      <c r="AM3" s="503">
        <f t="shared" si="11"/>
        <v>213</v>
      </c>
      <c r="AN3" s="503">
        <f t="shared" si="11"/>
        <v>171</v>
      </c>
      <c r="AO3" s="503">
        <f t="shared" si="11"/>
        <v>195</v>
      </c>
      <c r="AP3" s="505">
        <f t="shared" si="11"/>
        <v>1285</v>
      </c>
      <c r="AQ3" s="505">
        <v>1852</v>
      </c>
      <c r="AR3" s="505">
        <f t="shared" si="7"/>
        <v>567</v>
      </c>
      <c r="AS3" s="502"/>
    </row>
    <row r="4" spans="1:45" ht="16.5" customHeight="1">
      <c r="A4" s="584"/>
      <c r="B4" s="584"/>
      <c r="C4" s="584"/>
      <c r="D4" s="495" t="s">
        <v>469</v>
      </c>
      <c r="E4" s="503">
        <f t="shared" ref="E4:L4" si="12">SUMIF($D$8:$D$53,$D4,E$8:E$53)-E44</f>
        <v>119</v>
      </c>
      <c r="F4" s="503">
        <f t="shared" si="12"/>
        <v>81</v>
      </c>
      <c r="G4" s="503">
        <f t="shared" si="12"/>
        <v>83</v>
      </c>
      <c r="H4" s="503">
        <f t="shared" si="12"/>
        <v>97</v>
      </c>
      <c r="I4" s="503">
        <f t="shared" si="12"/>
        <v>100</v>
      </c>
      <c r="J4" s="503">
        <f t="shared" si="12"/>
        <v>103</v>
      </c>
      <c r="K4" s="503">
        <f t="shared" si="12"/>
        <v>87</v>
      </c>
      <c r="L4" s="504">
        <f t="shared" si="12"/>
        <v>670</v>
      </c>
      <c r="M4" s="505">
        <v>765</v>
      </c>
      <c r="N4" s="505">
        <f t="shared" si="1"/>
        <v>95</v>
      </c>
      <c r="O4" s="506">
        <f t="shared" ref="O4:V4" si="13">SUMIF($D$8:$D$53,$D4,O$8:O$53)-O44</f>
        <v>72</v>
      </c>
      <c r="P4" s="503">
        <f t="shared" si="13"/>
        <v>78</v>
      </c>
      <c r="Q4" s="503">
        <f t="shared" si="13"/>
        <v>79</v>
      </c>
      <c r="R4" s="503">
        <f t="shared" si="13"/>
        <v>115</v>
      </c>
      <c r="S4" s="503">
        <f t="shared" si="13"/>
        <v>74</v>
      </c>
      <c r="T4" s="503">
        <f t="shared" si="13"/>
        <v>88</v>
      </c>
      <c r="U4" s="503">
        <f t="shared" si="13"/>
        <v>72</v>
      </c>
      <c r="V4" s="505">
        <f t="shared" si="13"/>
        <v>578</v>
      </c>
      <c r="W4" s="505">
        <v>681</v>
      </c>
      <c r="X4" s="505">
        <f t="shared" si="3"/>
        <v>103</v>
      </c>
      <c r="Y4" s="503">
        <f t="shared" ref="Y4:AF4" si="14">SUMIF($D$8:$D$53,$D4,Y$8:Y$53)-Y44</f>
        <v>96</v>
      </c>
      <c r="Z4" s="503">
        <f t="shared" si="14"/>
        <v>86</v>
      </c>
      <c r="AA4" s="503">
        <f t="shared" si="14"/>
        <v>66</v>
      </c>
      <c r="AB4" s="503">
        <f t="shared" si="14"/>
        <v>130</v>
      </c>
      <c r="AC4" s="503">
        <f t="shared" si="14"/>
        <v>89</v>
      </c>
      <c r="AD4" s="503">
        <f t="shared" si="14"/>
        <v>99</v>
      </c>
      <c r="AE4" s="503">
        <f t="shared" si="14"/>
        <v>118</v>
      </c>
      <c r="AF4" s="505">
        <f t="shared" si="14"/>
        <v>684</v>
      </c>
      <c r="AG4" s="505">
        <v>789</v>
      </c>
      <c r="AH4" s="505">
        <f t="shared" si="5"/>
        <v>105</v>
      </c>
      <c r="AI4" s="503">
        <f t="shared" ref="AI4:AP4" si="15">SUMIF($D$8:$D$53,$D4,AI$8:AI$53)-AI44</f>
        <v>82</v>
      </c>
      <c r="AJ4" s="503">
        <f t="shared" si="15"/>
        <v>60</v>
      </c>
      <c r="AK4" s="503">
        <f t="shared" si="15"/>
        <v>86</v>
      </c>
      <c r="AL4" s="503">
        <f t="shared" si="15"/>
        <v>90</v>
      </c>
      <c r="AM4" s="503">
        <f t="shared" si="15"/>
        <v>90</v>
      </c>
      <c r="AN4" s="503">
        <f t="shared" si="15"/>
        <v>63</v>
      </c>
      <c r="AO4" s="503">
        <f t="shared" si="15"/>
        <v>72</v>
      </c>
      <c r="AP4" s="505">
        <f t="shared" si="15"/>
        <v>543</v>
      </c>
      <c r="AQ4" s="505">
        <v>642</v>
      </c>
      <c r="AR4" s="505">
        <f t="shared" si="7"/>
        <v>99</v>
      </c>
      <c r="AS4" s="502"/>
    </row>
    <row r="5" spans="1:45" ht="16.5" customHeight="1">
      <c r="A5" s="584"/>
      <c r="B5" s="584"/>
      <c r="C5" s="584"/>
      <c r="D5" s="495" t="s">
        <v>470</v>
      </c>
      <c r="E5" s="503">
        <f t="shared" ref="E5:L5" si="16">SUMIF($D$8:$D$53,$D5,E$8:E$53)-E45</f>
        <v>253</v>
      </c>
      <c r="F5" s="503">
        <f t="shared" si="16"/>
        <v>241</v>
      </c>
      <c r="G5" s="503">
        <f t="shared" si="16"/>
        <v>297</v>
      </c>
      <c r="H5" s="503">
        <f t="shared" si="16"/>
        <v>221</v>
      </c>
      <c r="I5" s="503">
        <f t="shared" si="16"/>
        <v>219</v>
      </c>
      <c r="J5" s="503">
        <f t="shared" si="16"/>
        <v>236</v>
      </c>
      <c r="K5" s="503">
        <f t="shared" si="16"/>
        <v>192</v>
      </c>
      <c r="L5" s="504">
        <f t="shared" si="16"/>
        <v>1659</v>
      </c>
      <c r="M5" s="505">
        <v>2665</v>
      </c>
      <c r="N5" s="505">
        <f t="shared" si="1"/>
        <v>1006</v>
      </c>
      <c r="O5" s="506">
        <f t="shared" ref="O5:V5" si="17">SUMIF($D$8:$D$53,$D5,O$8:O$53)-O45</f>
        <v>192</v>
      </c>
      <c r="P5" s="503">
        <f t="shared" si="17"/>
        <v>253</v>
      </c>
      <c r="Q5" s="503">
        <f t="shared" si="17"/>
        <v>240</v>
      </c>
      <c r="R5" s="503">
        <f t="shared" si="17"/>
        <v>289</v>
      </c>
      <c r="S5" s="503">
        <f t="shared" si="17"/>
        <v>188</v>
      </c>
      <c r="T5" s="503">
        <f t="shared" si="17"/>
        <v>245</v>
      </c>
      <c r="U5" s="503">
        <f t="shared" si="17"/>
        <v>228</v>
      </c>
      <c r="V5" s="505">
        <f t="shared" si="17"/>
        <v>1635</v>
      </c>
      <c r="W5" s="505">
        <v>2639</v>
      </c>
      <c r="X5" s="505">
        <f t="shared" si="3"/>
        <v>1004</v>
      </c>
      <c r="Y5" s="503">
        <f t="shared" ref="Y5:AF5" si="18">SUMIF($D$8:$D$53,$D5,Y$8:Y$53)-Y45</f>
        <v>267</v>
      </c>
      <c r="Z5" s="503">
        <f t="shared" si="18"/>
        <v>194</v>
      </c>
      <c r="AA5" s="503">
        <f t="shared" si="18"/>
        <v>276</v>
      </c>
      <c r="AB5" s="503">
        <f t="shared" si="18"/>
        <v>335</v>
      </c>
      <c r="AC5" s="503">
        <f t="shared" si="18"/>
        <v>227</v>
      </c>
      <c r="AD5" s="503">
        <f t="shared" si="18"/>
        <v>228</v>
      </c>
      <c r="AE5" s="503">
        <f t="shared" si="18"/>
        <v>196</v>
      </c>
      <c r="AF5" s="505">
        <f t="shared" si="18"/>
        <v>1723</v>
      </c>
      <c r="AG5" s="505">
        <v>2770</v>
      </c>
      <c r="AH5" s="505">
        <f t="shared" si="5"/>
        <v>1047</v>
      </c>
      <c r="AI5" s="503">
        <f t="shared" ref="AI5:AP5" si="19">SUMIF($D$8:$D$53,$D5,AI$8:AI$53)-AI45</f>
        <v>224</v>
      </c>
      <c r="AJ5" s="503">
        <f t="shared" si="19"/>
        <v>218</v>
      </c>
      <c r="AK5" s="503">
        <f t="shared" si="19"/>
        <v>195</v>
      </c>
      <c r="AL5" s="503">
        <f t="shared" si="19"/>
        <v>224</v>
      </c>
      <c r="AM5" s="503">
        <f t="shared" si="19"/>
        <v>243</v>
      </c>
      <c r="AN5" s="503">
        <f t="shared" si="19"/>
        <v>177</v>
      </c>
      <c r="AO5" s="503">
        <f t="shared" si="19"/>
        <v>207</v>
      </c>
      <c r="AP5" s="505">
        <f t="shared" si="19"/>
        <v>1488</v>
      </c>
      <c r="AQ5" s="505">
        <v>2354</v>
      </c>
      <c r="AR5" s="505">
        <f t="shared" si="7"/>
        <v>866</v>
      </c>
      <c r="AS5" s="502"/>
    </row>
    <row r="6" spans="1:45" ht="16.5" customHeight="1">
      <c r="A6" s="584"/>
      <c r="B6" s="584"/>
      <c r="C6" s="584"/>
      <c r="D6" s="495" t="s">
        <v>471</v>
      </c>
      <c r="E6" s="503">
        <f t="shared" ref="E6:L6" si="20">SUMIF($D$8:$D$53,$D6,E$8:E$53)-E46</f>
        <v>288</v>
      </c>
      <c r="F6" s="503">
        <f t="shared" si="20"/>
        <v>218</v>
      </c>
      <c r="G6" s="503">
        <f t="shared" si="20"/>
        <v>233</v>
      </c>
      <c r="H6" s="503">
        <f t="shared" si="20"/>
        <v>223</v>
      </c>
      <c r="I6" s="503">
        <f t="shared" si="20"/>
        <v>214</v>
      </c>
      <c r="J6" s="503">
        <f t="shared" si="20"/>
        <v>205</v>
      </c>
      <c r="K6" s="503">
        <f t="shared" si="20"/>
        <v>270</v>
      </c>
      <c r="L6" s="504">
        <f t="shared" si="20"/>
        <v>1651</v>
      </c>
      <c r="M6" s="505">
        <v>2324</v>
      </c>
      <c r="N6" s="505">
        <f t="shared" si="1"/>
        <v>673</v>
      </c>
      <c r="O6" s="506">
        <f t="shared" ref="O6:V6" si="21">SUMIF($D$8:$D$53,$D6,O$8:O$53)-O46</f>
        <v>252</v>
      </c>
      <c r="P6" s="503">
        <f t="shared" si="21"/>
        <v>226</v>
      </c>
      <c r="Q6" s="503">
        <f t="shared" si="21"/>
        <v>233</v>
      </c>
      <c r="R6" s="503">
        <f t="shared" si="21"/>
        <v>432</v>
      </c>
      <c r="S6" s="503">
        <f t="shared" si="21"/>
        <v>215</v>
      </c>
      <c r="T6" s="503">
        <f t="shared" si="21"/>
        <v>258</v>
      </c>
      <c r="U6" s="503">
        <f t="shared" si="21"/>
        <v>255</v>
      </c>
      <c r="V6" s="505">
        <f t="shared" si="21"/>
        <v>1871</v>
      </c>
      <c r="W6" s="505">
        <v>2553</v>
      </c>
      <c r="X6" s="505">
        <f t="shared" si="3"/>
        <v>682</v>
      </c>
      <c r="Y6" s="503">
        <f t="shared" ref="Y6:AF6" si="22">SUMIF($D$8:$D$53,$D6,Y$8:Y$53)-Y46</f>
        <v>217</v>
      </c>
      <c r="Z6" s="503">
        <f t="shared" si="22"/>
        <v>241</v>
      </c>
      <c r="AA6" s="503">
        <f t="shared" si="22"/>
        <v>211</v>
      </c>
      <c r="AB6" s="503">
        <f t="shared" si="22"/>
        <v>284</v>
      </c>
      <c r="AC6" s="503">
        <f t="shared" si="22"/>
        <v>229</v>
      </c>
      <c r="AD6" s="503">
        <f t="shared" si="22"/>
        <v>234</v>
      </c>
      <c r="AE6" s="503">
        <f t="shared" si="22"/>
        <v>268</v>
      </c>
      <c r="AF6" s="505">
        <f t="shared" si="22"/>
        <v>1684</v>
      </c>
      <c r="AG6" s="505">
        <v>2408</v>
      </c>
      <c r="AH6" s="505">
        <f t="shared" si="5"/>
        <v>724</v>
      </c>
      <c r="AI6" s="503">
        <f t="shared" ref="AI6:AP6" si="23">SUMIF($D$8:$D$53,$D6,AI$8:AI$53)-AI46</f>
        <v>231</v>
      </c>
      <c r="AJ6" s="503">
        <f t="shared" si="23"/>
        <v>235</v>
      </c>
      <c r="AK6" s="503">
        <f t="shared" si="23"/>
        <v>214</v>
      </c>
      <c r="AL6" s="503">
        <f t="shared" si="23"/>
        <v>248</v>
      </c>
      <c r="AM6" s="503">
        <f t="shared" si="23"/>
        <v>271</v>
      </c>
      <c r="AN6" s="503">
        <f t="shared" si="23"/>
        <v>200</v>
      </c>
      <c r="AO6" s="503">
        <f t="shared" si="23"/>
        <v>264</v>
      </c>
      <c r="AP6" s="505">
        <f t="shared" si="23"/>
        <v>1663</v>
      </c>
      <c r="AQ6" s="505">
        <v>2297</v>
      </c>
      <c r="AR6" s="505">
        <f t="shared" si="7"/>
        <v>634</v>
      </c>
      <c r="AS6" s="502"/>
    </row>
    <row r="7" spans="1:45" ht="16.5" customHeight="1">
      <c r="A7" s="597"/>
      <c r="B7" s="686"/>
      <c r="C7" s="686"/>
      <c r="D7" s="507" t="s">
        <v>472</v>
      </c>
      <c r="E7" s="508">
        <f t="shared" ref="E7:L7" si="24">SUMIF($D$8:$D$53,$D7,E$8:E$53)-E47</f>
        <v>122</v>
      </c>
      <c r="F7" s="508">
        <f t="shared" si="24"/>
        <v>134</v>
      </c>
      <c r="G7" s="508">
        <f t="shared" si="24"/>
        <v>100</v>
      </c>
      <c r="H7" s="508">
        <f t="shared" si="24"/>
        <v>108</v>
      </c>
      <c r="I7" s="508">
        <f t="shared" si="24"/>
        <v>106</v>
      </c>
      <c r="J7" s="508">
        <f t="shared" si="24"/>
        <v>91</v>
      </c>
      <c r="K7" s="508">
        <f t="shared" si="24"/>
        <v>106</v>
      </c>
      <c r="L7" s="509">
        <f t="shared" si="24"/>
        <v>767</v>
      </c>
      <c r="M7" s="510">
        <v>908</v>
      </c>
      <c r="N7" s="510">
        <f t="shared" si="1"/>
        <v>141</v>
      </c>
      <c r="O7" s="511">
        <f t="shared" ref="O7:V7" si="25">SUMIF($D$8:$D$53,$D7,O$8:O$53)-O47</f>
        <v>69</v>
      </c>
      <c r="P7" s="508">
        <f t="shared" si="25"/>
        <v>77</v>
      </c>
      <c r="Q7" s="508">
        <f t="shared" si="25"/>
        <v>117</v>
      </c>
      <c r="R7" s="508">
        <f t="shared" si="25"/>
        <v>191</v>
      </c>
      <c r="S7" s="508">
        <f t="shared" si="25"/>
        <v>120</v>
      </c>
      <c r="T7" s="508">
        <f t="shared" si="25"/>
        <v>58</v>
      </c>
      <c r="U7" s="508">
        <f t="shared" si="25"/>
        <v>127</v>
      </c>
      <c r="V7" s="510">
        <f t="shared" si="25"/>
        <v>759</v>
      </c>
      <c r="W7" s="510">
        <v>933</v>
      </c>
      <c r="X7" s="510">
        <f t="shared" si="3"/>
        <v>174</v>
      </c>
      <c r="Y7" s="508">
        <f t="shared" ref="Y7:AF7" si="26">SUMIF($D$8:$D$53,$D7,Y$8:Y$53)-Y47</f>
        <v>94</v>
      </c>
      <c r="Z7" s="508">
        <f t="shared" si="26"/>
        <v>82</v>
      </c>
      <c r="AA7" s="508">
        <f t="shared" si="26"/>
        <v>86</v>
      </c>
      <c r="AB7" s="508">
        <f t="shared" si="26"/>
        <v>98</v>
      </c>
      <c r="AC7" s="508">
        <f t="shared" si="26"/>
        <v>106</v>
      </c>
      <c r="AD7" s="508">
        <f t="shared" si="26"/>
        <v>101</v>
      </c>
      <c r="AE7" s="508">
        <f t="shared" si="26"/>
        <v>104</v>
      </c>
      <c r="AF7" s="510">
        <f t="shared" si="26"/>
        <v>671</v>
      </c>
      <c r="AG7" s="510">
        <v>822</v>
      </c>
      <c r="AH7" s="510">
        <f t="shared" si="5"/>
        <v>151</v>
      </c>
      <c r="AI7" s="508">
        <f t="shared" ref="AI7:AP7" si="27">SUMIF($D$8:$D$53,$D7,AI$8:AI$53)-AI47</f>
        <v>97</v>
      </c>
      <c r="AJ7" s="508">
        <f t="shared" si="27"/>
        <v>102</v>
      </c>
      <c r="AK7" s="508">
        <f t="shared" si="27"/>
        <v>92</v>
      </c>
      <c r="AL7" s="508">
        <f t="shared" si="27"/>
        <v>86</v>
      </c>
      <c r="AM7" s="508">
        <f t="shared" si="27"/>
        <v>104</v>
      </c>
      <c r="AN7" s="508">
        <f t="shared" si="27"/>
        <v>93</v>
      </c>
      <c r="AO7" s="508">
        <f t="shared" si="27"/>
        <v>126</v>
      </c>
      <c r="AP7" s="510">
        <f t="shared" si="27"/>
        <v>700</v>
      </c>
      <c r="AQ7" s="510">
        <v>842</v>
      </c>
      <c r="AR7" s="510">
        <f t="shared" si="7"/>
        <v>142</v>
      </c>
      <c r="AS7" s="502"/>
    </row>
    <row r="8" spans="1:45" ht="16.5" customHeight="1">
      <c r="A8" s="512" t="s">
        <v>293</v>
      </c>
      <c r="B8" s="685" t="s">
        <v>293</v>
      </c>
      <c r="C8" s="496">
        <v>45743</v>
      </c>
      <c r="D8" s="495" t="s">
        <v>467</v>
      </c>
      <c r="E8" s="503">
        <v>127</v>
      </c>
      <c r="F8" s="503">
        <v>137</v>
      </c>
      <c r="G8" s="503">
        <v>131</v>
      </c>
      <c r="H8" s="503">
        <v>127</v>
      </c>
      <c r="I8" s="503">
        <v>99</v>
      </c>
      <c r="J8" s="503">
        <v>111</v>
      </c>
      <c r="K8" s="513">
        <v>158</v>
      </c>
      <c r="L8" s="504">
        <f t="shared" ref="L8:L41" si="28">SUM(E8:K8)</f>
        <v>890</v>
      </c>
      <c r="M8" s="505"/>
      <c r="N8" s="514"/>
      <c r="O8" s="506">
        <v>98</v>
      </c>
      <c r="P8" s="503">
        <v>127</v>
      </c>
      <c r="Q8" s="503">
        <v>119</v>
      </c>
      <c r="R8" s="503">
        <v>135</v>
      </c>
      <c r="S8" s="503">
        <v>99</v>
      </c>
      <c r="T8" s="503">
        <v>104</v>
      </c>
      <c r="U8" s="513">
        <v>119</v>
      </c>
      <c r="V8" s="505">
        <f t="shared" ref="V8:V41" si="29">SUM(O8:U8)</f>
        <v>801</v>
      </c>
      <c r="W8" s="505"/>
      <c r="X8" s="505"/>
      <c r="Y8" s="506">
        <v>0</v>
      </c>
      <c r="Z8" s="503">
        <v>0</v>
      </c>
      <c r="AA8" s="503">
        <v>0</v>
      </c>
      <c r="AB8" s="503">
        <v>0</v>
      </c>
      <c r="AC8" s="503">
        <v>0</v>
      </c>
      <c r="AD8" s="503">
        <v>0</v>
      </c>
      <c r="AE8" s="513">
        <v>0</v>
      </c>
      <c r="AF8" s="505">
        <f t="shared" ref="AF8:AF41" si="30">SUM(Y8:AE8)</f>
        <v>0</v>
      </c>
      <c r="AG8" s="505"/>
      <c r="AH8" s="505"/>
      <c r="AI8" s="506">
        <v>0</v>
      </c>
      <c r="AJ8" s="503">
        <v>0</v>
      </c>
      <c r="AK8" s="503">
        <v>0</v>
      </c>
      <c r="AL8" s="503">
        <v>0</v>
      </c>
      <c r="AM8" s="503">
        <v>0</v>
      </c>
      <c r="AN8" s="503">
        <v>0</v>
      </c>
      <c r="AO8" s="513">
        <v>0</v>
      </c>
      <c r="AP8" s="505">
        <f t="shared" ref="AP8:AP41" si="31">SUM(AI8:AO8)</f>
        <v>0</v>
      </c>
      <c r="AQ8" s="505"/>
      <c r="AR8" s="505"/>
      <c r="AS8" s="515"/>
    </row>
    <row r="9" spans="1:45" ht="16.5" customHeight="1">
      <c r="A9" s="516" t="str">
        <f t="shared" ref="A9:A14" si="32">A8</f>
        <v>쿠팡</v>
      </c>
      <c r="B9" s="584"/>
      <c r="C9" s="496">
        <v>45768</v>
      </c>
      <c r="D9" s="495" t="s">
        <v>467</v>
      </c>
      <c r="E9" s="503">
        <v>0</v>
      </c>
      <c r="F9" s="503">
        <v>0</v>
      </c>
      <c r="G9" s="503">
        <v>0</v>
      </c>
      <c r="H9" s="503">
        <v>0</v>
      </c>
      <c r="I9" s="503">
        <v>0</v>
      </c>
      <c r="J9" s="503">
        <v>0</v>
      </c>
      <c r="K9" s="513">
        <v>0</v>
      </c>
      <c r="L9" s="504">
        <f t="shared" si="28"/>
        <v>0</v>
      </c>
      <c r="M9" s="505"/>
      <c r="N9" s="505"/>
      <c r="O9" s="506">
        <v>0</v>
      </c>
      <c r="P9" s="503">
        <v>0</v>
      </c>
      <c r="Q9" s="503">
        <v>0</v>
      </c>
      <c r="R9" s="503">
        <v>0</v>
      </c>
      <c r="S9" s="503">
        <v>0</v>
      </c>
      <c r="T9" s="503">
        <v>0</v>
      </c>
      <c r="U9" s="513">
        <v>0</v>
      </c>
      <c r="V9" s="505">
        <f t="shared" si="29"/>
        <v>0</v>
      </c>
      <c r="W9" s="505"/>
      <c r="X9" s="505"/>
      <c r="Y9" s="506">
        <v>127</v>
      </c>
      <c r="Z9" s="503">
        <v>139</v>
      </c>
      <c r="AA9" s="503">
        <v>124</v>
      </c>
      <c r="AB9" s="503">
        <v>126</v>
      </c>
      <c r="AC9" s="503">
        <v>124</v>
      </c>
      <c r="AD9" s="503">
        <v>153</v>
      </c>
      <c r="AE9" s="513">
        <v>132</v>
      </c>
      <c r="AF9" s="505">
        <f t="shared" si="30"/>
        <v>925</v>
      </c>
      <c r="AG9" s="505"/>
      <c r="AH9" s="505"/>
      <c r="AI9" s="506">
        <v>113</v>
      </c>
      <c r="AJ9" s="503">
        <v>125</v>
      </c>
      <c r="AK9" s="503">
        <v>137</v>
      </c>
      <c r="AL9" s="503">
        <v>120</v>
      </c>
      <c r="AM9" s="503">
        <v>124</v>
      </c>
      <c r="AN9" s="503">
        <v>108</v>
      </c>
      <c r="AO9" s="513">
        <v>125</v>
      </c>
      <c r="AP9" s="505">
        <f t="shared" si="31"/>
        <v>852</v>
      </c>
      <c r="AQ9" s="505"/>
      <c r="AR9" s="505"/>
      <c r="AS9" s="515"/>
    </row>
    <row r="10" spans="1:45" ht="16.5" customHeight="1">
      <c r="A10" s="516" t="str">
        <f t="shared" si="32"/>
        <v>쿠팡</v>
      </c>
      <c r="B10" s="584"/>
      <c r="C10" s="496">
        <v>45803</v>
      </c>
      <c r="D10" s="495" t="s">
        <v>468</v>
      </c>
      <c r="E10" s="503">
        <v>176</v>
      </c>
      <c r="F10" s="503">
        <v>155</v>
      </c>
      <c r="G10" s="503">
        <v>140</v>
      </c>
      <c r="H10" s="503">
        <v>156</v>
      </c>
      <c r="I10" s="503">
        <v>139</v>
      </c>
      <c r="J10" s="503">
        <v>143</v>
      </c>
      <c r="K10" s="513">
        <v>126</v>
      </c>
      <c r="L10" s="504">
        <f t="shared" si="28"/>
        <v>1035</v>
      </c>
      <c r="M10" s="505"/>
      <c r="N10" s="505"/>
      <c r="O10" s="506">
        <v>156</v>
      </c>
      <c r="P10" s="503">
        <v>155</v>
      </c>
      <c r="Q10" s="503">
        <v>142</v>
      </c>
      <c r="R10" s="503">
        <v>129</v>
      </c>
      <c r="S10" s="503">
        <v>117</v>
      </c>
      <c r="T10" s="503">
        <v>174</v>
      </c>
      <c r="U10" s="513">
        <v>138</v>
      </c>
      <c r="V10" s="505">
        <f t="shared" si="29"/>
        <v>1011</v>
      </c>
      <c r="W10" s="505"/>
      <c r="X10" s="505"/>
      <c r="Y10" s="506">
        <v>132</v>
      </c>
      <c r="Z10" s="503">
        <v>104</v>
      </c>
      <c r="AA10" s="503">
        <v>145</v>
      </c>
      <c r="AB10" s="503">
        <v>114</v>
      </c>
      <c r="AC10" s="503">
        <v>124</v>
      </c>
      <c r="AD10" s="503">
        <v>95</v>
      </c>
      <c r="AE10" s="513">
        <v>145</v>
      </c>
      <c r="AF10" s="505">
        <f t="shared" si="30"/>
        <v>859</v>
      </c>
      <c r="AG10" s="505"/>
      <c r="AH10" s="505"/>
      <c r="AI10" s="506">
        <v>144</v>
      </c>
      <c r="AJ10" s="503">
        <v>142</v>
      </c>
      <c r="AK10" s="503">
        <v>143</v>
      </c>
      <c r="AL10" s="503">
        <v>120</v>
      </c>
      <c r="AM10" s="503">
        <v>170</v>
      </c>
      <c r="AN10" s="503">
        <v>146</v>
      </c>
      <c r="AO10" s="513">
        <v>149</v>
      </c>
      <c r="AP10" s="505">
        <f t="shared" si="31"/>
        <v>1014</v>
      </c>
      <c r="AQ10" s="505"/>
      <c r="AR10" s="505"/>
      <c r="AS10" s="515"/>
    </row>
    <row r="11" spans="1:45" ht="16.5" customHeight="1">
      <c r="A11" s="516" t="str">
        <f t="shared" si="32"/>
        <v>쿠팡</v>
      </c>
      <c r="B11" s="584"/>
      <c r="C11" s="496">
        <v>45795</v>
      </c>
      <c r="D11" s="495" t="s">
        <v>469</v>
      </c>
      <c r="E11" s="503">
        <v>86</v>
      </c>
      <c r="F11" s="503">
        <v>54</v>
      </c>
      <c r="G11" s="503">
        <v>63</v>
      </c>
      <c r="H11" s="503">
        <v>71</v>
      </c>
      <c r="I11" s="503">
        <v>70</v>
      </c>
      <c r="J11" s="503">
        <v>65</v>
      </c>
      <c r="K11" s="513">
        <v>55</v>
      </c>
      <c r="L11" s="504">
        <f t="shared" si="28"/>
        <v>464</v>
      </c>
      <c r="M11" s="505"/>
      <c r="N11" s="505"/>
      <c r="O11" s="506">
        <v>54</v>
      </c>
      <c r="P11" s="503">
        <v>62</v>
      </c>
      <c r="Q11" s="503">
        <v>45</v>
      </c>
      <c r="R11" s="503">
        <v>59</v>
      </c>
      <c r="S11" s="503">
        <v>35</v>
      </c>
      <c r="T11" s="503">
        <v>61</v>
      </c>
      <c r="U11" s="513">
        <v>50</v>
      </c>
      <c r="V11" s="505">
        <f t="shared" si="29"/>
        <v>366</v>
      </c>
      <c r="W11" s="505"/>
      <c r="X11" s="505"/>
      <c r="Y11" s="506">
        <v>66</v>
      </c>
      <c r="Z11" s="503">
        <v>70</v>
      </c>
      <c r="AA11" s="503">
        <v>39</v>
      </c>
      <c r="AB11" s="503">
        <v>64</v>
      </c>
      <c r="AC11" s="503">
        <v>42</v>
      </c>
      <c r="AD11" s="503">
        <v>65</v>
      </c>
      <c r="AE11" s="513">
        <v>73</v>
      </c>
      <c r="AF11" s="505">
        <f t="shared" si="30"/>
        <v>419</v>
      </c>
      <c r="AG11" s="505"/>
      <c r="AH11" s="505"/>
      <c r="AI11" s="506">
        <v>51</v>
      </c>
      <c r="AJ11" s="503">
        <v>43</v>
      </c>
      <c r="AK11" s="503">
        <v>61</v>
      </c>
      <c r="AL11" s="503">
        <v>68</v>
      </c>
      <c r="AM11" s="503">
        <v>58</v>
      </c>
      <c r="AN11" s="503">
        <v>47</v>
      </c>
      <c r="AO11" s="513">
        <v>49</v>
      </c>
      <c r="AP11" s="505">
        <f t="shared" si="31"/>
        <v>377</v>
      </c>
      <c r="AQ11" s="505"/>
      <c r="AR11" s="505"/>
      <c r="AS11" s="515"/>
    </row>
    <row r="12" spans="1:45" ht="16.5" customHeight="1">
      <c r="A12" s="516" t="str">
        <f t="shared" si="32"/>
        <v>쿠팡</v>
      </c>
      <c r="B12" s="584"/>
      <c r="C12" s="496">
        <v>46122</v>
      </c>
      <c r="D12" s="495" t="s">
        <v>470</v>
      </c>
      <c r="E12" s="503">
        <v>179</v>
      </c>
      <c r="F12" s="503">
        <v>175</v>
      </c>
      <c r="G12" s="503">
        <v>214</v>
      </c>
      <c r="H12" s="503">
        <v>153</v>
      </c>
      <c r="I12" s="503">
        <v>154</v>
      </c>
      <c r="J12" s="503">
        <v>156</v>
      </c>
      <c r="K12" s="513">
        <v>140</v>
      </c>
      <c r="L12" s="504">
        <f t="shared" si="28"/>
        <v>1171</v>
      </c>
      <c r="M12" s="505"/>
      <c r="N12" s="505"/>
      <c r="O12" s="506">
        <v>137</v>
      </c>
      <c r="P12" s="503">
        <v>174</v>
      </c>
      <c r="Q12" s="503">
        <v>183</v>
      </c>
      <c r="R12" s="503">
        <v>144</v>
      </c>
      <c r="S12" s="503">
        <v>136</v>
      </c>
      <c r="T12" s="503">
        <v>206</v>
      </c>
      <c r="U12" s="513">
        <v>145</v>
      </c>
      <c r="V12" s="505">
        <f t="shared" si="29"/>
        <v>1125</v>
      </c>
      <c r="W12" s="505"/>
      <c r="X12" s="505"/>
      <c r="Y12" s="506">
        <v>187</v>
      </c>
      <c r="Z12" s="503">
        <v>130</v>
      </c>
      <c r="AA12" s="503">
        <v>212</v>
      </c>
      <c r="AB12" s="503">
        <v>177</v>
      </c>
      <c r="AC12" s="503">
        <v>144</v>
      </c>
      <c r="AD12" s="503">
        <v>135</v>
      </c>
      <c r="AE12" s="513">
        <v>122</v>
      </c>
      <c r="AF12" s="505">
        <f t="shared" si="30"/>
        <v>1107</v>
      </c>
      <c r="AG12" s="505"/>
      <c r="AH12" s="505"/>
      <c r="AI12" s="506">
        <v>150</v>
      </c>
      <c r="AJ12" s="503">
        <v>180</v>
      </c>
      <c r="AK12" s="503">
        <v>140</v>
      </c>
      <c r="AL12" s="503">
        <v>160</v>
      </c>
      <c r="AM12" s="503">
        <v>183</v>
      </c>
      <c r="AN12" s="503">
        <v>141</v>
      </c>
      <c r="AO12" s="513">
        <v>153</v>
      </c>
      <c r="AP12" s="505">
        <f t="shared" si="31"/>
        <v>1107</v>
      </c>
      <c r="AQ12" s="505"/>
      <c r="AR12" s="505"/>
      <c r="AS12" s="515"/>
    </row>
    <row r="13" spans="1:45" ht="16.5" customHeight="1">
      <c r="A13" s="516" t="str">
        <f t="shared" si="32"/>
        <v>쿠팡</v>
      </c>
      <c r="B13" s="584"/>
      <c r="C13" s="496">
        <v>46067</v>
      </c>
      <c r="D13" s="495" t="s">
        <v>471</v>
      </c>
      <c r="E13" s="503">
        <v>205</v>
      </c>
      <c r="F13" s="503">
        <v>149</v>
      </c>
      <c r="G13" s="503">
        <v>162</v>
      </c>
      <c r="H13" s="503">
        <v>161</v>
      </c>
      <c r="I13" s="503">
        <v>127</v>
      </c>
      <c r="J13" s="503">
        <v>118</v>
      </c>
      <c r="K13" s="513">
        <v>181</v>
      </c>
      <c r="L13" s="504">
        <f t="shared" si="28"/>
        <v>1103</v>
      </c>
      <c r="M13" s="505"/>
      <c r="N13" s="505"/>
      <c r="O13" s="506">
        <v>169</v>
      </c>
      <c r="P13" s="503">
        <v>147</v>
      </c>
      <c r="Q13" s="503">
        <v>163</v>
      </c>
      <c r="R13" s="503">
        <v>174</v>
      </c>
      <c r="S13" s="503">
        <v>139</v>
      </c>
      <c r="T13" s="503">
        <v>209</v>
      </c>
      <c r="U13" s="513">
        <v>166</v>
      </c>
      <c r="V13" s="505">
        <f t="shared" si="29"/>
        <v>1167</v>
      </c>
      <c r="W13" s="505"/>
      <c r="X13" s="505"/>
      <c r="Y13" s="506">
        <v>144</v>
      </c>
      <c r="Z13" s="503">
        <v>160</v>
      </c>
      <c r="AA13" s="503">
        <v>156</v>
      </c>
      <c r="AB13" s="503">
        <v>131</v>
      </c>
      <c r="AC13" s="503">
        <v>140</v>
      </c>
      <c r="AD13" s="503">
        <v>142</v>
      </c>
      <c r="AE13" s="513">
        <v>180</v>
      </c>
      <c r="AF13" s="505">
        <f t="shared" si="30"/>
        <v>1053</v>
      </c>
      <c r="AG13" s="505"/>
      <c r="AH13" s="505"/>
      <c r="AI13" s="506">
        <v>152</v>
      </c>
      <c r="AJ13" s="503">
        <v>176</v>
      </c>
      <c r="AK13" s="503">
        <v>123</v>
      </c>
      <c r="AL13" s="503">
        <v>173</v>
      </c>
      <c r="AM13" s="503">
        <v>171</v>
      </c>
      <c r="AN13" s="503">
        <v>158</v>
      </c>
      <c r="AO13" s="513">
        <v>175</v>
      </c>
      <c r="AP13" s="505">
        <f t="shared" si="31"/>
        <v>1128</v>
      </c>
      <c r="AQ13" s="505"/>
      <c r="AR13" s="505"/>
      <c r="AS13" s="515"/>
    </row>
    <row r="14" spans="1:45" ht="16.5" customHeight="1">
      <c r="A14" s="516" t="str">
        <f t="shared" si="32"/>
        <v>쿠팡</v>
      </c>
      <c r="B14" s="584"/>
      <c r="C14" s="496">
        <v>46089</v>
      </c>
      <c r="D14" s="495" t="s">
        <v>472</v>
      </c>
      <c r="E14" s="503">
        <v>69</v>
      </c>
      <c r="F14" s="503">
        <v>75</v>
      </c>
      <c r="G14" s="503">
        <v>64</v>
      </c>
      <c r="H14" s="503">
        <v>64</v>
      </c>
      <c r="I14" s="503">
        <v>64</v>
      </c>
      <c r="J14" s="503">
        <v>50</v>
      </c>
      <c r="K14" s="513">
        <v>59</v>
      </c>
      <c r="L14" s="504">
        <f t="shared" si="28"/>
        <v>445</v>
      </c>
      <c r="M14" s="505"/>
      <c r="N14" s="505"/>
      <c r="O14" s="506">
        <v>41</v>
      </c>
      <c r="P14" s="503">
        <v>47</v>
      </c>
      <c r="Q14" s="503">
        <v>69</v>
      </c>
      <c r="R14" s="503">
        <v>63</v>
      </c>
      <c r="S14" s="503">
        <v>66</v>
      </c>
      <c r="T14" s="503">
        <v>39</v>
      </c>
      <c r="U14" s="513">
        <v>75</v>
      </c>
      <c r="V14" s="505">
        <f t="shared" si="29"/>
        <v>400</v>
      </c>
      <c r="W14" s="505"/>
      <c r="X14" s="505"/>
      <c r="Y14" s="506">
        <v>44</v>
      </c>
      <c r="Z14" s="503">
        <v>45</v>
      </c>
      <c r="AA14" s="503">
        <v>45</v>
      </c>
      <c r="AB14" s="503">
        <v>46</v>
      </c>
      <c r="AC14" s="503">
        <v>54</v>
      </c>
      <c r="AD14" s="503">
        <v>57</v>
      </c>
      <c r="AE14" s="513">
        <v>76</v>
      </c>
      <c r="AF14" s="505">
        <f t="shared" si="30"/>
        <v>367</v>
      </c>
      <c r="AG14" s="505"/>
      <c r="AH14" s="505"/>
      <c r="AI14" s="506">
        <v>0</v>
      </c>
      <c r="AJ14" s="503">
        <v>0</v>
      </c>
      <c r="AK14" s="503">
        <v>0</v>
      </c>
      <c r="AL14" s="503">
        <v>0</v>
      </c>
      <c r="AM14" s="503">
        <v>0</v>
      </c>
      <c r="AN14" s="503">
        <v>0</v>
      </c>
      <c r="AO14" s="513">
        <v>0</v>
      </c>
      <c r="AP14" s="505">
        <f t="shared" si="31"/>
        <v>0</v>
      </c>
      <c r="AQ14" s="505"/>
      <c r="AR14" s="505"/>
      <c r="AS14" s="515"/>
    </row>
    <row r="15" spans="1:45" ht="16.5" customHeight="1">
      <c r="A15" s="517" t="str">
        <f>A13</f>
        <v>쿠팡</v>
      </c>
      <c r="B15" s="686"/>
      <c r="C15" s="518">
        <v>46158</v>
      </c>
      <c r="D15" s="507" t="s">
        <v>472</v>
      </c>
      <c r="E15" s="508">
        <v>0</v>
      </c>
      <c r="F15" s="508">
        <v>0</v>
      </c>
      <c r="G15" s="508">
        <v>0</v>
      </c>
      <c r="H15" s="508">
        <v>0</v>
      </c>
      <c r="I15" s="508">
        <v>0</v>
      </c>
      <c r="J15" s="508">
        <v>0</v>
      </c>
      <c r="K15" s="519">
        <v>0</v>
      </c>
      <c r="L15" s="509">
        <f t="shared" si="28"/>
        <v>0</v>
      </c>
      <c r="M15" s="510"/>
      <c r="N15" s="510"/>
      <c r="O15" s="511">
        <v>0</v>
      </c>
      <c r="P15" s="508">
        <v>0</v>
      </c>
      <c r="Q15" s="508">
        <v>0</v>
      </c>
      <c r="R15" s="508">
        <v>0</v>
      </c>
      <c r="S15" s="508">
        <v>0</v>
      </c>
      <c r="T15" s="508">
        <v>0</v>
      </c>
      <c r="U15" s="519">
        <v>0</v>
      </c>
      <c r="V15" s="510">
        <f t="shared" si="29"/>
        <v>0</v>
      </c>
      <c r="W15" s="510"/>
      <c r="X15" s="510"/>
      <c r="Y15" s="511">
        <v>0</v>
      </c>
      <c r="Z15" s="508">
        <v>0</v>
      </c>
      <c r="AA15" s="508">
        <v>0</v>
      </c>
      <c r="AB15" s="508">
        <v>0</v>
      </c>
      <c r="AC15" s="508">
        <v>0</v>
      </c>
      <c r="AD15" s="508">
        <v>0</v>
      </c>
      <c r="AE15" s="519">
        <v>0</v>
      </c>
      <c r="AF15" s="510">
        <f t="shared" si="30"/>
        <v>0</v>
      </c>
      <c r="AG15" s="510"/>
      <c r="AH15" s="510"/>
      <c r="AI15" s="511">
        <v>53</v>
      </c>
      <c r="AJ15" s="508">
        <v>71</v>
      </c>
      <c r="AK15" s="508">
        <v>48</v>
      </c>
      <c r="AL15" s="508">
        <v>51</v>
      </c>
      <c r="AM15" s="508">
        <v>49</v>
      </c>
      <c r="AN15" s="508">
        <v>71</v>
      </c>
      <c r="AO15" s="519">
        <v>61</v>
      </c>
      <c r="AP15" s="510">
        <f t="shared" si="31"/>
        <v>404</v>
      </c>
      <c r="AQ15" s="510"/>
      <c r="AR15" s="510"/>
      <c r="AS15" s="515"/>
    </row>
    <row r="16" spans="1:45" ht="16.5" customHeight="1">
      <c r="A16" s="512" t="s">
        <v>294</v>
      </c>
      <c r="B16" s="685" t="s">
        <v>294</v>
      </c>
      <c r="C16" s="496">
        <v>45915</v>
      </c>
      <c r="D16" s="495" t="s">
        <v>467</v>
      </c>
      <c r="E16" s="503">
        <v>0</v>
      </c>
      <c r="F16" s="503">
        <v>0</v>
      </c>
      <c r="G16" s="503">
        <v>0</v>
      </c>
      <c r="H16" s="503">
        <v>0</v>
      </c>
      <c r="I16" s="503">
        <v>0</v>
      </c>
      <c r="J16" s="503">
        <v>0</v>
      </c>
      <c r="K16" s="513">
        <v>0</v>
      </c>
      <c r="L16" s="504">
        <f t="shared" si="28"/>
        <v>0</v>
      </c>
      <c r="M16" s="505"/>
      <c r="N16" s="505"/>
      <c r="O16" s="506">
        <v>0</v>
      </c>
      <c r="P16" s="503">
        <v>0</v>
      </c>
      <c r="Q16" s="503">
        <v>0</v>
      </c>
      <c r="R16" s="503">
        <v>0</v>
      </c>
      <c r="S16" s="503">
        <v>0</v>
      </c>
      <c r="T16" s="503">
        <v>0</v>
      </c>
      <c r="U16" s="513">
        <v>0</v>
      </c>
      <c r="V16" s="505">
        <f t="shared" si="29"/>
        <v>0</v>
      </c>
      <c r="W16" s="505"/>
      <c r="X16" s="505"/>
      <c r="Y16" s="506">
        <v>0</v>
      </c>
      <c r="Z16" s="503">
        <v>0</v>
      </c>
      <c r="AA16" s="503">
        <v>0</v>
      </c>
      <c r="AB16" s="503">
        <v>20</v>
      </c>
      <c r="AC16" s="503">
        <v>0</v>
      </c>
      <c r="AD16" s="503">
        <v>0</v>
      </c>
      <c r="AE16" s="513">
        <v>0</v>
      </c>
      <c r="AF16" s="505">
        <f t="shared" si="30"/>
        <v>20</v>
      </c>
      <c r="AG16" s="505"/>
      <c r="AH16" s="505"/>
      <c r="AI16" s="506">
        <v>0</v>
      </c>
      <c r="AJ16" s="503">
        <v>0</v>
      </c>
      <c r="AK16" s="503">
        <v>0</v>
      </c>
      <c r="AL16" s="503">
        <v>0</v>
      </c>
      <c r="AM16" s="503">
        <v>0</v>
      </c>
      <c r="AN16" s="503">
        <v>0</v>
      </c>
      <c r="AO16" s="513">
        <v>0</v>
      </c>
      <c r="AP16" s="505">
        <f t="shared" si="31"/>
        <v>0</v>
      </c>
      <c r="AQ16" s="505"/>
      <c r="AR16" s="505"/>
      <c r="AS16" s="515"/>
    </row>
    <row r="17" spans="1:45" ht="16.5" customHeight="1">
      <c r="A17" s="516" t="s">
        <v>294</v>
      </c>
      <c r="B17" s="584"/>
      <c r="C17" s="496">
        <v>45803</v>
      </c>
      <c r="D17" s="495" t="s">
        <v>468</v>
      </c>
      <c r="E17" s="503">
        <v>0</v>
      </c>
      <c r="F17" s="503">
        <v>0</v>
      </c>
      <c r="G17" s="503">
        <v>0</v>
      </c>
      <c r="H17" s="503">
        <v>0</v>
      </c>
      <c r="I17" s="503">
        <v>0</v>
      </c>
      <c r="J17" s="503">
        <v>0</v>
      </c>
      <c r="K17" s="513">
        <v>0</v>
      </c>
      <c r="L17" s="504">
        <f t="shared" si="28"/>
        <v>0</v>
      </c>
      <c r="M17" s="505"/>
      <c r="N17" s="505"/>
      <c r="O17" s="506">
        <v>0</v>
      </c>
      <c r="P17" s="503">
        <v>0</v>
      </c>
      <c r="Q17" s="503">
        <v>0</v>
      </c>
      <c r="R17" s="503">
        <v>48</v>
      </c>
      <c r="S17" s="503">
        <v>0</v>
      </c>
      <c r="T17" s="503">
        <v>0</v>
      </c>
      <c r="U17" s="513">
        <v>0</v>
      </c>
      <c r="V17" s="505">
        <f t="shared" si="29"/>
        <v>48</v>
      </c>
      <c r="W17" s="505"/>
      <c r="X17" s="505"/>
      <c r="Y17" s="506">
        <v>0</v>
      </c>
      <c r="Z17" s="503">
        <v>0</v>
      </c>
      <c r="AA17" s="503">
        <v>0</v>
      </c>
      <c r="AB17" s="503">
        <v>24</v>
      </c>
      <c r="AC17" s="503">
        <v>0</v>
      </c>
      <c r="AD17" s="503">
        <v>0</v>
      </c>
      <c r="AE17" s="513">
        <v>0</v>
      </c>
      <c r="AF17" s="505">
        <f t="shared" si="30"/>
        <v>24</v>
      </c>
      <c r="AG17" s="505"/>
      <c r="AH17" s="505"/>
      <c r="AI17" s="506">
        <v>0</v>
      </c>
      <c r="AJ17" s="503">
        <v>0</v>
      </c>
      <c r="AK17" s="503">
        <v>0</v>
      </c>
      <c r="AL17" s="503">
        <v>0</v>
      </c>
      <c r="AM17" s="503">
        <v>0</v>
      </c>
      <c r="AN17" s="503">
        <v>0</v>
      </c>
      <c r="AO17" s="513">
        <v>0</v>
      </c>
      <c r="AP17" s="505">
        <f t="shared" si="31"/>
        <v>0</v>
      </c>
      <c r="AQ17" s="505"/>
      <c r="AR17" s="505"/>
      <c r="AS17" s="515"/>
    </row>
    <row r="18" spans="1:45" ht="16.5" customHeight="1">
      <c r="A18" s="516" t="str">
        <f>A16</f>
        <v>컬리</v>
      </c>
      <c r="B18" s="584"/>
      <c r="C18" s="496">
        <v>45843</v>
      </c>
      <c r="D18" s="495" t="s">
        <v>468</v>
      </c>
      <c r="E18" s="503">
        <v>0</v>
      </c>
      <c r="F18" s="503">
        <v>0</v>
      </c>
      <c r="G18" s="503">
        <v>0</v>
      </c>
      <c r="H18" s="503">
        <v>0</v>
      </c>
      <c r="I18" s="503">
        <v>0</v>
      </c>
      <c r="J18" s="503">
        <v>0</v>
      </c>
      <c r="K18" s="513">
        <v>0</v>
      </c>
      <c r="L18" s="504">
        <f t="shared" si="28"/>
        <v>0</v>
      </c>
      <c r="M18" s="505"/>
      <c r="N18" s="505"/>
      <c r="O18" s="506">
        <v>0</v>
      </c>
      <c r="P18" s="503">
        <v>0</v>
      </c>
      <c r="Q18" s="503">
        <v>0</v>
      </c>
      <c r="R18" s="503">
        <v>0</v>
      </c>
      <c r="S18" s="503">
        <v>0</v>
      </c>
      <c r="T18" s="503">
        <v>0</v>
      </c>
      <c r="U18" s="513">
        <v>0</v>
      </c>
      <c r="V18" s="505">
        <f t="shared" si="29"/>
        <v>0</v>
      </c>
      <c r="W18" s="505"/>
      <c r="X18" s="505"/>
      <c r="Y18" s="506">
        <v>0</v>
      </c>
      <c r="Z18" s="503">
        <v>0</v>
      </c>
      <c r="AA18" s="503">
        <v>0</v>
      </c>
      <c r="AB18" s="503">
        <v>0</v>
      </c>
      <c r="AC18" s="503">
        <v>0</v>
      </c>
      <c r="AD18" s="503">
        <v>0</v>
      </c>
      <c r="AE18" s="513">
        <v>0</v>
      </c>
      <c r="AF18" s="505">
        <f t="shared" si="30"/>
        <v>0</v>
      </c>
      <c r="AG18" s="505"/>
      <c r="AH18" s="505"/>
      <c r="AI18" s="506">
        <v>0</v>
      </c>
      <c r="AJ18" s="503">
        <v>0</v>
      </c>
      <c r="AK18" s="503">
        <v>0</v>
      </c>
      <c r="AL18" s="503">
        <v>0</v>
      </c>
      <c r="AM18" s="503">
        <v>0</v>
      </c>
      <c r="AN18" s="503">
        <v>0</v>
      </c>
      <c r="AO18" s="513">
        <v>0</v>
      </c>
      <c r="AP18" s="505">
        <f t="shared" si="31"/>
        <v>0</v>
      </c>
      <c r="AQ18" s="505"/>
      <c r="AR18" s="505"/>
      <c r="AS18" s="515"/>
    </row>
    <row r="19" spans="1:45" ht="16.5" customHeight="1">
      <c r="A19" s="516" t="s">
        <v>294</v>
      </c>
      <c r="B19" s="584"/>
      <c r="C19" s="496">
        <v>45795</v>
      </c>
      <c r="D19" s="495" t="s">
        <v>469</v>
      </c>
      <c r="E19" s="503">
        <v>0</v>
      </c>
      <c r="F19" s="503">
        <v>0</v>
      </c>
      <c r="G19" s="503">
        <v>0</v>
      </c>
      <c r="H19" s="503">
        <v>0</v>
      </c>
      <c r="I19" s="503">
        <v>0</v>
      </c>
      <c r="J19" s="503">
        <v>0</v>
      </c>
      <c r="K19" s="513">
        <v>0</v>
      </c>
      <c r="L19" s="504">
        <f t="shared" si="28"/>
        <v>0</v>
      </c>
      <c r="M19" s="505"/>
      <c r="N19" s="505"/>
      <c r="O19" s="506">
        <v>0</v>
      </c>
      <c r="P19" s="503">
        <v>0</v>
      </c>
      <c r="Q19" s="503">
        <v>0</v>
      </c>
      <c r="R19" s="503">
        <v>24</v>
      </c>
      <c r="S19" s="503">
        <v>0</v>
      </c>
      <c r="T19" s="503">
        <v>0</v>
      </c>
      <c r="U19" s="513">
        <v>0</v>
      </c>
      <c r="V19" s="505">
        <f t="shared" si="29"/>
        <v>24</v>
      </c>
      <c r="W19" s="505"/>
      <c r="X19" s="505"/>
      <c r="Y19" s="506">
        <v>0</v>
      </c>
      <c r="Z19" s="503">
        <v>0</v>
      </c>
      <c r="AA19" s="503">
        <v>0</v>
      </c>
      <c r="AB19" s="503">
        <v>40</v>
      </c>
      <c r="AC19" s="503">
        <v>0</v>
      </c>
      <c r="AD19" s="503">
        <v>0</v>
      </c>
      <c r="AE19" s="513">
        <v>0</v>
      </c>
      <c r="AF19" s="505">
        <f t="shared" si="30"/>
        <v>40</v>
      </c>
      <c r="AG19" s="505"/>
      <c r="AH19" s="505"/>
      <c r="AI19" s="506">
        <v>0</v>
      </c>
      <c r="AJ19" s="503">
        <v>0</v>
      </c>
      <c r="AK19" s="503">
        <v>0</v>
      </c>
      <c r="AL19" s="503">
        <v>0</v>
      </c>
      <c r="AM19" s="503">
        <v>0</v>
      </c>
      <c r="AN19" s="503">
        <v>0</v>
      </c>
      <c r="AO19" s="513">
        <v>0</v>
      </c>
      <c r="AP19" s="505">
        <f t="shared" si="31"/>
        <v>0</v>
      </c>
      <c r="AQ19" s="505"/>
      <c r="AR19" s="505"/>
      <c r="AS19" s="515"/>
    </row>
    <row r="20" spans="1:45" ht="16.5" customHeight="1">
      <c r="A20" s="516" t="str">
        <f>A18</f>
        <v>컬리</v>
      </c>
      <c r="B20" s="584"/>
      <c r="C20" s="496">
        <v>45850</v>
      </c>
      <c r="D20" s="495" t="s">
        <v>469</v>
      </c>
      <c r="E20" s="503">
        <v>0</v>
      </c>
      <c r="F20" s="503">
        <v>0</v>
      </c>
      <c r="G20" s="503">
        <v>0</v>
      </c>
      <c r="H20" s="503">
        <v>0</v>
      </c>
      <c r="I20" s="503">
        <v>0</v>
      </c>
      <c r="J20" s="503">
        <v>0</v>
      </c>
      <c r="K20" s="513">
        <v>0</v>
      </c>
      <c r="L20" s="504">
        <f t="shared" si="28"/>
        <v>0</v>
      </c>
      <c r="M20" s="505"/>
      <c r="N20" s="505"/>
      <c r="O20" s="506">
        <v>0</v>
      </c>
      <c r="P20" s="503">
        <v>0</v>
      </c>
      <c r="Q20" s="503">
        <v>0</v>
      </c>
      <c r="R20" s="503">
        <v>0</v>
      </c>
      <c r="S20" s="503">
        <v>0</v>
      </c>
      <c r="T20" s="503">
        <v>0</v>
      </c>
      <c r="U20" s="513">
        <v>0</v>
      </c>
      <c r="V20" s="505">
        <f t="shared" si="29"/>
        <v>0</v>
      </c>
      <c r="W20" s="505"/>
      <c r="X20" s="505"/>
      <c r="Y20" s="506">
        <v>0</v>
      </c>
      <c r="Z20" s="503">
        <v>0</v>
      </c>
      <c r="AA20" s="503">
        <v>0</v>
      </c>
      <c r="AB20" s="503">
        <v>0</v>
      </c>
      <c r="AC20" s="503">
        <v>0</v>
      </c>
      <c r="AD20" s="503">
        <v>0</v>
      </c>
      <c r="AE20" s="513">
        <v>0</v>
      </c>
      <c r="AF20" s="505">
        <f t="shared" si="30"/>
        <v>0</v>
      </c>
      <c r="AG20" s="505"/>
      <c r="AH20" s="505"/>
      <c r="AI20" s="506">
        <v>0</v>
      </c>
      <c r="AJ20" s="503">
        <v>0</v>
      </c>
      <c r="AK20" s="503">
        <v>0</v>
      </c>
      <c r="AL20" s="503">
        <v>0</v>
      </c>
      <c r="AM20" s="503">
        <v>0</v>
      </c>
      <c r="AN20" s="503">
        <v>0</v>
      </c>
      <c r="AO20" s="513">
        <v>0</v>
      </c>
      <c r="AP20" s="505">
        <f t="shared" si="31"/>
        <v>0</v>
      </c>
      <c r="AQ20" s="505"/>
      <c r="AR20" s="505"/>
      <c r="AS20" s="515"/>
    </row>
    <row r="21" spans="1:45" ht="16.5" customHeight="1">
      <c r="A21" s="516" t="str">
        <f t="shared" ref="A21:A23" si="33">A20</f>
        <v>컬리</v>
      </c>
      <c r="B21" s="584"/>
      <c r="C21" s="496">
        <v>46122</v>
      </c>
      <c r="D21" s="495" t="s">
        <v>470</v>
      </c>
      <c r="E21" s="503">
        <v>0</v>
      </c>
      <c r="F21" s="503">
        <v>0</v>
      </c>
      <c r="G21" s="503">
        <v>0</v>
      </c>
      <c r="H21" s="503">
        <v>0</v>
      </c>
      <c r="I21" s="503">
        <v>0</v>
      </c>
      <c r="J21" s="503">
        <v>0</v>
      </c>
      <c r="K21" s="513">
        <v>0</v>
      </c>
      <c r="L21" s="504">
        <f t="shared" si="28"/>
        <v>0</v>
      </c>
      <c r="M21" s="505"/>
      <c r="N21" s="505"/>
      <c r="O21" s="506">
        <v>0</v>
      </c>
      <c r="P21" s="503">
        <v>0</v>
      </c>
      <c r="Q21" s="503">
        <v>0</v>
      </c>
      <c r="R21" s="503">
        <v>76</v>
      </c>
      <c r="S21" s="503">
        <v>0</v>
      </c>
      <c r="T21" s="503">
        <v>0</v>
      </c>
      <c r="U21" s="513">
        <v>0</v>
      </c>
      <c r="V21" s="505">
        <f t="shared" si="29"/>
        <v>76</v>
      </c>
      <c r="W21" s="505"/>
      <c r="X21" s="505"/>
      <c r="Y21" s="506">
        <v>0</v>
      </c>
      <c r="Z21" s="503">
        <v>0</v>
      </c>
      <c r="AA21" s="503">
        <v>0</v>
      </c>
      <c r="AB21" s="503">
        <v>96</v>
      </c>
      <c r="AC21" s="503">
        <v>0</v>
      </c>
      <c r="AD21" s="503">
        <v>0</v>
      </c>
      <c r="AE21" s="513">
        <v>0</v>
      </c>
      <c r="AF21" s="505">
        <f t="shared" si="30"/>
        <v>96</v>
      </c>
      <c r="AG21" s="505"/>
      <c r="AH21" s="505"/>
      <c r="AI21" s="506">
        <v>0</v>
      </c>
      <c r="AJ21" s="503">
        <v>0</v>
      </c>
      <c r="AK21" s="503">
        <v>0</v>
      </c>
      <c r="AL21" s="503">
        <v>0</v>
      </c>
      <c r="AM21" s="503">
        <v>0</v>
      </c>
      <c r="AN21" s="503">
        <v>0</v>
      </c>
      <c r="AO21" s="513">
        <v>0</v>
      </c>
      <c r="AP21" s="505">
        <f t="shared" si="31"/>
        <v>0</v>
      </c>
      <c r="AQ21" s="505"/>
      <c r="AR21" s="505"/>
      <c r="AS21" s="515"/>
    </row>
    <row r="22" spans="1:45" ht="16.5" customHeight="1">
      <c r="A22" s="516" t="str">
        <f t="shared" si="33"/>
        <v>컬리</v>
      </c>
      <c r="B22" s="584"/>
      <c r="C22" s="496">
        <v>46067</v>
      </c>
      <c r="D22" s="495" t="s">
        <v>471</v>
      </c>
      <c r="E22" s="503">
        <v>0</v>
      </c>
      <c r="F22" s="503">
        <v>0</v>
      </c>
      <c r="G22" s="503">
        <v>0</v>
      </c>
      <c r="H22" s="503">
        <v>0</v>
      </c>
      <c r="I22" s="503">
        <v>0</v>
      </c>
      <c r="J22" s="503">
        <v>0</v>
      </c>
      <c r="K22" s="513">
        <v>0</v>
      </c>
      <c r="L22" s="504">
        <f t="shared" si="28"/>
        <v>0</v>
      </c>
      <c r="M22" s="505"/>
      <c r="N22" s="505"/>
      <c r="O22" s="506">
        <v>0</v>
      </c>
      <c r="P22" s="503">
        <v>0</v>
      </c>
      <c r="Q22" s="503">
        <v>0</v>
      </c>
      <c r="R22" s="503">
        <v>188</v>
      </c>
      <c r="S22" s="503">
        <v>0</v>
      </c>
      <c r="T22" s="503">
        <v>0</v>
      </c>
      <c r="U22" s="513">
        <v>0</v>
      </c>
      <c r="V22" s="505">
        <f t="shared" si="29"/>
        <v>188</v>
      </c>
      <c r="W22" s="505"/>
      <c r="X22" s="505"/>
      <c r="Y22" s="506">
        <v>0</v>
      </c>
      <c r="Z22" s="503">
        <v>0</v>
      </c>
      <c r="AA22" s="503">
        <v>0</v>
      </c>
      <c r="AB22" s="503">
        <v>92</v>
      </c>
      <c r="AC22" s="503">
        <v>0</v>
      </c>
      <c r="AD22" s="503">
        <v>0</v>
      </c>
      <c r="AE22" s="513">
        <v>0</v>
      </c>
      <c r="AF22" s="505">
        <f t="shared" si="30"/>
        <v>92</v>
      </c>
      <c r="AG22" s="505"/>
      <c r="AH22" s="505"/>
      <c r="AI22" s="506">
        <v>0</v>
      </c>
      <c r="AJ22" s="503">
        <v>0</v>
      </c>
      <c r="AK22" s="503">
        <v>0</v>
      </c>
      <c r="AL22" s="503">
        <v>0</v>
      </c>
      <c r="AM22" s="503">
        <v>0</v>
      </c>
      <c r="AN22" s="503">
        <v>0</v>
      </c>
      <c r="AO22" s="513">
        <v>0</v>
      </c>
      <c r="AP22" s="505">
        <f t="shared" si="31"/>
        <v>0</v>
      </c>
      <c r="AQ22" s="505"/>
      <c r="AR22" s="505"/>
      <c r="AS22" s="515"/>
    </row>
    <row r="23" spans="1:45" ht="16.5" customHeight="1">
      <c r="A23" s="517" t="str">
        <f t="shared" si="33"/>
        <v>컬리</v>
      </c>
      <c r="B23" s="686"/>
      <c r="C23" s="518">
        <v>46089</v>
      </c>
      <c r="D23" s="507" t="s">
        <v>472</v>
      </c>
      <c r="E23" s="508">
        <v>0</v>
      </c>
      <c r="F23" s="508">
        <v>0</v>
      </c>
      <c r="G23" s="508">
        <v>0</v>
      </c>
      <c r="H23" s="508">
        <v>0</v>
      </c>
      <c r="I23" s="508">
        <v>0</v>
      </c>
      <c r="J23" s="508">
        <v>0</v>
      </c>
      <c r="K23" s="519">
        <v>0</v>
      </c>
      <c r="L23" s="509">
        <f t="shared" si="28"/>
        <v>0</v>
      </c>
      <c r="M23" s="510"/>
      <c r="N23" s="510"/>
      <c r="O23" s="511">
        <v>0</v>
      </c>
      <c r="P23" s="508">
        <v>0</v>
      </c>
      <c r="Q23" s="508">
        <v>0</v>
      </c>
      <c r="R23" s="508">
        <v>76</v>
      </c>
      <c r="S23" s="508">
        <v>0</v>
      </c>
      <c r="T23" s="508">
        <v>0</v>
      </c>
      <c r="U23" s="519">
        <v>0</v>
      </c>
      <c r="V23" s="510">
        <f t="shared" si="29"/>
        <v>76</v>
      </c>
      <c r="W23" s="510"/>
      <c r="X23" s="510"/>
      <c r="Y23" s="511">
        <v>0</v>
      </c>
      <c r="Z23" s="508">
        <v>0</v>
      </c>
      <c r="AA23" s="508">
        <v>0</v>
      </c>
      <c r="AB23" s="508">
        <v>16</v>
      </c>
      <c r="AC23" s="508">
        <v>0</v>
      </c>
      <c r="AD23" s="508">
        <v>0</v>
      </c>
      <c r="AE23" s="519">
        <v>0</v>
      </c>
      <c r="AF23" s="510">
        <f t="shared" si="30"/>
        <v>16</v>
      </c>
      <c r="AG23" s="510"/>
      <c r="AH23" s="510"/>
      <c r="AI23" s="511">
        <v>0</v>
      </c>
      <c r="AJ23" s="508">
        <v>0</v>
      </c>
      <c r="AK23" s="508">
        <v>0</v>
      </c>
      <c r="AL23" s="508">
        <v>0</v>
      </c>
      <c r="AM23" s="508">
        <v>0</v>
      </c>
      <c r="AN23" s="508">
        <v>0</v>
      </c>
      <c r="AO23" s="519">
        <v>0</v>
      </c>
      <c r="AP23" s="510">
        <f t="shared" si="31"/>
        <v>0</v>
      </c>
      <c r="AQ23" s="510"/>
      <c r="AR23" s="510"/>
      <c r="AS23" s="515"/>
    </row>
    <row r="24" spans="1:45" ht="16.5" customHeight="1">
      <c r="A24" s="512" t="s">
        <v>479</v>
      </c>
      <c r="B24" s="685" t="s">
        <v>479</v>
      </c>
      <c r="C24" s="496">
        <v>45768</v>
      </c>
      <c r="D24" s="495" t="s">
        <v>467</v>
      </c>
      <c r="E24" s="503">
        <v>2</v>
      </c>
      <c r="F24" s="503">
        <v>6</v>
      </c>
      <c r="G24" s="503">
        <v>12</v>
      </c>
      <c r="H24" s="503">
        <v>13</v>
      </c>
      <c r="I24" s="503">
        <v>8</v>
      </c>
      <c r="J24" s="503">
        <v>4</v>
      </c>
      <c r="K24" s="513">
        <v>7</v>
      </c>
      <c r="L24" s="504">
        <f t="shared" si="28"/>
        <v>52</v>
      </c>
      <c r="M24" s="505"/>
      <c r="N24" s="505"/>
      <c r="O24" s="506">
        <v>15</v>
      </c>
      <c r="P24" s="503">
        <v>4</v>
      </c>
      <c r="Q24" s="503">
        <v>10</v>
      </c>
      <c r="R24" s="503">
        <v>14</v>
      </c>
      <c r="S24" s="503">
        <v>11</v>
      </c>
      <c r="T24" s="503">
        <v>0</v>
      </c>
      <c r="U24" s="513">
        <v>7</v>
      </c>
      <c r="V24" s="505">
        <f t="shared" si="29"/>
        <v>61</v>
      </c>
      <c r="W24" s="505"/>
      <c r="X24" s="505"/>
      <c r="Y24" s="506">
        <v>16</v>
      </c>
      <c r="Z24" s="503">
        <v>9</v>
      </c>
      <c r="AA24" s="503">
        <v>2</v>
      </c>
      <c r="AB24" s="503">
        <v>6</v>
      </c>
      <c r="AC24" s="503">
        <v>9</v>
      </c>
      <c r="AD24" s="503">
        <v>11</v>
      </c>
      <c r="AE24" s="513">
        <v>11</v>
      </c>
      <c r="AF24" s="505">
        <f t="shared" si="30"/>
        <v>64</v>
      </c>
      <c r="AG24" s="505"/>
      <c r="AH24" s="505"/>
      <c r="AI24" s="506">
        <v>7</v>
      </c>
      <c r="AJ24" s="503">
        <v>6</v>
      </c>
      <c r="AK24" s="503">
        <v>7</v>
      </c>
      <c r="AL24" s="503">
        <v>9</v>
      </c>
      <c r="AM24" s="503">
        <v>5</v>
      </c>
      <c r="AN24" s="503">
        <v>6</v>
      </c>
      <c r="AO24" s="513">
        <v>14</v>
      </c>
      <c r="AP24" s="505">
        <f t="shared" si="31"/>
        <v>54</v>
      </c>
      <c r="AQ24" s="505"/>
      <c r="AR24" s="505"/>
      <c r="AS24" s="515"/>
    </row>
    <row r="25" spans="1:45" ht="16.5" customHeight="1">
      <c r="A25" s="516" t="str">
        <f t="shared" ref="A25:A29" si="34">A24</f>
        <v>이마트-온라인</v>
      </c>
      <c r="B25" s="584"/>
      <c r="C25" s="496">
        <v>45803</v>
      </c>
      <c r="D25" s="495" t="s">
        <v>468</v>
      </c>
      <c r="E25" s="503">
        <v>6</v>
      </c>
      <c r="F25" s="503">
        <v>11</v>
      </c>
      <c r="G25" s="503">
        <v>9</v>
      </c>
      <c r="H25" s="503">
        <v>11</v>
      </c>
      <c r="I25" s="503">
        <v>3</v>
      </c>
      <c r="J25" s="503">
        <v>11</v>
      </c>
      <c r="K25" s="513">
        <v>5</v>
      </c>
      <c r="L25" s="504">
        <f t="shared" si="28"/>
        <v>56</v>
      </c>
      <c r="M25" s="505"/>
      <c r="N25" s="505"/>
      <c r="O25" s="506">
        <v>6</v>
      </c>
      <c r="P25" s="503">
        <v>8</v>
      </c>
      <c r="Q25" s="503">
        <v>8</v>
      </c>
      <c r="R25" s="503">
        <v>15</v>
      </c>
      <c r="S25" s="503">
        <v>7</v>
      </c>
      <c r="T25" s="503">
        <v>0</v>
      </c>
      <c r="U25" s="513">
        <v>2</v>
      </c>
      <c r="V25" s="505">
        <f t="shared" si="29"/>
        <v>46</v>
      </c>
      <c r="W25" s="505"/>
      <c r="X25" s="505"/>
      <c r="Y25" s="506">
        <v>8</v>
      </c>
      <c r="Z25" s="503">
        <v>10</v>
      </c>
      <c r="AA25" s="503">
        <v>4</v>
      </c>
      <c r="AB25" s="503">
        <v>9</v>
      </c>
      <c r="AC25" s="503">
        <v>11</v>
      </c>
      <c r="AD25" s="503">
        <v>6</v>
      </c>
      <c r="AE25" s="513">
        <v>12</v>
      </c>
      <c r="AF25" s="505">
        <f t="shared" si="30"/>
        <v>60</v>
      </c>
      <c r="AG25" s="505"/>
      <c r="AH25" s="505"/>
      <c r="AI25" s="506">
        <v>7</v>
      </c>
      <c r="AJ25" s="503">
        <v>9</v>
      </c>
      <c r="AK25" s="503">
        <v>12</v>
      </c>
      <c r="AL25" s="503">
        <v>10</v>
      </c>
      <c r="AM25" s="503">
        <v>3</v>
      </c>
      <c r="AN25" s="503">
        <v>4</v>
      </c>
      <c r="AO25" s="513">
        <v>8</v>
      </c>
      <c r="AP25" s="505">
        <f t="shared" si="31"/>
        <v>53</v>
      </c>
      <c r="AQ25" s="505"/>
      <c r="AR25" s="505"/>
      <c r="AS25" s="515"/>
    </row>
    <row r="26" spans="1:45" ht="16.5" customHeight="1">
      <c r="A26" s="516" t="str">
        <f t="shared" si="34"/>
        <v>이마트-온라인</v>
      </c>
      <c r="B26" s="584"/>
      <c r="C26" s="496">
        <v>45795</v>
      </c>
      <c r="D26" s="495" t="s">
        <v>469</v>
      </c>
      <c r="E26" s="503">
        <v>5</v>
      </c>
      <c r="F26" s="503">
        <v>3</v>
      </c>
      <c r="G26" s="503">
        <v>1</v>
      </c>
      <c r="H26" s="503">
        <v>6</v>
      </c>
      <c r="I26" s="503">
        <v>5</v>
      </c>
      <c r="J26" s="503">
        <v>5</v>
      </c>
      <c r="K26" s="513">
        <v>6</v>
      </c>
      <c r="L26" s="504">
        <f t="shared" si="28"/>
        <v>31</v>
      </c>
      <c r="M26" s="505"/>
      <c r="N26" s="505"/>
      <c r="O26" s="506">
        <v>4</v>
      </c>
      <c r="P26" s="503">
        <v>2</v>
      </c>
      <c r="Q26" s="503">
        <v>7</v>
      </c>
      <c r="R26" s="503">
        <v>8</v>
      </c>
      <c r="S26" s="503">
        <v>4</v>
      </c>
      <c r="T26" s="503">
        <v>3</v>
      </c>
      <c r="U26" s="513">
        <v>5</v>
      </c>
      <c r="V26" s="505">
        <f t="shared" si="29"/>
        <v>33</v>
      </c>
      <c r="W26" s="505"/>
      <c r="X26" s="505"/>
      <c r="Y26" s="506">
        <v>8</v>
      </c>
      <c r="Z26" s="503">
        <v>1</v>
      </c>
      <c r="AA26" s="503">
        <v>9</v>
      </c>
      <c r="AB26" s="503">
        <v>5</v>
      </c>
      <c r="AC26" s="503">
        <v>6</v>
      </c>
      <c r="AD26" s="503">
        <v>2</v>
      </c>
      <c r="AE26" s="513">
        <v>4</v>
      </c>
      <c r="AF26" s="505">
        <f t="shared" si="30"/>
        <v>35</v>
      </c>
      <c r="AG26" s="505"/>
      <c r="AH26" s="505"/>
      <c r="AI26" s="506">
        <v>8</v>
      </c>
      <c r="AJ26" s="503">
        <v>4</v>
      </c>
      <c r="AK26" s="503">
        <v>4</v>
      </c>
      <c r="AL26" s="503">
        <v>5</v>
      </c>
      <c r="AM26" s="503">
        <v>2</v>
      </c>
      <c r="AN26" s="503">
        <v>2</v>
      </c>
      <c r="AO26" s="513">
        <v>4</v>
      </c>
      <c r="AP26" s="505">
        <f t="shared" si="31"/>
        <v>29</v>
      </c>
      <c r="AQ26" s="505"/>
      <c r="AR26" s="505"/>
      <c r="AS26" s="515"/>
    </row>
    <row r="27" spans="1:45" ht="16.5" customHeight="1">
      <c r="A27" s="516" t="str">
        <f t="shared" si="34"/>
        <v>이마트-온라인</v>
      </c>
      <c r="B27" s="584"/>
      <c r="C27" s="496">
        <v>46122</v>
      </c>
      <c r="D27" s="495" t="s">
        <v>470</v>
      </c>
      <c r="E27" s="503">
        <v>5</v>
      </c>
      <c r="F27" s="503">
        <v>13</v>
      </c>
      <c r="G27" s="503">
        <v>12</v>
      </c>
      <c r="H27" s="503">
        <v>6</v>
      </c>
      <c r="I27" s="503">
        <v>8</v>
      </c>
      <c r="J27" s="503">
        <v>11</v>
      </c>
      <c r="K27" s="513">
        <v>9</v>
      </c>
      <c r="L27" s="504">
        <f t="shared" si="28"/>
        <v>64</v>
      </c>
      <c r="M27" s="505"/>
      <c r="N27" s="505"/>
      <c r="O27" s="506">
        <v>3</v>
      </c>
      <c r="P27" s="503">
        <v>9</v>
      </c>
      <c r="Q27" s="503">
        <v>14</v>
      </c>
      <c r="R27" s="503">
        <v>11</v>
      </c>
      <c r="S27" s="503">
        <v>11</v>
      </c>
      <c r="T27" s="503">
        <v>3</v>
      </c>
      <c r="U27" s="513">
        <v>7</v>
      </c>
      <c r="V27" s="505">
        <f t="shared" si="29"/>
        <v>58</v>
      </c>
      <c r="W27" s="505"/>
      <c r="X27" s="505"/>
      <c r="Y27" s="506">
        <v>10</v>
      </c>
      <c r="Z27" s="503">
        <v>7</v>
      </c>
      <c r="AA27" s="503">
        <v>5</v>
      </c>
      <c r="AB27" s="503">
        <v>6</v>
      </c>
      <c r="AC27" s="503">
        <v>2</v>
      </c>
      <c r="AD27" s="503">
        <v>12</v>
      </c>
      <c r="AE27" s="513">
        <v>14</v>
      </c>
      <c r="AF27" s="505">
        <f t="shared" si="30"/>
        <v>56</v>
      </c>
      <c r="AG27" s="505"/>
      <c r="AH27" s="505"/>
      <c r="AI27" s="506">
        <v>8</v>
      </c>
      <c r="AJ27" s="503">
        <v>2</v>
      </c>
      <c r="AK27" s="503">
        <v>11</v>
      </c>
      <c r="AL27" s="503">
        <v>9</v>
      </c>
      <c r="AM27" s="503">
        <v>13</v>
      </c>
      <c r="AN27" s="503">
        <v>2</v>
      </c>
      <c r="AO27" s="513">
        <v>13</v>
      </c>
      <c r="AP27" s="505">
        <f t="shared" si="31"/>
        <v>58</v>
      </c>
      <c r="AQ27" s="505"/>
      <c r="AR27" s="505"/>
      <c r="AS27" s="515"/>
    </row>
    <row r="28" spans="1:45" ht="16.5" customHeight="1">
      <c r="A28" s="516" t="str">
        <f t="shared" si="34"/>
        <v>이마트-온라인</v>
      </c>
      <c r="B28" s="584"/>
      <c r="C28" s="496">
        <v>46067</v>
      </c>
      <c r="D28" s="495" t="s">
        <v>471</v>
      </c>
      <c r="E28" s="503">
        <v>10</v>
      </c>
      <c r="F28" s="503">
        <v>14</v>
      </c>
      <c r="G28" s="503">
        <v>15</v>
      </c>
      <c r="H28" s="503">
        <v>7</v>
      </c>
      <c r="I28" s="503">
        <v>12</v>
      </c>
      <c r="J28" s="503">
        <v>11</v>
      </c>
      <c r="K28" s="513">
        <v>18</v>
      </c>
      <c r="L28" s="504">
        <f t="shared" si="28"/>
        <v>87</v>
      </c>
      <c r="M28" s="505"/>
      <c r="N28" s="505"/>
      <c r="O28" s="506">
        <v>20</v>
      </c>
      <c r="P28" s="503">
        <v>5</v>
      </c>
      <c r="Q28" s="503">
        <v>4</v>
      </c>
      <c r="R28" s="503">
        <v>8</v>
      </c>
      <c r="S28" s="503">
        <v>11</v>
      </c>
      <c r="T28" s="503">
        <v>8</v>
      </c>
      <c r="U28" s="513">
        <v>18</v>
      </c>
      <c r="V28" s="505">
        <f t="shared" si="29"/>
        <v>74</v>
      </c>
      <c r="W28" s="505"/>
      <c r="X28" s="505"/>
      <c r="Y28" s="506">
        <v>11</v>
      </c>
      <c r="Z28" s="503">
        <v>9</v>
      </c>
      <c r="AA28" s="503">
        <v>17</v>
      </c>
      <c r="AB28" s="503">
        <v>15</v>
      </c>
      <c r="AC28" s="503">
        <v>8</v>
      </c>
      <c r="AD28" s="503">
        <v>18</v>
      </c>
      <c r="AE28" s="513">
        <v>22</v>
      </c>
      <c r="AF28" s="505">
        <f t="shared" si="30"/>
        <v>100</v>
      </c>
      <c r="AG28" s="505"/>
      <c r="AH28" s="505"/>
      <c r="AI28" s="506">
        <v>10</v>
      </c>
      <c r="AJ28" s="503">
        <v>12</v>
      </c>
      <c r="AK28" s="503">
        <v>14</v>
      </c>
      <c r="AL28" s="503">
        <v>15</v>
      </c>
      <c r="AM28" s="503">
        <v>11</v>
      </c>
      <c r="AN28" s="503">
        <v>1</v>
      </c>
      <c r="AO28" s="513">
        <v>10</v>
      </c>
      <c r="AP28" s="505">
        <f t="shared" si="31"/>
        <v>73</v>
      </c>
      <c r="AQ28" s="505"/>
      <c r="AR28" s="505"/>
      <c r="AS28" s="515"/>
    </row>
    <row r="29" spans="1:45" ht="16.5" customHeight="1">
      <c r="A29" s="517" t="str">
        <f t="shared" si="34"/>
        <v>이마트-온라인</v>
      </c>
      <c r="B29" s="686"/>
      <c r="C29" s="518">
        <v>46089</v>
      </c>
      <c r="D29" s="507" t="s">
        <v>472</v>
      </c>
      <c r="E29" s="508">
        <v>9</v>
      </c>
      <c r="F29" s="508">
        <v>12</v>
      </c>
      <c r="G29" s="508">
        <v>6</v>
      </c>
      <c r="H29" s="508">
        <v>3</v>
      </c>
      <c r="I29" s="508">
        <v>8</v>
      </c>
      <c r="J29" s="508">
        <v>3</v>
      </c>
      <c r="K29" s="519">
        <v>3</v>
      </c>
      <c r="L29" s="509">
        <f t="shared" si="28"/>
        <v>44</v>
      </c>
      <c r="M29" s="510"/>
      <c r="N29" s="510"/>
      <c r="O29" s="511">
        <v>6</v>
      </c>
      <c r="P29" s="508">
        <v>3</v>
      </c>
      <c r="Q29" s="508">
        <v>8</v>
      </c>
      <c r="R29" s="508">
        <v>4</v>
      </c>
      <c r="S29" s="508">
        <v>11</v>
      </c>
      <c r="T29" s="508">
        <v>1</v>
      </c>
      <c r="U29" s="519">
        <v>7</v>
      </c>
      <c r="V29" s="510">
        <f t="shared" si="29"/>
        <v>40</v>
      </c>
      <c r="W29" s="510"/>
      <c r="X29" s="510"/>
      <c r="Y29" s="511">
        <v>9</v>
      </c>
      <c r="Z29" s="508">
        <v>7</v>
      </c>
      <c r="AA29" s="508">
        <v>2</v>
      </c>
      <c r="AB29" s="508">
        <v>6</v>
      </c>
      <c r="AC29" s="508">
        <v>4</v>
      </c>
      <c r="AD29" s="508">
        <v>6</v>
      </c>
      <c r="AE29" s="519">
        <v>5</v>
      </c>
      <c r="AF29" s="510">
        <f t="shared" si="30"/>
        <v>39</v>
      </c>
      <c r="AG29" s="510"/>
      <c r="AH29" s="510"/>
      <c r="AI29" s="511">
        <v>12</v>
      </c>
      <c r="AJ29" s="508">
        <v>5</v>
      </c>
      <c r="AK29" s="508">
        <v>5</v>
      </c>
      <c r="AL29" s="508">
        <v>3</v>
      </c>
      <c r="AM29" s="508">
        <v>7</v>
      </c>
      <c r="AN29" s="508">
        <v>3</v>
      </c>
      <c r="AO29" s="519">
        <v>12</v>
      </c>
      <c r="AP29" s="510">
        <f t="shared" si="31"/>
        <v>47</v>
      </c>
      <c r="AQ29" s="510"/>
      <c r="AR29" s="510"/>
      <c r="AS29" s="515"/>
    </row>
    <row r="30" spans="1:45" ht="16.5" customHeight="1">
      <c r="A30" s="512" t="s">
        <v>480</v>
      </c>
      <c r="B30" s="685" t="s">
        <v>480</v>
      </c>
      <c r="C30" s="496">
        <v>45768</v>
      </c>
      <c r="D30" s="495" t="s">
        <v>467</v>
      </c>
      <c r="E30" s="503">
        <v>2</v>
      </c>
      <c r="F30" s="503">
        <v>16</v>
      </c>
      <c r="G30" s="503">
        <v>7</v>
      </c>
      <c r="H30" s="503">
        <v>9</v>
      </c>
      <c r="I30" s="503">
        <v>7</v>
      </c>
      <c r="J30" s="503">
        <v>5</v>
      </c>
      <c r="K30" s="513">
        <v>5</v>
      </c>
      <c r="L30" s="504">
        <f t="shared" si="28"/>
        <v>51</v>
      </c>
      <c r="M30" s="505"/>
      <c r="N30" s="505"/>
      <c r="O30" s="506">
        <v>8</v>
      </c>
      <c r="P30" s="503">
        <v>1</v>
      </c>
      <c r="Q30" s="503">
        <v>4</v>
      </c>
      <c r="R30" s="503">
        <v>0</v>
      </c>
      <c r="S30" s="503">
        <v>0</v>
      </c>
      <c r="T30" s="503">
        <v>4</v>
      </c>
      <c r="U30" s="513">
        <v>14</v>
      </c>
      <c r="V30" s="505">
        <f t="shared" si="29"/>
        <v>31</v>
      </c>
      <c r="W30" s="505"/>
      <c r="X30" s="505"/>
      <c r="Y30" s="506">
        <v>3</v>
      </c>
      <c r="Z30" s="503">
        <v>8</v>
      </c>
      <c r="AA30" s="503">
        <v>9</v>
      </c>
      <c r="AB30" s="503">
        <v>11</v>
      </c>
      <c r="AC30" s="503">
        <v>5</v>
      </c>
      <c r="AD30" s="503">
        <v>0</v>
      </c>
      <c r="AE30" s="513">
        <v>1</v>
      </c>
      <c r="AF30" s="505">
        <f t="shared" si="30"/>
        <v>37</v>
      </c>
      <c r="AG30" s="505"/>
      <c r="AH30" s="505"/>
      <c r="AI30" s="506">
        <v>3</v>
      </c>
      <c r="AJ30" s="503">
        <v>17</v>
      </c>
      <c r="AK30" s="503">
        <v>23</v>
      </c>
      <c r="AL30" s="503">
        <v>30</v>
      </c>
      <c r="AM30" s="503">
        <v>5</v>
      </c>
      <c r="AN30" s="503">
        <v>4</v>
      </c>
      <c r="AO30" s="513">
        <v>13</v>
      </c>
      <c r="AP30" s="505">
        <f t="shared" si="31"/>
        <v>95</v>
      </c>
      <c r="AQ30" s="505"/>
      <c r="AR30" s="505"/>
      <c r="AS30" s="515"/>
    </row>
    <row r="31" spans="1:45" ht="16.5" customHeight="1">
      <c r="A31" s="516" t="str">
        <f t="shared" ref="A31:A35" si="35">A30</f>
        <v>이마트-ssg</v>
      </c>
      <c r="B31" s="584"/>
      <c r="C31" s="496">
        <v>45803</v>
      </c>
      <c r="D31" s="495" t="s">
        <v>468</v>
      </c>
      <c r="E31" s="503">
        <v>4</v>
      </c>
      <c r="F31" s="503">
        <v>3</v>
      </c>
      <c r="G31" s="503">
        <v>2</v>
      </c>
      <c r="H31" s="503">
        <v>4</v>
      </c>
      <c r="I31" s="503">
        <v>3</v>
      </c>
      <c r="J31" s="503">
        <v>5</v>
      </c>
      <c r="K31" s="513">
        <v>4</v>
      </c>
      <c r="L31" s="504">
        <f t="shared" si="28"/>
        <v>25</v>
      </c>
      <c r="M31" s="505"/>
      <c r="N31" s="505"/>
      <c r="O31" s="506">
        <v>2</v>
      </c>
      <c r="P31" s="503">
        <v>2</v>
      </c>
      <c r="Q31" s="503">
        <v>13</v>
      </c>
      <c r="R31" s="503">
        <v>20</v>
      </c>
      <c r="S31" s="503">
        <v>3</v>
      </c>
      <c r="T31" s="503">
        <v>2</v>
      </c>
      <c r="U31" s="513">
        <v>6</v>
      </c>
      <c r="V31" s="505">
        <f t="shared" si="29"/>
        <v>48</v>
      </c>
      <c r="W31" s="505"/>
      <c r="X31" s="505"/>
      <c r="Y31" s="506">
        <v>7</v>
      </c>
      <c r="Z31" s="503">
        <v>2</v>
      </c>
      <c r="AA31" s="503">
        <v>5</v>
      </c>
      <c r="AB31" s="503">
        <v>1</v>
      </c>
      <c r="AC31" s="503">
        <v>4</v>
      </c>
      <c r="AD31" s="503">
        <v>0</v>
      </c>
      <c r="AE31" s="513">
        <v>2</v>
      </c>
      <c r="AF31" s="505">
        <f t="shared" si="30"/>
        <v>21</v>
      </c>
      <c r="AG31" s="505"/>
      <c r="AH31" s="505"/>
      <c r="AI31" s="506">
        <v>8</v>
      </c>
      <c r="AJ31" s="503">
        <v>4</v>
      </c>
      <c r="AK31" s="503">
        <v>9</v>
      </c>
      <c r="AL31" s="503">
        <v>6</v>
      </c>
      <c r="AM31" s="503">
        <v>3</v>
      </c>
      <c r="AN31" s="503">
        <v>1</v>
      </c>
      <c r="AO31" s="513">
        <v>6</v>
      </c>
      <c r="AP31" s="505">
        <f t="shared" si="31"/>
        <v>37</v>
      </c>
      <c r="AQ31" s="505"/>
      <c r="AR31" s="505"/>
      <c r="AS31" s="515"/>
    </row>
    <row r="32" spans="1:45" ht="16.5" customHeight="1">
      <c r="A32" s="516" t="str">
        <f t="shared" si="35"/>
        <v>이마트-ssg</v>
      </c>
      <c r="B32" s="584"/>
      <c r="C32" s="496">
        <v>45795</v>
      </c>
      <c r="D32" s="495" t="s">
        <v>469</v>
      </c>
      <c r="E32" s="503">
        <v>2</v>
      </c>
      <c r="F32" s="503">
        <v>8</v>
      </c>
      <c r="G32" s="503">
        <v>1</v>
      </c>
      <c r="H32" s="503">
        <v>1</v>
      </c>
      <c r="I32" s="503">
        <v>1</v>
      </c>
      <c r="J32" s="503">
        <v>0</v>
      </c>
      <c r="K32" s="513">
        <v>3</v>
      </c>
      <c r="L32" s="504">
        <f t="shared" si="28"/>
        <v>16</v>
      </c>
      <c r="M32" s="505"/>
      <c r="N32" s="505"/>
      <c r="O32" s="506">
        <v>2</v>
      </c>
      <c r="P32" s="503">
        <v>0</v>
      </c>
      <c r="Q32" s="503">
        <v>0</v>
      </c>
      <c r="R32" s="503">
        <v>2</v>
      </c>
      <c r="S32" s="503">
        <v>4</v>
      </c>
      <c r="T32" s="503">
        <v>0</v>
      </c>
      <c r="U32" s="513">
        <v>1</v>
      </c>
      <c r="V32" s="505">
        <f t="shared" si="29"/>
        <v>9</v>
      </c>
      <c r="W32" s="505"/>
      <c r="X32" s="505"/>
      <c r="Y32" s="506">
        <v>2</v>
      </c>
      <c r="Z32" s="503">
        <v>2</v>
      </c>
      <c r="AA32" s="503">
        <v>0</v>
      </c>
      <c r="AB32" s="503">
        <v>1</v>
      </c>
      <c r="AC32" s="503">
        <v>2</v>
      </c>
      <c r="AD32" s="503">
        <v>1</v>
      </c>
      <c r="AE32" s="513">
        <v>10</v>
      </c>
      <c r="AF32" s="505">
        <f t="shared" si="30"/>
        <v>18</v>
      </c>
      <c r="AG32" s="505"/>
      <c r="AH32" s="505"/>
      <c r="AI32" s="506">
        <v>3</v>
      </c>
      <c r="AJ32" s="503">
        <v>2</v>
      </c>
      <c r="AK32" s="503">
        <v>0</v>
      </c>
      <c r="AL32" s="503">
        <v>0</v>
      </c>
      <c r="AM32" s="503">
        <v>1</v>
      </c>
      <c r="AN32" s="503">
        <v>2</v>
      </c>
      <c r="AO32" s="513">
        <v>3</v>
      </c>
      <c r="AP32" s="505">
        <f t="shared" si="31"/>
        <v>11</v>
      </c>
      <c r="AQ32" s="505"/>
      <c r="AR32" s="505"/>
      <c r="AS32" s="515"/>
    </row>
    <row r="33" spans="1:45" ht="16.5" customHeight="1">
      <c r="A33" s="516" t="str">
        <f t="shared" si="35"/>
        <v>이마트-ssg</v>
      </c>
      <c r="B33" s="584"/>
      <c r="C33" s="496">
        <v>46122</v>
      </c>
      <c r="D33" s="495" t="s">
        <v>470</v>
      </c>
      <c r="E33" s="503">
        <v>16</v>
      </c>
      <c r="F33" s="503">
        <v>4</v>
      </c>
      <c r="G33" s="503">
        <v>5</v>
      </c>
      <c r="H33" s="503">
        <v>8</v>
      </c>
      <c r="I33" s="503">
        <v>3</v>
      </c>
      <c r="J33" s="503">
        <v>2</v>
      </c>
      <c r="K33" s="513">
        <v>19</v>
      </c>
      <c r="L33" s="504">
        <f t="shared" si="28"/>
        <v>57</v>
      </c>
      <c r="M33" s="505"/>
      <c r="N33" s="505"/>
      <c r="O33" s="506">
        <v>12</v>
      </c>
      <c r="P33" s="503">
        <v>11</v>
      </c>
      <c r="Q33" s="503">
        <v>4</v>
      </c>
      <c r="R33" s="503">
        <v>8</v>
      </c>
      <c r="S33" s="503">
        <v>4</v>
      </c>
      <c r="T33" s="503">
        <v>8</v>
      </c>
      <c r="U33" s="513">
        <v>8</v>
      </c>
      <c r="V33" s="505">
        <f t="shared" si="29"/>
        <v>55</v>
      </c>
      <c r="W33" s="505"/>
      <c r="X33" s="505"/>
      <c r="Y33" s="506">
        <v>13</v>
      </c>
      <c r="Z33" s="503">
        <v>6</v>
      </c>
      <c r="AA33" s="503">
        <v>14</v>
      </c>
      <c r="AB33" s="503">
        <v>11</v>
      </c>
      <c r="AC33" s="503">
        <v>7</v>
      </c>
      <c r="AD33" s="503">
        <v>2</v>
      </c>
      <c r="AE33" s="513">
        <v>13</v>
      </c>
      <c r="AF33" s="505">
        <f t="shared" si="30"/>
        <v>66</v>
      </c>
      <c r="AG33" s="505"/>
      <c r="AH33" s="505"/>
      <c r="AI33" s="506">
        <v>24</v>
      </c>
      <c r="AJ33" s="503">
        <v>1</v>
      </c>
      <c r="AK33" s="503">
        <v>13</v>
      </c>
      <c r="AL33" s="503">
        <v>8</v>
      </c>
      <c r="AM33" s="503">
        <v>5</v>
      </c>
      <c r="AN33" s="503">
        <v>3</v>
      </c>
      <c r="AO33" s="513">
        <v>5</v>
      </c>
      <c r="AP33" s="505">
        <f t="shared" si="31"/>
        <v>59</v>
      </c>
      <c r="AQ33" s="505"/>
      <c r="AR33" s="505"/>
      <c r="AS33" s="515"/>
    </row>
    <row r="34" spans="1:45" ht="16.5" customHeight="1">
      <c r="A34" s="516" t="str">
        <f t="shared" si="35"/>
        <v>이마트-ssg</v>
      </c>
      <c r="B34" s="584"/>
      <c r="C34" s="496">
        <v>46067</v>
      </c>
      <c r="D34" s="495" t="s">
        <v>471</v>
      </c>
      <c r="E34" s="503">
        <v>8</v>
      </c>
      <c r="F34" s="503">
        <v>13</v>
      </c>
      <c r="G34" s="503">
        <v>5</v>
      </c>
      <c r="H34" s="503">
        <v>5</v>
      </c>
      <c r="I34" s="503">
        <v>6</v>
      </c>
      <c r="J34" s="503">
        <v>3</v>
      </c>
      <c r="K34" s="513">
        <v>7</v>
      </c>
      <c r="L34" s="504">
        <f t="shared" si="28"/>
        <v>47</v>
      </c>
      <c r="M34" s="505"/>
      <c r="N34" s="505"/>
      <c r="O34" s="506">
        <v>12</v>
      </c>
      <c r="P34" s="503">
        <v>6</v>
      </c>
      <c r="Q34" s="503">
        <v>12</v>
      </c>
      <c r="R34" s="503">
        <v>12</v>
      </c>
      <c r="S34" s="503">
        <v>2</v>
      </c>
      <c r="T34" s="503">
        <v>2</v>
      </c>
      <c r="U34" s="513">
        <v>10</v>
      </c>
      <c r="V34" s="505">
        <f t="shared" si="29"/>
        <v>56</v>
      </c>
      <c r="W34" s="505"/>
      <c r="X34" s="505"/>
      <c r="Y34" s="506">
        <v>8</v>
      </c>
      <c r="Z34" s="503">
        <v>17</v>
      </c>
      <c r="AA34" s="503">
        <v>5</v>
      </c>
      <c r="AB34" s="503">
        <v>6</v>
      </c>
      <c r="AC34" s="503">
        <v>10</v>
      </c>
      <c r="AD34" s="503">
        <v>7</v>
      </c>
      <c r="AE34" s="513">
        <v>9</v>
      </c>
      <c r="AF34" s="505">
        <f t="shared" si="30"/>
        <v>62</v>
      </c>
      <c r="AG34" s="505"/>
      <c r="AH34" s="505"/>
      <c r="AI34" s="506">
        <v>24</v>
      </c>
      <c r="AJ34" s="503">
        <v>16</v>
      </c>
      <c r="AK34" s="503">
        <v>18</v>
      </c>
      <c r="AL34" s="503">
        <v>11</v>
      </c>
      <c r="AM34" s="503">
        <v>5</v>
      </c>
      <c r="AN34" s="503">
        <v>5</v>
      </c>
      <c r="AO34" s="513">
        <v>18</v>
      </c>
      <c r="AP34" s="505">
        <f t="shared" si="31"/>
        <v>97</v>
      </c>
      <c r="AQ34" s="505"/>
      <c r="AR34" s="505"/>
      <c r="AS34" s="515"/>
    </row>
    <row r="35" spans="1:45" ht="16.5" customHeight="1">
      <c r="A35" s="517" t="str">
        <f t="shared" si="35"/>
        <v>이마트-ssg</v>
      </c>
      <c r="B35" s="686"/>
      <c r="C35" s="518">
        <v>46089</v>
      </c>
      <c r="D35" s="507" t="s">
        <v>472</v>
      </c>
      <c r="E35" s="508">
        <v>6</v>
      </c>
      <c r="F35" s="508">
        <v>3</v>
      </c>
      <c r="G35" s="508">
        <v>2</v>
      </c>
      <c r="H35" s="508">
        <v>8</v>
      </c>
      <c r="I35" s="508">
        <v>1</v>
      </c>
      <c r="J35" s="508">
        <v>2</v>
      </c>
      <c r="K35" s="519">
        <v>3</v>
      </c>
      <c r="L35" s="509">
        <f t="shared" si="28"/>
        <v>25</v>
      </c>
      <c r="M35" s="510"/>
      <c r="N35" s="510"/>
      <c r="O35" s="511">
        <v>4</v>
      </c>
      <c r="P35" s="508">
        <v>3</v>
      </c>
      <c r="Q35" s="508">
        <v>3</v>
      </c>
      <c r="R35" s="508">
        <v>15</v>
      </c>
      <c r="S35" s="508">
        <v>2</v>
      </c>
      <c r="T35" s="508">
        <v>1</v>
      </c>
      <c r="U35" s="519">
        <v>4</v>
      </c>
      <c r="V35" s="510">
        <f t="shared" si="29"/>
        <v>32</v>
      </c>
      <c r="W35" s="510"/>
      <c r="X35" s="510"/>
      <c r="Y35" s="511">
        <v>2</v>
      </c>
      <c r="Z35" s="508">
        <v>3</v>
      </c>
      <c r="AA35" s="508">
        <v>1</v>
      </c>
      <c r="AB35" s="508">
        <v>1</v>
      </c>
      <c r="AC35" s="508">
        <v>1</v>
      </c>
      <c r="AD35" s="508">
        <v>1</v>
      </c>
      <c r="AE35" s="519">
        <v>6</v>
      </c>
      <c r="AF35" s="510">
        <f t="shared" si="30"/>
        <v>15</v>
      </c>
      <c r="AG35" s="510"/>
      <c r="AH35" s="510"/>
      <c r="AI35" s="511">
        <v>10</v>
      </c>
      <c r="AJ35" s="508">
        <v>3</v>
      </c>
      <c r="AK35" s="508">
        <v>4</v>
      </c>
      <c r="AL35" s="508">
        <v>2</v>
      </c>
      <c r="AM35" s="508">
        <v>4</v>
      </c>
      <c r="AN35" s="508">
        <v>5</v>
      </c>
      <c r="AO35" s="519">
        <v>5</v>
      </c>
      <c r="AP35" s="510">
        <f t="shared" si="31"/>
        <v>33</v>
      </c>
      <c r="AQ35" s="510"/>
      <c r="AR35" s="510"/>
      <c r="AS35" s="515"/>
    </row>
    <row r="36" spans="1:45" ht="16.5" customHeight="1">
      <c r="A36" s="512" t="s">
        <v>481</v>
      </c>
      <c r="B36" s="685" t="s">
        <v>481</v>
      </c>
      <c r="C36" s="496">
        <v>45768</v>
      </c>
      <c r="D36" s="495" t="s">
        <v>467</v>
      </c>
      <c r="E36" s="503">
        <v>39</v>
      </c>
      <c r="F36" s="503">
        <v>23</v>
      </c>
      <c r="G36" s="503">
        <v>28</v>
      </c>
      <c r="H36" s="503">
        <v>35</v>
      </c>
      <c r="I36" s="503">
        <v>23</v>
      </c>
      <c r="J36" s="503">
        <v>30</v>
      </c>
      <c r="K36" s="513">
        <v>14</v>
      </c>
      <c r="L36" s="504">
        <f t="shared" si="28"/>
        <v>192</v>
      </c>
      <c r="M36" s="505"/>
      <c r="N36" s="505"/>
      <c r="O36" s="506">
        <v>17</v>
      </c>
      <c r="P36" s="503">
        <v>22</v>
      </c>
      <c r="Q36" s="503">
        <v>12</v>
      </c>
      <c r="R36" s="503">
        <v>29</v>
      </c>
      <c r="S36" s="503">
        <v>29</v>
      </c>
      <c r="T36" s="503">
        <v>14</v>
      </c>
      <c r="U36" s="513">
        <v>32</v>
      </c>
      <c r="V36" s="505">
        <f t="shared" si="29"/>
        <v>155</v>
      </c>
      <c r="W36" s="505"/>
      <c r="X36" s="505"/>
      <c r="Y36" s="506">
        <v>14</v>
      </c>
      <c r="Z36" s="503">
        <v>22</v>
      </c>
      <c r="AA36" s="503">
        <v>21</v>
      </c>
      <c r="AB36" s="503">
        <v>20</v>
      </c>
      <c r="AC36" s="503">
        <v>38</v>
      </c>
      <c r="AD36" s="503">
        <v>35</v>
      </c>
      <c r="AE36" s="513">
        <v>26</v>
      </c>
      <c r="AF36" s="505">
        <f t="shared" si="30"/>
        <v>176</v>
      </c>
      <c r="AG36" s="505"/>
      <c r="AH36" s="505"/>
      <c r="AI36" s="506">
        <v>9</v>
      </c>
      <c r="AJ36" s="503">
        <v>8</v>
      </c>
      <c r="AK36" s="503">
        <v>23</v>
      </c>
      <c r="AL36" s="503">
        <v>13</v>
      </c>
      <c r="AM36" s="503">
        <v>49</v>
      </c>
      <c r="AN36" s="503">
        <v>7</v>
      </c>
      <c r="AO36" s="513">
        <v>21</v>
      </c>
      <c r="AP36" s="505">
        <f t="shared" si="31"/>
        <v>130</v>
      </c>
      <c r="AQ36" s="505"/>
      <c r="AR36" s="505"/>
      <c r="AS36" s="515"/>
    </row>
    <row r="37" spans="1:45" ht="16.5" customHeight="1">
      <c r="A37" s="516" t="str">
        <f t="shared" ref="A37:A41" si="36">A36</f>
        <v>이마트-오프라인</v>
      </c>
      <c r="B37" s="584"/>
      <c r="C37" s="496">
        <v>45803</v>
      </c>
      <c r="D37" s="495" t="s">
        <v>468</v>
      </c>
      <c r="E37" s="503">
        <v>28</v>
      </c>
      <c r="F37" s="503">
        <v>16</v>
      </c>
      <c r="G37" s="503">
        <v>29</v>
      </c>
      <c r="H37" s="503">
        <v>12</v>
      </c>
      <c r="I37" s="503">
        <v>20</v>
      </c>
      <c r="J37" s="503">
        <v>24</v>
      </c>
      <c r="K37" s="513">
        <v>16</v>
      </c>
      <c r="L37" s="504">
        <f t="shared" si="28"/>
        <v>145</v>
      </c>
      <c r="M37" s="505"/>
      <c r="N37" s="505"/>
      <c r="O37" s="506">
        <v>14</v>
      </c>
      <c r="P37" s="503">
        <v>26</v>
      </c>
      <c r="Q37" s="503">
        <v>20</v>
      </c>
      <c r="R37" s="503">
        <v>17</v>
      </c>
      <c r="S37" s="503">
        <v>30</v>
      </c>
      <c r="T37" s="503">
        <v>24</v>
      </c>
      <c r="U37" s="513">
        <v>12</v>
      </c>
      <c r="V37" s="505">
        <f t="shared" si="29"/>
        <v>143</v>
      </c>
      <c r="W37" s="505"/>
      <c r="X37" s="505"/>
      <c r="Y37" s="506">
        <v>13</v>
      </c>
      <c r="Z37" s="503">
        <v>32</v>
      </c>
      <c r="AA37" s="503">
        <v>20</v>
      </c>
      <c r="AB37" s="503">
        <v>19</v>
      </c>
      <c r="AC37" s="503">
        <v>23</v>
      </c>
      <c r="AD37" s="503">
        <v>20</v>
      </c>
      <c r="AE37" s="513">
        <v>13</v>
      </c>
      <c r="AF37" s="505">
        <f t="shared" si="30"/>
        <v>140</v>
      </c>
      <c r="AG37" s="505"/>
      <c r="AH37" s="505"/>
      <c r="AI37" s="506">
        <v>18</v>
      </c>
      <c r="AJ37" s="503">
        <v>9</v>
      </c>
      <c r="AK37" s="503">
        <v>14</v>
      </c>
      <c r="AL37" s="503">
        <v>29</v>
      </c>
      <c r="AM37" s="503">
        <v>30</v>
      </c>
      <c r="AN37" s="503">
        <v>14</v>
      </c>
      <c r="AO37" s="513">
        <v>18</v>
      </c>
      <c r="AP37" s="505">
        <f t="shared" si="31"/>
        <v>132</v>
      </c>
      <c r="AQ37" s="505"/>
      <c r="AR37" s="505"/>
      <c r="AS37" s="515"/>
    </row>
    <row r="38" spans="1:45" ht="16.5" customHeight="1">
      <c r="A38" s="516" t="str">
        <f t="shared" si="36"/>
        <v>이마트-오프라인</v>
      </c>
      <c r="B38" s="584"/>
      <c r="C38" s="496">
        <v>45795</v>
      </c>
      <c r="D38" s="495" t="s">
        <v>469</v>
      </c>
      <c r="E38" s="503">
        <v>21</v>
      </c>
      <c r="F38" s="503">
        <v>10</v>
      </c>
      <c r="G38" s="503">
        <v>7</v>
      </c>
      <c r="H38" s="503">
        <v>13</v>
      </c>
      <c r="I38" s="503">
        <v>18</v>
      </c>
      <c r="J38" s="503">
        <v>24</v>
      </c>
      <c r="K38" s="513">
        <v>14</v>
      </c>
      <c r="L38" s="504">
        <f t="shared" si="28"/>
        <v>107</v>
      </c>
      <c r="M38" s="505"/>
      <c r="N38" s="505"/>
      <c r="O38" s="506">
        <v>9</v>
      </c>
      <c r="P38" s="503">
        <v>10</v>
      </c>
      <c r="Q38" s="503">
        <v>16</v>
      </c>
      <c r="R38" s="503">
        <v>18</v>
      </c>
      <c r="S38" s="503">
        <v>24</v>
      </c>
      <c r="T38" s="503">
        <v>20</v>
      </c>
      <c r="U38" s="513">
        <v>12</v>
      </c>
      <c r="V38" s="505">
        <f t="shared" si="29"/>
        <v>109</v>
      </c>
      <c r="W38" s="505"/>
      <c r="X38" s="505"/>
      <c r="Y38" s="506">
        <v>11</v>
      </c>
      <c r="Z38" s="503">
        <v>6</v>
      </c>
      <c r="AA38" s="503">
        <v>14</v>
      </c>
      <c r="AB38" s="503">
        <v>18</v>
      </c>
      <c r="AC38" s="503">
        <v>23</v>
      </c>
      <c r="AD38" s="503">
        <v>20</v>
      </c>
      <c r="AE38" s="513">
        <v>16</v>
      </c>
      <c r="AF38" s="505">
        <f t="shared" si="30"/>
        <v>108</v>
      </c>
      <c r="AG38" s="505"/>
      <c r="AH38" s="505"/>
      <c r="AI38" s="506">
        <v>13</v>
      </c>
      <c r="AJ38" s="503">
        <v>9</v>
      </c>
      <c r="AK38" s="503">
        <v>11</v>
      </c>
      <c r="AL38" s="503">
        <v>9</v>
      </c>
      <c r="AM38" s="503">
        <v>20</v>
      </c>
      <c r="AN38" s="503">
        <v>11</v>
      </c>
      <c r="AO38" s="513">
        <v>12</v>
      </c>
      <c r="AP38" s="505">
        <f t="shared" si="31"/>
        <v>85</v>
      </c>
      <c r="AQ38" s="505"/>
      <c r="AR38" s="505"/>
      <c r="AS38" s="515"/>
    </row>
    <row r="39" spans="1:45" ht="16.5" customHeight="1">
      <c r="A39" s="516" t="str">
        <f t="shared" si="36"/>
        <v>이마트-오프라인</v>
      </c>
      <c r="B39" s="584"/>
      <c r="C39" s="496">
        <v>46122</v>
      </c>
      <c r="D39" s="495" t="s">
        <v>470</v>
      </c>
      <c r="E39" s="503">
        <v>35</v>
      </c>
      <c r="F39" s="503">
        <v>37</v>
      </c>
      <c r="G39" s="503">
        <v>45</v>
      </c>
      <c r="H39" s="503">
        <v>43</v>
      </c>
      <c r="I39" s="503">
        <v>39</v>
      </c>
      <c r="J39" s="503">
        <v>48</v>
      </c>
      <c r="K39" s="513">
        <v>17</v>
      </c>
      <c r="L39" s="504">
        <f t="shared" si="28"/>
        <v>264</v>
      </c>
      <c r="M39" s="505"/>
      <c r="N39" s="505"/>
      <c r="O39" s="506">
        <v>30</v>
      </c>
      <c r="P39" s="503">
        <v>43</v>
      </c>
      <c r="Q39" s="503">
        <v>28</v>
      </c>
      <c r="R39" s="503">
        <v>35</v>
      </c>
      <c r="S39" s="503">
        <v>26</v>
      </c>
      <c r="T39" s="503">
        <v>23</v>
      </c>
      <c r="U39" s="513">
        <v>38</v>
      </c>
      <c r="V39" s="505">
        <f t="shared" si="29"/>
        <v>223</v>
      </c>
      <c r="W39" s="505"/>
      <c r="X39" s="505"/>
      <c r="Y39" s="506">
        <v>42</v>
      </c>
      <c r="Z39" s="503">
        <v>39</v>
      </c>
      <c r="AA39" s="503">
        <v>35</v>
      </c>
      <c r="AB39" s="503">
        <v>35</v>
      </c>
      <c r="AC39" s="503">
        <v>59</v>
      </c>
      <c r="AD39" s="503">
        <v>58</v>
      </c>
      <c r="AE39" s="513">
        <v>38</v>
      </c>
      <c r="AF39" s="505">
        <f t="shared" si="30"/>
        <v>306</v>
      </c>
      <c r="AG39" s="505"/>
      <c r="AH39" s="505"/>
      <c r="AI39" s="506">
        <v>29</v>
      </c>
      <c r="AJ39" s="503">
        <v>29</v>
      </c>
      <c r="AK39" s="503">
        <v>21</v>
      </c>
      <c r="AL39" s="503">
        <v>34</v>
      </c>
      <c r="AM39" s="503">
        <v>30</v>
      </c>
      <c r="AN39" s="503">
        <v>24</v>
      </c>
      <c r="AO39" s="513">
        <v>31</v>
      </c>
      <c r="AP39" s="505">
        <f t="shared" si="31"/>
        <v>198</v>
      </c>
      <c r="AQ39" s="505"/>
      <c r="AR39" s="505"/>
      <c r="AS39" s="515"/>
    </row>
    <row r="40" spans="1:45" ht="16.5" customHeight="1">
      <c r="A40" s="516" t="str">
        <f t="shared" si="36"/>
        <v>이마트-오프라인</v>
      </c>
      <c r="B40" s="584"/>
      <c r="C40" s="496">
        <v>46067</v>
      </c>
      <c r="D40" s="495" t="s">
        <v>471</v>
      </c>
      <c r="E40" s="503">
        <v>46</v>
      </c>
      <c r="F40" s="503">
        <v>25</v>
      </c>
      <c r="G40" s="503">
        <v>37</v>
      </c>
      <c r="H40" s="503">
        <v>39</v>
      </c>
      <c r="I40" s="503">
        <v>45</v>
      </c>
      <c r="J40" s="503">
        <v>48</v>
      </c>
      <c r="K40" s="513">
        <v>36</v>
      </c>
      <c r="L40" s="504">
        <f t="shared" si="28"/>
        <v>276</v>
      </c>
      <c r="M40" s="505"/>
      <c r="N40" s="505"/>
      <c r="O40" s="506">
        <v>40</v>
      </c>
      <c r="P40" s="503">
        <v>47</v>
      </c>
      <c r="Q40" s="503">
        <v>34</v>
      </c>
      <c r="R40" s="503">
        <v>27</v>
      </c>
      <c r="S40" s="503">
        <v>39</v>
      </c>
      <c r="T40" s="503">
        <v>29</v>
      </c>
      <c r="U40" s="513">
        <v>52</v>
      </c>
      <c r="V40" s="505">
        <f t="shared" si="29"/>
        <v>268</v>
      </c>
      <c r="W40" s="505"/>
      <c r="X40" s="505"/>
      <c r="Y40" s="506">
        <v>36</v>
      </c>
      <c r="Z40" s="503">
        <v>40</v>
      </c>
      <c r="AA40" s="503">
        <v>14</v>
      </c>
      <c r="AB40" s="503">
        <v>27</v>
      </c>
      <c r="AC40" s="503">
        <v>56</v>
      </c>
      <c r="AD40" s="503">
        <v>52</v>
      </c>
      <c r="AE40" s="513">
        <v>36</v>
      </c>
      <c r="AF40" s="505">
        <f t="shared" si="30"/>
        <v>261</v>
      </c>
      <c r="AG40" s="505"/>
      <c r="AH40" s="505"/>
      <c r="AI40" s="506">
        <v>25</v>
      </c>
      <c r="AJ40" s="503">
        <v>25</v>
      </c>
      <c r="AK40" s="503">
        <v>45</v>
      </c>
      <c r="AL40" s="503">
        <v>30</v>
      </c>
      <c r="AM40" s="503">
        <v>54</v>
      </c>
      <c r="AN40" s="503">
        <v>28</v>
      </c>
      <c r="AO40" s="513">
        <v>42</v>
      </c>
      <c r="AP40" s="505">
        <f t="shared" si="31"/>
        <v>249</v>
      </c>
      <c r="AQ40" s="505"/>
      <c r="AR40" s="505"/>
      <c r="AS40" s="515"/>
    </row>
    <row r="41" spans="1:45" ht="16.5" customHeight="1">
      <c r="A41" s="517" t="str">
        <f t="shared" si="36"/>
        <v>이마트-오프라인</v>
      </c>
      <c r="B41" s="686"/>
      <c r="C41" s="518">
        <v>46089</v>
      </c>
      <c r="D41" s="507" t="s">
        <v>472</v>
      </c>
      <c r="E41" s="508">
        <v>28</v>
      </c>
      <c r="F41" s="508">
        <v>25</v>
      </c>
      <c r="G41" s="508">
        <v>20</v>
      </c>
      <c r="H41" s="508">
        <v>22</v>
      </c>
      <c r="I41" s="508">
        <v>25</v>
      </c>
      <c r="J41" s="508">
        <v>25</v>
      </c>
      <c r="K41" s="519">
        <v>28</v>
      </c>
      <c r="L41" s="509">
        <f t="shared" si="28"/>
        <v>173</v>
      </c>
      <c r="M41" s="510"/>
      <c r="N41" s="510"/>
      <c r="O41" s="511">
        <v>14</v>
      </c>
      <c r="P41" s="508">
        <v>19</v>
      </c>
      <c r="Q41" s="508">
        <v>26</v>
      </c>
      <c r="R41" s="508">
        <v>25</v>
      </c>
      <c r="S41" s="508">
        <v>34</v>
      </c>
      <c r="T41" s="508">
        <v>13</v>
      </c>
      <c r="U41" s="519">
        <v>27</v>
      </c>
      <c r="V41" s="510">
        <f t="shared" si="29"/>
        <v>158</v>
      </c>
      <c r="W41" s="510"/>
      <c r="X41" s="510"/>
      <c r="Y41" s="511">
        <v>23</v>
      </c>
      <c r="Z41" s="508">
        <v>19</v>
      </c>
      <c r="AA41" s="508">
        <v>30</v>
      </c>
      <c r="AB41" s="508">
        <v>20</v>
      </c>
      <c r="AC41" s="508">
        <v>35</v>
      </c>
      <c r="AD41" s="508">
        <v>32</v>
      </c>
      <c r="AE41" s="519">
        <v>9</v>
      </c>
      <c r="AF41" s="510">
        <f t="shared" si="30"/>
        <v>168</v>
      </c>
      <c r="AG41" s="510"/>
      <c r="AH41" s="510"/>
      <c r="AI41" s="511">
        <v>16</v>
      </c>
      <c r="AJ41" s="508">
        <v>17</v>
      </c>
      <c r="AK41" s="508">
        <v>27</v>
      </c>
      <c r="AL41" s="508">
        <v>24</v>
      </c>
      <c r="AM41" s="508">
        <v>36</v>
      </c>
      <c r="AN41" s="508">
        <v>10</v>
      </c>
      <c r="AO41" s="519">
        <v>23</v>
      </c>
      <c r="AP41" s="510">
        <f t="shared" si="31"/>
        <v>153</v>
      </c>
      <c r="AQ41" s="510"/>
      <c r="AR41" s="510"/>
      <c r="AS41" s="515"/>
    </row>
    <row r="42" spans="1:45" ht="16.5" customHeight="1">
      <c r="A42" s="512" t="s">
        <v>43</v>
      </c>
      <c r="B42" s="685" t="s">
        <v>43</v>
      </c>
      <c r="C42" s="496">
        <v>45768</v>
      </c>
      <c r="D42" s="495" t="s">
        <v>467</v>
      </c>
      <c r="E42" s="503">
        <f t="shared" ref="E42:L42" si="37">E24+E30+E36</f>
        <v>43</v>
      </c>
      <c r="F42" s="503">
        <f t="shared" si="37"/>
        <v>45</v>
      </c>
      <c r="G42" s="503">
        <f t="shared" si="37"/>
        <v>47</v>
      </c>
      <c r="H42" s="503">
        <f t="shared" si="37"/>
        <v>57</v>
      </c>
      <c r="I42" s="503">
        <f t="shared" si="37"/>
        <v>38</v>
      </c>
      <c r="J42" s="503">
        <f t="shared" si="37"/>
        <v>39</v>
      </c>
      <c r="K42" s="503">
        <f t="shared" si="37"/>
        <v>26</v>
      </c>
      <c r="L42" s="504">
        <f t="shared" si="37"/>
        <v>295</v>
      </c>
      <c r="M42" s="505"/>
      <c r="N42" s="505"/>
      <c r="O42" s="506">
        <f t="shared" ref="O42:V42" si="38">O24+O30+O36</f>
        <v>40</v>
      </c>
      <c r="P42" s="503">
        <f t="shared" si="38"/>
        <v>27</v>
      </c>
      <c r="Q42" s="503">
        <f t="shared" si="38"/>
        <v>26</v>
      </c>
      <c r="R42" s="503">
        <f t="shared" si="38"/>
        <v>43</v>
      </c>
      <c r="S42" s="503">
        <f t="shared" si="38"/>
        <v>40</v>
      </c>
      <c r="T42" s="503">
        <f t="shared" si="38"/>
        <v>18</v>
      </c>
      <c r="U42" s="503">
        <f t="shared" si="38"/>
        <v>53</v>
      </c>
      <c r="V42" s="505">
        <f t="shared" si="38"/>
        <v>247</v>
      </c>
      <c r="W42" s="505"/>
      <c r="X42" s="505"/>
      <c r="Y42" s="503">
        <f t="shared" ref="Y42:AF42" si="39">Y24+Y30+Y36</f>
        <v>33</v>
      </c>
      <c r="Z42" s="503">
        <f t="shared" si="39"/>
        <v>39</v>
      </c>
      <c r="AA42" s="503">
        <f t="shared" si="39"/>
        <v>32</v>
      </c>
      <c r="AB42" s="503">
        <f t="shared" si="39"/>
        <v>37</v>
      </c>
      <c r="AC42" s="503">
        <f t="shared" si="39"/>
        <v>52</v>
      </c>
      <c r="AD42" s="503">
        <f t="shared" si="39"/>
        <v>46</v>
      </c>
      <c r="AE42" s="503">
        <f t="shared" si="39"/>
        <v>38</v>
      </c>
      <c r="AF42" s="505">
        <f t="shared" si="39"/>
        <v>277</v>
      </c>
      <c r="AG42" s="505"/>
      <c r="AH42" s="505"/>
      <c r="AI42" s="503">
        <f t="shared" ref="AI42:AP42" si="40">AI24+AI30+AI36</f>
        <v>19</v>
      </c>
      <c r="AJ42" s="503">
        <f t="shared" si="40"/>
        <v>31</v>
      </c>
      <c r="AK42" s="503">
        <f t="shared" si="40"/>
        <v>53</v>
      </c>
      <c r="AL42" s="503">
        <f t="shared" si="40"/>
        <v>52</v>
      </c>
      <c r="AM42" s="503">
        <f t="shared" si="40"/>
        <v>59</v>
      </c>
      <c r="AN42" s="503">
        <f t="shared" si="40"/>
        <v>17</v>
      </c>
      <c r="AO42" s="503">
        <f t="shared" si="40"/>
        <v>48</v>
      </c>
      <c r="AP42" s="505">
        <f t="shared" si="40"/>
        <v>279</v>
      </c>
      <c r="AQ42" s="505"/>
      <c r="AR42" s="505"/>
      <c r="AS42" s="515"/>
    </row>
    <row r="43" spans="1:45" ht="16.5" customHeight="1">
      <c r="A43" s="516" t="str">
        <f t="shared" ref="A43:A47" si="41">A42</f>
        <v>이마트</v>
      </c>
      <c r="B43" s="584"/>
      <c r="C43" s="496">
        <v>45803</v>
      </c>
      <c r="D43" s="495" t="s">
        <v>468</v>
      </c>
      <c r="E43" s="503">
        <f t="shared" ref="E43:L43" si="42">E25+E31+E37</f>
        <v>38</v>
      </c>
      <c r="F43" s="503">
        <f t="shared" si="42"/>
        <v>30</v>
      </c>
      <c r="G43" s="503">
        <f t="shared" si="42"/>
        <v>40</v>
      </c>
      <c r="H43" s="503">
        <f t="shared" si="42"/>
        <v>27</v>
      </c>
      <c r="I43" s="503">
        <f t="shared" si="42"/>
        <v>26</v>
      </c>
      <c r="J43" s="503">
        <f t="shared" si="42"/>
        <v>40</v>
      </c>
      <c r="K43" s="503">
        <f t="shared" si="42"/>
        <v>25</v>
      </c>
      <c r="L43" s="504">
        <f t="shared" si="42"/>
        <v>226</v>
      </c>
      <c r="M43" s="505"/>
      <c r="N43" s="505"/>
      <c r="O43" s="506">
        <f t="shared" ref="O43:V43" si="43">O25+O31+O37</f>
        <v>22</v>
      </c>
      <c r="P43" s="503">
        <f t="shared" si="43"/>
        <v>36</v>
      </c>
      <c r="Q43" s="503">
        <f t="shared" si="43"/>
        <v>41</v>
      </c>
      <c r="R43" s="503">
        <f t="shared" si="43"/>
        <v>52</v>
      </c>
      <c r="S43" s="503">
        <f t="shared" si="43"/>
        <v>40</v>
      </c>
      <c r="T43" s="503">
        <f t="shared" si="43"/>
        <v>26</v>
      </c>
      <c r="U43" s="503">
        <f t="shared" si="43"/>
        <v>20</v>
      </c>
      <c r="V43" s="505">
        <f t="shared" si="43"/>
        <v>237</v>
      </c>
      <c r="W43" s="505"/>
      <c r="X43" s="505"/>
      <c r="Y43" s="503">
        <f t="shared" ref="Y43:AF43" si="44">Y25+Y31+Y37</f>
        <v>28</v>
      </c>
      <c r="Z43" s="503">
        <f t="shared" si="44"/>
        <v>44</v>
      </c>
      <c r="AA43" s="503">
        <f t="shared" si="44"/>
        <v>29</v>
      </c>
      <c r="AB43" s="503">
        <f t="shared" si="44"/>
        <v>29</v>
      </c>
      <c r="AC43" s="503">
        <f t="shared" si="44"/>
        <v>38</v>
      </c>
      <c r="AD43" s="503">
        <f t="shared" si="44"/>
        <v>26</v>
      </c>
      <c r="AE43" s="503">
        <f t="shared" si="44"/>
        <v>27</v>
      </c>
      <c r="AF43" s="505">
        <f t="shared" si="44"/>
        <v>221</v>
      </c>
      <c r="AG43" s="505"/>
      <c r="AH43" s="505"/>
      <c r="AI43" s="503">
        <f t="shared" ref="AI43:AP43" si="45">AI25+AI31+AI37</f>
        <v>33</v>
      </c>
      <c r="AJ43" s="503">
        <f t="shared" si="45"/>
        <v>22</v>
      </c>
      <c r="AK43" s="503">
        <f t="shared" si="45"/>
        <v>35</v>
      </c>
      <c r="AL43" s="503">
        <f t="shared" si="45"/>
        <v>45</v>
      </c>
      <c r="AM43" s="503">
        <f t="shared" si="45"/>
        <v>36</v>
      </c>
      <c r="AN43" s="503">
        <f t="shared" si="45"/>
        <v>19</v>
      </c>
      <c r="AO43" s="503">
        <f t="shared" si="45"/>
        <v>32</v>
      </c>
      <c r="AP43" s="505">
        <f t="shared" si="45"/>
        <v>222</v>
      </c>
      <c r="AQ43" s="505"/>
      <c r="AR43" s="505"/>
      <c r="AS43" s="515"/>
    </row>
    <row r="44" spans="1:45" ht="16.5" customHeight="1">
      <c r="A44" s="516" t="str">
        <f t="shared" si="41"/>
        <v>이마트</v>
      </c>
      <c r="B44" s="584"/>
      <c r="C44" s="496">
        <v>45795</v>
      </c>
      <c r="D44" s="495" t="s">
        <v>469</v>
      </c>
      <c r="E44" s="503">
        <f t="shared" ref="E44:L44" si="46">E26+E32+E38</f>
        <v>28</v>
      </c>
      <c r="F44" s="503">
        <f t="shared" si="46"/>
        <v>21</v>
      </c>
      <c r="G44" s="503">
        <f t="shared" si="46"/>
        <v>9</v>
      </c>
      <c r="H44" s="503">
        <f t="shared" si="46"/>
        <v>20</v>
      </c>
      <c r="I44" s="503">
        <f t="shared" si="46"/>
        <v>24</v>
      </c>
      <c r="J44" s="503">
        <f t="shared" si="46"/>
        <v>29</v>
      </c>
      <c r="K44" s="503">
        <f t="shared" si="46"/>
        <v>23</v>
      </c>
      <c r="L44" s="504">
        <f t="shared" si="46"/>
        <v>154</v>
      </c>
      <c r="M44" s="505"/>
      <c r="N44" s="505"/>
      <c r="O44" s="506">
        <f t="shared" ref="O44:V44" si="47">O26+O32+O38</f>
        <v>15</v>
      </c>
      <c r="P44" s="503">
        <f t="shared" si="47"/>
        <v>12</v>
      </c>
      <c r="Q44" s="503">
        <f t="shared" si="47"/>
        <v>23</v>
      </c>
      <c r="R44" s="503">
        <f t="shared" si="47"/>
        <v>28</v>
      </c>
      <c r="S44" s="503">
        <f t="shared" si="47"/>
        <v>32</v>
      </c>
      <c r="T44" s="503">
        <f t="shared" si="47"/>
        <v>23</v>
      </c>
      <c r="U44" s="503">
        <f t="shared" si="47"/>
        <v>18</v>
      </c>
      <c r="V44" s="505">
        <f t="shared" si="47"/>
        <v>151</v>
      </c>
      <c r="W44" s="505"/>
      <c r="X44" s="505"/>
      <c r="Y44" s="503">
        <f t="shared" ref="Y44:AF44" si="48">Y26+Y32+Y38</f>
        <v>21</v>
      </c>
      <c r="Z44" s="503">
        <f t="shared" si="48"/>
        <v>9</v>
      </c>
      <c r="AA44" s="503">
        <f t="shared" si="48"/>
        <v>23</v>
      </c>
      <c r="AB44" s="503">
        <f t="shared" si="48"/>
        <v>24</v>
      </c>
      <c r="AC44" s="503">
        <f t="shared" si="48"/>
        <v>31</v>
      </c>
      <c r="AD44" s="503">
        <f t="shared" si="48"/>
        <v>23</v>
      </c>
      <c r="AE44" s="503">
        <f t="shared" si="48"/>
        <v>30</v>
      </c>
      <c r="AF44" s="505">
        <f t="shared" si="48"/>
        <v>161</v>
      </c>
      <c r="AG44" s="505"/>
      <c r="AH44" s="505"/>
      <c r="AI44" s="503">
        <f t="shared" ref="AI44:AP44" si="49">AI26+AI32+AI38</f>
        <v>24</v>
      </c>
      <c r="AJ44" s="503">
        <f t="shared" si="49"/>
        <v>15</v>
      </c>
      <c r="AK44" s="503">
        <f t="shared" si="49"/>
        <v>15</v>
      </c>
      <c r="AL44" s="503">
        <f t="shared" si="49"/>
        <v>14</v>
      </c>
      <c r="AM44" s="503">
        <f t="shared" si="49"/>
        <v>23</v>
      </c>
      <c r="AN44" s="503">
        <f t="shared" si="49"/>
        <v>15</v>
      </c>
      <c r="AO44" s="503">
        <f t="shared" si="49"/>
        <v>19</v>
      </c>
      <c r="AP44" s="505">
        <f t="shared" si="49"/>
        <v>125</v>
      </c>
      <c r="AQ44" s="505"/>
      <c r="AR44" s="505"/>
      <c r="AS44" s="515"/>
    </row>
    <row r="45" spans="1:45" ht="16.5" customHeight="1">
      <c r="A45" s="516" t="str">
        <f t="shared" si="41"/>
        <v>이마트</v>
      </c>
      <c r="B45" s="584"/>
      <c r="C45" s="496">
        <v>46122</v>
      </c>
      <c r="D45" s="495" t="s">
        <v>470</v>
      </c>
      <c r="E45" s="503">
        <f t="shared" ref="E45:L45" si="50">E27+E33+E39</f>
        <v>56</v>
      </c>
      <c r="F45" s="503">
        <f t="shared" si="50"/>
        <v>54</v>
      </c>
      <c r="G45" s="503">
        <f t="shared" si="50"/>
        <v>62</v>
      </c>
      <c r="H45" s="503">
        <f t="shared" si="50"/>
        <v>57</v>
      </c>
      <c r="I45" s="503">
        <f t="shared" si="50"/>
        <v>50</v>
      </c>
      <c r="J45" s="503">
        <f t="shared" si="50"/>
        <v>61</v>
      </c>
      <c r="K45" s="503">
        <f t="shared" si="50"/>
        <v>45</v>
      </c>
      <c r="L45" s="504">
        <f t="shared" si="50"/>
        <v>385</v>
      </c>
      <c r="M45" s="505"/>
      <c r="N45" s="505"/>
      <c r="O45" s="506">
        <f t="shared" ref="O45:V45" si="51">O27+O33+O39</f>
        <v>45</v>
      </c>
      <c r="P45" s="503">
        <f t="shared" si="51"/>
        <v>63</v>
      </c>
      <c r="Q45" s="503">
        <f t="shared" si="51"/>
        <v>46</v>
      </c>
      <c r="R45" s="503">
        <f t="shared" si="51"/>
        <v>54</v>
      </c>
      <c r="S45" s="503">
        <f t="shared" si="51"/>
        <v>41</v>
      </c>
      <c r="T45" s="503">
        <f t="shared" si="51"/>
        <v>34</v>
      </c>
      <c r="U45" s="503">
        <f t="shared" si="51"/>
        <v>53</v>
      </c>
      <c r="V45" s="505">
        <f t="shared" si="51"/>
        <v>336</v>
      </c>
      <c r="W45" s="505"/>
      <c r="X45" s="505"/>
      <c r="Y45" s="503">
        <f t="shared" ref="Y45:AF45" si="52">Y27+Y33+Y39</f>
        <v>65</v>
      </c>
      <c r="Z45" s="503">
        <f t="shared" si="52"/>
        <v>52</v>
      </c>
      <c r="AA45" s="503">
        <f t="shared" si="52"/>
        <v>54</v>
      </c>
      <c r="AB45" s="503">
        <f t="shared" si="52"/>
        <v>52</v>
      </c>
      <c r="AC45" s="503">
        <f t="shared" si="52"/>
        <v>68</v>
      </c>
      <c r="AD45" s="503">
        <f t="shared" si="52"/>
        <v>72</v>
      </c>
      <c r="AE45" s="503">
        <f t="shared" si="52"/>
        <v>65</v>
      </c>
      <c r="AF45" s="505">
        <f t="shared" si="52"/>
        <v>428</v>
      </c>
      <c r="AG45" s="505"/>
      <c r="AH45" s="505"/>
      <c r="AI45" s="503">
        <f t="shared" ref="AI45:AP45" si="53">AI27+AI33+AI39</f>
        <v>61</v>
      </c>
      <c r="AJ45" s="503">
        <f t="shared" si="53"/>
        <v>32</v>
      </c>
      <c r="AK45" s="503">
        <f t="shared" si="53"/>
        <v>45</v>
      </c>
      <c r="AL45" s="503">
        <f t="shared" si="53"/>
        <v>51</v>
      </c>
      <c r="AM45" s="503">
        <f t="shared" si="53"/>
        <v>48</v>
      </c>
      <c r="AN45" s="503">
        <f t="shared" si="53"/>
        <v>29</v>
      </c>
      <c r="AO45" s="503">
        <f t="shared" si="53"/>
        <v>49</v>
      </c>
      <c r="AP45" s="505">
        <f t="shared" si="53"/>
        <v>315</v>
      </c>
      <c r="AQ45" s="505"/>
      <c r="AR45" s="505"/>
      <c r="AS45" s="515"/>
    </row>
    <row r="46" spans="1:45" ht="16.5" customHeight="1">
      <c r="A46" s="516" t="str">
        <f t="shared" si="41"/>
        <v>이마트</v>
      </c>
      <c r="B46" s="584"/>
      <c r="C46" s="496">
        <v>46067</v>
      </c>
      <c r="D46" s="495" t="s">
        <v>471</v>
      </c>
      <c r="E46" s="503">
        <f t="shared" ref="E46:L46" si="54">E28+E34+E40</f>
        <v>64</v>
      </c>
      <c r="F46" s="503">
        <f t="shared" si="54"/>
        <v>52</v>
      </c>
      <c r="G46" s="503">
        <f t="shared" si="54"/>
        <v>57</v>
      </c>
      <c r="H46" s="503">
        <f t="shared" si="54"/>
        <v>51</v>
      </c>
      <c r="I46" s="503">
        <f t="shared" si="54"/>
        <v>63</v>
      </c>
      <c r="J46" s="503">
        <f t="shared" si="54"/>
        <v>62</v>
      </c>
      <c r="K46" s="503">
        <f t="shared" si="54"/>
        <v>61</v>
      </c>
      <c r="L46" s="504">
        <f t="shared" si="54"/>
        <v>410</v>
      </c>
      <c r="M46" s="505"/>
      <c r="N46" s="505"/>
      <c r="O46" s="506">
        <f t="shared" ref="O46:V46" si="55">O28+O34+O40</f>
        <v>72</v>
      </c>
      <c r="P46" s="503">
        <f t="shared" si="55"/>
        <v>58</v>
      </c>
      <c r="Q46" s="503">
        <f t="shared" si="55"/>
        <v>50</v>
      </c>
      <c r="R46" s="503">
        <f t="shared" si="55"/>
        <v>47</v>
      </c>
      <c r="S46" s="503">
        <f t="shared" si="55"/>
        <v>52</v>
      </c>
      <c r="T46" s="503">
        <f t="shared" si="55"/>
        <v>39</v>
      </c>
      <c r="U46" s="503">
        <f t="shared" si="55"/>
        <v>80</v>
      </c>
      <c r="V46" s="505">
        <f t="shared" si="55"/>
        <v>398</v>
      </c>
      <c r="W46" s="505"/>
      <c r="X46" s="505"/>
      <c r="Y46" s="503">
        <f t="shared" ref="Y46:AF46" si="56">Y28+Y34+Y40</f>
        <v>55</v>
      </c>
      <c r="Z46" s="503">
        <f t="shared" si="56"/>
        <v>66</v>
      </c>
      <c r="AA46" s="503">
        <f t="shared" si="56"/>
        <v>36</v>
      </c>
      <c r="AB46" s="503">
        <f t="shared" si="56"/>
        <v>48</v>
      </c>
      <c r="AC46" s="503">
        <f t="shared" si="56"/>
        <v>74</v>
      </c>
      <c r="AD46" s="503">
        <f t="shared" si="56"/>
        <v>77</v>
      </c>
      <c r="AE46" s="503">
        <f t="shared" si="56"/>
        <v>67</v>
      </c>
      <c r="AF46" s="505">
        <f t="shared" si="56"/>
        <v>423</v>
      </c>
      <c r="AG46" s="505"/>
      <c r="AH46" s="505"/>
      <c r="AI46" s="503">
        <f t="shared" ref="AI46:AP46" si="57">AI28+AI34+AI40</f>
        <v>59</v>
      </c>
      <c r="AJ46" s="503">
        <f t="shared" si="57"/>
        <v>53</v>
      </c>
      <c r="AK46" s="503">
        <f t="shared" si="57"/>
        <v>77</v>
      </c>
      <c r="AL46" s="503">
        <f t="shared" si="57"/>
        <v>56</v>
      </c>
      <c r="AM46" s="503">
        <f t="shared" si="57"/>
        <v>70</v>
      </c>
      <c r="AN46" s="503">
        <f t="shared" si="57"/>
        <v>34</v>
      </c>
      <c r="AO46" s="503">
        <f t="shared" si="57"/>
        <v>70</v>
      </c>
      <c r="AP46" s="505">
        <f t="shared" si="57"/>
        <v>419</v>
      </c>
      <c r="AQ46" s="505"/>
      <c r="AR46" s="505"/>
      <c r="AS46" s="515"/>
    </row>
    <row r="47" spans="1:45" ht="16.5" customHeight="1">
      <c r="A47" s="517" t="str">
        <f t="shared" si="41"/>
        <v>이마트</v>
      </c>
      <c r="B47" s="686"/>
      <c r="C47" s="518">
        <v>46089</v>
      </c>
      <c r="D47" s="507" t="s">
        <v>472</v>
      </c>
      <c r="E47" s="508">
        <f t="shared" ref="E47:L47" si="58">E29+E35+E41</f>
        <v>43</v>
      </c>
      <c r="F47" s="508">
        <f t="shared" si="58"/>
        <v>40</v>
      </c>
      <c r="G47" s="508">
        <f t="shared" si="58"/>
        <v>28</v>
      </c>
      <c r="H47" s="508">
        <f t="shared" si="58"/>
        <v>33</v>
      </c>
      <c r="I47" s="508">
        <f t="shared" si="58"/>
        <v>34</v>
      </c>
      <c r="J47" s="508">
        <f t="shared" si="58"/>
        <v>30</v>
      </c>
      <c r="K47" s="508">
        <f t="shared" si="58"/>
        <v>34</v>
      </c>
      <c r="L47" s="509">
        <f t="shared" si="58"/>
        <v>242</v>
      </c>
      <c r="M47" s="510"/>
      <c r="N47" s="510"/>
      <c r="O47" s="511">
        <f t="shared" ref="O47:V47" si="59">O29+O35+O41</f>
        <v>24</v>
      </c>
      <c r="P47" s="508">
        <f t="shared" si="59"/>
        <v>25</v>
      </c>
      <c r="Q47" s="508">
        <f t="shared" si="59"/>
        <v>37</v>
      </c>
      <c r="R47" s="508">
        <f t="shared" si="59"/>
        <v>44</v>
      </c>
      <c r="S47" s="508">
        <f t="shared" si="59"/>
        <v>47</v>
      </c>
      <c r="T47" s="508">
        <f t="shared" si="59"/>
        <v>15</v>
      </c>
      <c r="U47" s="508">
        <f t="shared" si="59"/>
        <v>38</v>
      </c>
      <c r="V47" s="510">
        <f t="shared" si="59"/>
        <v>230</v>
      </c>
      <c r="W47" s="510"/>
      <c r="X47" s="510"/>
      <c r="Y47" s="508">
        <f t="shared" ref="Y47:AF47" si="60">Y29+Y35+Y41</f>
        <v>34</v>
      </c>
      <c r="Z47" s="508">
        <f t="shared" si="60"/>
        <v>29</v>
      </c>
      <c r="AA47" s="508">
        <f t="shared" si="60"/>
        <v>33</v>
      </c>
      <c r="AB47" s="508">
        <f t="shared" si="60"/>
        <v>27</v>
      </c>
      <c r="AC47" s="508">
        <f t="shared" si="60"/>
        <v>40</v>
      </c>
      <c r="AD47" s="508">
        <f t="shared" si="60"/>
        <v>39</v>
      </c>
      <c r="AE47" s="508">
        <f t="shared" si="60"/>
        <v>20</v>
      </c>
      <c r="AF47" s="510">
        <f t="shared" si="60"/>
        <v>222</v>
      </c>
      <c r="AG47" s="510"/>
      <c r="AH47" s="510"/>
      <c r="AI47" s="508">
        <f t="shared" ref="AI47:AP47" si="61">AI29+AI35+AI41</f>
        <v>38</v>
      </c>
      <c r="AJ47" s="508">
        <f t="shared" si="61"/>
        <v>25</v>
      </c>
      <c r="AK47" s="508">
        <f t="shared" si="61"/>
        <v>36</v>
      </c>
      <c r="AL47" s="508">
        <f t="shared" si="61"/>
        <v>29</v>
      </c>
      <c r="AM47" s="508">
        <f t="shared" si="61"/>
        <v>47</v>
      </c>
      <c r="AN47" s="508">
        <f t="shared" si="61"/>
        <v>18</v>
      </c>
      <c r="AO47" s="508">
        <f t="shared" si="61"/>
        <v>40</v>
      </c>
      <c r="AP47" s="510">
        <f t="shared" si="61"/>
        <v>233</v>
      </c>
      <c r="AQ47" s="510"/>
      <c r="AR47" s="510"/>
      <c r="AS47" s="515"/>
    </row>
    <row r="48" spans="1:45" ht="16.5" customHeight="1">
      <c r="A48" s="512" t="s">
        <v>292</v>
      </c>
      <c r="B48" s="688" t="s">
        <v>292</v>
      </c>
      <c r="C48" s="520">
        <v>45915</v>
      </c>
      <c r="D48" s="521" t="s">
        <v>467</v>
      </c>
      <c r="E48" s="517">
        <v>6</v>
      </c>
      <c r="F48" s="517">
        <v>4</v>
      </c>
      <c r="G48" s="517">
        <v>1</v>
      </c>
      <c r="H48" s="517">
        <v>9</v>
      </c>
      <c r="I48" s="517">
        <v>6</v>
      </c>
      <c r="J48" s="517">
        <v>3</v>
      </c>
      <c r="K48" s="522">
        <v>4</v>
      </c>
      <c r="L48" s="523">
        <f t="shared" ref="L48:L53" si="62">SUM(E48:K48)</f>
        <v>33</v>
      </c>
      <c r="M48" s="514"/>
      <c r="N48" s="514"/>
      <c r="O48" s="524">
        <v>5</v>
      </c>
      <c r="P48" s="517">
        <v>13</v>
      </c>
      <c r="Q48" s="517">
        <v>4</v>
      </c>
      <c r="R48" s="517">
        <v>6</v>
      </c>
      <c r="S48" s="517">
        <v>11</v>
      </c>
      <c r="T48" s="517">
        <v>3</v>
      </c>
      <c r="U48" s="522">
        <v>4</v>
      </c>
      <c r="V48" s="514">
        <f t="shared" ref="V48:V53" si="63">SUM(O48:U48)</f>
        <v>46</v>
      </c>
      <c r="W48" s="514"/>
      <c r="X48" s="514"/>
      <c r="Y48" s="524">
        <v>12</v>
      </c>
      <c r="Z48" s="517">
        <v>1</v>
      </c>
      <c r="AA48" s="517">
        <v>5</v>
      </c>
      <c r="AB48" s="517">
        <v>7</v>
      </c>
      <c r="AC48" s="517">
        <v>11</v>
      </c>
      <c r="AD48" s="517">
        <v>10</v>
      </c>
      <c r="AE48" s="522">
        <v>2</v>
      </c>
      <c r="AF48" s="514">
        <f t="shared" ref="AF48:AF53" si="64">SUM(Y48:AE48)</f>
        <v>48</v>
      </c>
      <c r="AG48" s="514"/>
      <c r="AH48" s="514"/>
      <c r="AI48" s="524">
        <v>4</v>
      </c>
      <c r="AJ48" s="517">
        <v>3</v>
      </c>
      <c r="AK48" s="517">
        <v>5</v>
      </c>
      <c r="AL48" s="517">
        <v>7</v>
      </c>
      <c r="AM48" s="517">
        <v>14</v>
      </c>
      <c r="AN48" s="517">
        <v>3</v>
      </c>
      <c r="AO48" s="522">
        <v>12</v>
      </c>
      <c r="AP48" s="514">
        <f t="shared" ref="AP48:AP53" si="65">SUM(AI48:AO48)</f>
        <v>48</v>
      </c>
      <c r="AQ48" s="514"/>
      <c r="AR48" s="514"/>
      <c r="AS48" s="515"/>
    </row>
    <row r="49" spans="1:45" ht="16.5" customHeight="1">
      <c r="A49" s="516" t="str">
        <f t="shared" ref="A49:A53" si="66">A48</f>
        <v>롯데마트</v>
      </c>
      <c r="B49" s="584"/>
      <c r="C49" s="496">
        <v>45843</v>
      </c>
      <c r="D49" s="495" t="s">
        <v>468</v>
      </c>
      <c r="E49" s="503">
        <v>7</v>
      </c>
      <c r="F49" s="503">
        <v>7</v>
      </c>
      <c r="G49" s="503">
        <v>7</v>
      </c>
      <c r="H49" s="503">
        <v>5</v>
      </c>
      <c r="I49" s="503">
        <v>4</v>
      </c>
      <c r="J49" s="503">
        <v>13</v>
      </c>
      <c r="K49" s="513">
        <v>9</v>
      </c>
      <c r="L49" s="504">
        <f t="shared" si="62"/>
        <v>52</v>
      </c>
      <c r="M49" s="505"/>
      <c r="N49" s="505"/>
      <c r="O49" s="506">
        <v>6</v>
      </c>
      <c r="P49" s="503">
        <v>5</v>
      </c>
      <c r="Q49" s="503">
        <v>11</v>
      </c>
      <c r="R49" s="503">
        <v>4</v>
      </c>
      <c r="S49" s="503">
        <v>5</v>
      </c>
      <c r="T49" s="503">
        <v>2</v>
      </c>
      <c r="U49" s="513">
        <v>8</v>
      </c>
      <c r="V49" s="505">
        <f t="shared" si="63"/>
        <v>41</v>
      </c>
      <c r="W49" s="505"/>
      <c r="X49" s="505"/>
      <c r="Y49" s="506">
        <v>7</v>
      </c>
      <c r="Z49" s="503">
        <v>7</v>
      </c>
      <c r="AA49" s="503">
        <v>8</v>
      </c>
      <c r="AB49" s="503">
        <v>6</v>
      </c>
      <c r="AC49" s="503">
        <v>12</v>
      </c>
      <c r="AD49" s="503">
        <v>5</v>
      </c>
      <c r="AE49" s="513">
        <v>7</v>
      </c>
      <c r="AF49" s="505">
        <f t="shared" si="64"/>
        <v>52</v>
      </c>
      <c r="AG49" s="505"/>
      <c r="AH49" s="505"/>
      <c r="AI49" s="506">
        <v>3</v>
      </c>
      <c r="AJ49" s="503">
        <v>9</v>
      </c>
      <c r="AK49" s="503">
        <v>6</v>
      </c>
      <c r="AL49" s="503">
        <v>4</v>
      </c>
      <c r="AM49" s="503">
        <v>7</v>
      </c>
      <c r="AN49" s="503">
        <v>6</v>
      </c>
      <c r="AO49" s="513">
        <v>14</v>
      </c>
      <c r="AP49" s="505">
        <f t="shared" si="65"/>
        <v>49</v>
      </c>
      <c r="AQ49" s="505"/>
      <c r="AR49" s="505"/>
      <c r="AS49" s="515"/>
    </row>
    <row r="50" spans="1:45" ht="16.5" customHeight="1">
      <c r="A50" s="516" t="str">
        <f t="shared" si="66"/>
        <v>롯데마트</v>
      </c>
      <c r="B50" s="584"/>
      <c r="C50" s="496">
        <v>45795</v>
      </c>
      <c r="D50" s="495" t="s">
        <v>469</v>
      </c>
      <c r="E50" s="503">
        <v>5</v>
      </c>
      <c r="F50" s="503">
        <v>6</v>
      </c>
      <c r="G50" s="503">
        <v>11</v>
      </c>
      <c r="H50" s="503">
        <v>6</v>
      </c>
      <c r="I50" s="503">
        <v>6</v>
      </c>
      <c r="J50" s="503">
        <v>9</v>
      </c>
      <c r="K50" s="513">
        <v>9</v>
      </c>
      <c r="L50" s="504">
        <f t="shared" si="62"/>
        <v>52</v>
      </c>
      <c r="M50" s="505"/>
      <c r="N50" s="505"/>
      <c r="O50" s="506">
        <v>3</v>
      </c>
      <c r="P50" s="503">
        <v>4</v>
      </c>
      <c r="Q50" s="503">
        <v>11</v>
      </c>
      <c r="R50" s="503">
        <v>4</v>
      </c>
      <c r="S50" s="503">
        <v>7</v>
      </c>
      <c r="T50" s="503">
        <v>4</v>
      </c>
      <c r="U50" s="513">
        <v>4</v>
      </c>
      <c r="V50" s="505">
        <f t="shared" si="63"/>
        <v>37</v>
      </c>
      <c r="W50" s="505"/>
      <c r="X50" s="505"/>
      <c r="Y50" s="506">
        <v>9</v>
      </c>
      <c r="Z50" s="503">
        <v>7</v>
      </c>
      <c r="AA50" s="503">
        <v>4</v>
      </c>
      <c r="AB50" s="503">
        <v>2</v>
      </c>
      <c r="AC50" s="503">
        <v>16</v>
      </c>
      <c r="AD50" s="503">
        <v>11</v>
      </c>
      <c r="AE50" s="513">
        <v>15</v>
      </c>
      <c r="AF50" s="505">
        <f t="shared" si="64"/>
        <v>64</v>
      </c>
      <c r="AG50" s="505"/>
      <c r="AH50" s="505"/>
      <c r="AI50" s="506">
        <v>7</v>
      </c>
      <c r="AJ50" s="503">
        <v>2</v>
      </c>
      <c r="AK50" s="503">
        <v>10</v>
      </c>
      <c r="AL50" s="503">
        <v>8</v>
      </c>
      <c r="AM50" s="503">
        <v>9</v>
      </c>
      <c r="AN50" s="503">
        <v>1</v>
      </c>
      <c r="AO50" s="513">
        <v>4</v>
      </c>
      <c r="AP50" s="505">
        <f t="shared" si="65"/>
        <v>41</v>
      </c>
      <c r="AQ50" s="505"/>
      <c r="AR50" s="505"/>
      <c r="AS50" s="515"/>
    </row>
    <row r="51" spans="1:45" ht="16.5" customHeight="1">
      <c r="A51" s="516" t="str">
        <f t="shared" si="66"/>
        <v>롯데마트</v>
      </c>
      <c r="B51" s="584"/>
      <c r="C51" s="496">
        <v>46122</v>
      </c>
      <c r="D51" s="495" t="s">
        <v>470</v>
      </c>
      <c r="E51" s="503">
        <v>18</v>
      </c>
      <c r="F51" s="503">
        <v>12</v>
      </c>
      <c r="G51" s="503">
        <v>21</v>
      </c>
      <c r="H51" s="503">
        <v>11</v>
      </c>
      <c r="I51" s="503">
        <v>15</v>
      </c>
      <c r="J51" s="503">
        <v>19</v>
      </c>
      <c r="K51" s="513">
        <v>7</v>
      </c>
      <c r="L51" s="504">
        <f t="shared" si="62"/>
        <v>103</v>
      </c>
      <c r="M51" s="505"/>
      <c r="N51" s="505"/>
      <c r="O51" s="506">
        <v>10</v>
      </c>
      <c r="P51" s="503">
        <v>16</v>
      </c>
      <c r="Q51" s="503">
        <v>11</v>
      </c>
      <c r="R51" s="503">
        <v>15</v>
      </c>
      <c r="S51" s="503">
        <v>11</v>
      </c>
      <c r="T51" s="503">
        <v>5</v>
      </c>
      <c r="U51" s="513">
        <v>30</v>
      </c>
      <c r="V51" s="505">
        <f t="shared" si="63"/>
        <v>98</v>
      </c>
      <c r="W51" s="505"/>
      <c r="X51" s="505"/>
      <c r="Y51" s="506">
        <v>15</v>
      </c>
      <c r="Z51" s="503">
        <v>12</v>
      </c>
      <c r="AA51" s="503">
        <v>10</v>
      </c>
      <c r="AB51" s="503">
        <v>10</v>
      </c>
      <c r="AC51" s="503">
        <v>15</v>
      </c>
      <c r="AD51" s="503">
        <v>21</v>
      </c>
      <c r="AE51" s="513">
        <v>9</v>
      </c>
      <c r="AF51" s="505">
        <f t="shared" si="64"/>
        <v>92</v>
      </c>
      <c r="AG51" s="505"/>
      <c r="AH51" s="505"/>
      <c r="AI51" s="506">
        <v>13</v>
      </c>
      <c r="AJ51" s="503">
        <v>6</v>
      </c>
      <c r="AK51" s="503">
        <v>10</v>
      </c>
      <c r="AL51" s="503">
        <v>13</v>
      </c>
      <c r="AM51" s="503">
        <v>12</v>
      </c>
      <c r="AN51" s="503">
        <v>7</v>
      </c>
      <c r="AO51" s="513">
        <v>5</v>
      </c>
      <c r="AP51" s="505">
        <f t="shared" si="65"/>
        <v>66</v>
      </c>
      <c r="AQ51" s="505"/>
      <c r="AR51" s="505"/>
      <c r="AS51" s="515"/>
    </row>
    <row r="52" spans="1:45" ht="16.5" customHeight="1">
      <c r="A52" s="516" t="str">
        <f t="shared" si="66"/>
        <v>롯데마트</v>
      </c>
      <c r="B52" s="584"/>
      <c r="C52" s="496">
        <v>46067</v>
      </c>
      <c r="D52" s="495" t="s">
        <v>471</v>
      </c>
      <c r="E52" s="503">
        <v>19</v>
      </c>
      <c r="F52" s="503">
        <v>17</v>
      </c>
      <c r="G52" s="503">
        <v>14</v>
      </c>
      <c r="H52" s="503">
        <v>11</v>
      </c>
      <c r="I52" s="503">
        <v>24</v>
      </c>
      <c r="J52" s="503">
        <v>25</v>
      </c>
      <c r="K52" s="513">
        <v>28</v>
      </c>
      <c r="L52" s="504">
        <f t="shared" si="62"/>
        <v>138</v>
      </c>
      <c r="M52" s="505"/>
      <c r="N52" s="505"/>
      <c r="O52" s="506">
        <v>11</v>
      </c>
      <c r="P52" s="503">
        <v>21</v>
      </c>
      <c r="Q52" s="503">
        <v>20</v>
      </c>
      <c r="R52" s="503">
        <v>23</v>
      </c>
      <c r="S52" s="503">
        <v>24</v>
      </c>
      <c r="T52" s="503">
        <v>10</v>
      </c>
      <c r="U52" s="513">
        <v>9</v>
      </c>
      <c r="V52" s="505">
        <f t="shared" si="63"/>
        <v>118</v>
      </c>
      <c r="W52" s="505"/>
      <c r="X52" s="505"/>
      <c r="Y52" s="506">
        <v>18</v>
      </c>
      <c r="Z52" s="503">
        <v>15</v>
      </c>
      <c r="AA52" s="503">
        <v>19</v>
      </c>
      <c r="AB52" s="503">
        <v>13</v>
      </c>
      <c r="AC52" s="503">
        <v>15</v>
      </c>
      <c r="AD52" s="503">
        <v>15</v>
      </c>
      <c r="AE52" s="513">
        <v>21</v>
      </c>
      <c r="AF52" s="505">
        <f t="shared" si="64"/>
        <v>116</v>
      </c>
      <c r="AG52" s="505"/>
      <c r="AH52" s="505"/>
      <c r="AI52" s="506">
        <v>20</v>
      </c>
      <c r="AJ52" s="503">
        <v>6</v>
      </c>
      <c r="AK52" s="503">
        <v>14</v>
      </c>
      <c r="AL52" s="503">
        <v>19</v>
      </c>
      <c r="AM52" s="503">
        <v>30</v>
      </c>
      <c r="AN52" s="503">
        <v>8</v>
      </c>
      <c r="AO52" s="513">
        <v>19</v>
      </c>
      <c r="AP52" s="505">
        <f t="shared" si="65"/>
        <v>116</v>
      </c>
      <c r="AQ52" s="505"/>
      <c r="AR52" s="505"/>
      <c r="AS52" s="515"/>
    </row>
    <row r="53" spans="1:45" ht="16.5" customHeight="1">
      <c r="A53" s="517" t="str">
        <f t="shared" si="66"/>
        <v>롯데마트</v>
      </c>
      <c r="B53" s="597"/>
      <c r="C53" s="496">
        <v>46089</v>
      </c>
      <c r="D53" s="495" t="s">
        <v>472</v>
      </c>
      <c r="E53" s="503">
        <v>10</v>
      </c>
      <c r="F53" s="503">
        <v>19</v>
      </c>
      <c r="G53" s="503">
        <v>8</v>
      </c>
      <c r="H53" s="503">
        <v>11</v>
      </c>
      <c r="I53" s="503">
        <v>8</v>
      </c>
      <c r="J53" s="503">
        <v>11</v>
      </c>
      <c r="K53" s="513">
        <v>13</v>
      </c>
      <c r="L53" s="504">
        <f t="shared" si="62"/>
        <v>80</v>
      </c>
      <c r="M53" s="505"/>
      <c r="N53" s="505"/>
      <c r="O53" s="506">
        <v>4</v>
      </c>
      <c r="P53" s="503">
        <v>5</v>
      </c>
      <c r="Q53" s="503">
        <v>11</v>
      </c>
      <c r="R53" s="503">
        <v>8</v>
      </c>
      <c r="S53" s="503">
        <v>7</v>
      </c>
      <c r="T53" s="503">
        <v>4</v>
      </c>
      <c r="U53" s="513">
        <v>14</v>
      </c>
      <c r="V53" s="505">
        <f t="shared" si="63"/>
        <v>53</v>
      </c>
      <c r="W53" s="505"/>
      <c r="X53" s="505"/>
      <c r="Y53" s="506">
        <v>16</v>
      </c>
      <c r="Z53" s="503">
        <v>8</v>
      </c>
      <c r="AA53" s="503">
        <v>8</v>
      </c>
      <c r="AB53" s="503">
        <v>9</v>
      </c>
      <c r="AC53" s="503">
        <v>12</v>
      </c>
      <c r="AD53" s="503">
        <v>5</v>
      </c>
      <c r="AE53" s="513">
        <v>8</v>
      </c>
      <c r="AF53" s="505">
        <f t="shared" si="64"/>
        <v>66</v>
      </c>
      <c r="AG53" s="505"/>
      <c r="AH53" s="505"/>
      <c r="AI53" s="506">
        <v>6</v>
      </c>
      <c r="AJ53" s="503">
        <v>6</v>
      </c>
      <c r="AK53" s="503">
        <v>8</v>
      </c>
      <c r="AL53" s="503">
        <v>6</v>
      </c>
      <c r="AM53" s="503">
        <v>8</v>
      </c>
      <c r="AN53" s="503">
        <v>4</v>
      </c>
      <c r="AO53" s="513">
        <v>25</v>
      </c>
      <c r="AP53" s="505">
        <f t="shared" si="65"/>
        <v>63</v>
      </c>
      <c r="AQ53" s="505"/>
      <c r="AR53" s="505"/>
      <c r="AS53" s="515"/>
    </row>
    <row r="54" spans="1:45" ht="16.5" customHeight="1">
      <c r="C54" s="525"/>
      <c r="D54" s="526"/>
    </row>
    <row r="55" spans="1:45" ht="16.5" customHeight="1">
      <c r="C55" s="525"/>
      <c r="D55" s="526"/>
    </row>
    <row r="56" spans="1:45" ht="16.5" customHeight="1">
      <c r="B56" s="527" t="s">
        <v>290</v>
      </c>
      <c r="C56" s="515"/>
    </row>
    <row r="57" spans="1:45" ht="16.5" customHeight="1">
      <c r="B57" s="528" t="s">
        <v>43</v>
      </c>
      <c r="C57" s="528">
        <v>160</v>
      </c>
      <c r="D57" s="496">
        <f t="shared" ref="D57:D60" ca="1" si="67">TODAY()+C57</f>
        <v>46149</v>
      </c>
    </row>
    <row r="58" spans="1:45" ht="16.5" customHeight="1">
      <c r="B58" s="528" t="s">
        <v>292</v>
      </c>
      <c r="C58" s="528">
        <v>210</v>
      </c>
      <c r="D58" s="496">
        <f t="shared" ca="1" si="67"/>
        <v>46199</v>
      </c>
    </row>
    <row r="59" spans="1:45" ht="16.5" customHeight="1">
      <c r="B59" s="528" t="s">
        <v>293</v>
      </c>
      <c r="C59" s="528">
        <v>163</v>
      </c>
      <c r="D59" s="496">
        <f t="shared" ca="1" si="67"/>
        <v>46152</v>
      </c>
    </row>
    <row r="60" spans="1:45" ht="16.5" customHeight="1">
      <c r="B60" s="528" t="s">
        <v>294</v>
      </c>
      <c r="C60" s="528">
        <v>170</v>
      </c>
      <c r="D60" s="496">
        <f t="shared" ca="1" si="67"/>
        <v>46159</v>
      </c>
    </row>
    <row r="61" spans="1:45" ht="16.5" customHeight="1"/>
    <row r="62" spans="1:45" ht="16.5" customHeight="1">
      <c r="B62" s="529" t="s">
        <v>482</v>
      </c>
    </row>
    <row r="63" spans="1:45" ht="16.5" customHeight="1">
      <c r="B63" s="684" t="s">
        <v>43</v>
      </c>
      <c r="C63" s="496">
        <v>45768</v>
      </c>
      <c r="D63" s="528" t="s">
        <v>467</v>
      </c>
    </row>
    <row r="64" spans="1:45" ht="16.5" customHeight="1">
      <c r="B64" s="584"/>
      <c r="C64" s="496">
        <v>45803</v>
      </c>
      <c r="D64" s="528" t="s">
        <v>468</v>
      </c>
    </row>
    <row r="65" spans="2:4" ht="16.5" customHeight="1">
      <c r="B65" s="597"/>
      <c r="C65" s="496">
        <v>45795</v>
      </c>
      <c r="D65" s="528" t="s">
        <v>469</v>
      </c>
    </row>
    <row r="66" spans="2:4" ht="16.5" customHeight="1">
      <c r="B66" s="684" t="s">
        <v>292</v>
      </c>
      <c r="C66" s="496">
        <v>45915</v>
      </c>
      <c r="D66" s="528" t="s">
        <v>467</v>
      </c>
    </row>
    <row r="67" spans="2:4" ht="16.5" customHeight="1">
      <c r="B67" s="584"/>
      <c r="C67" s="496">
        <v>45843</v>
      </c>
      <c r="D67" s="528" t="s">
        <v>468</v>
      </c>
    </row>
    <row r="68" spans="2:4" ht="16.5" customHeight="1">
      <c r="B68" s="597"/>
      <c r="C68" s="496">
        <v>45795</v>
      </c>
      <c r="D68" s="528" t="s">
        <v>469</v>
      </c>
    </row>
    <row r="69" spans="2:4" ht="16.5" customHeight="1">
      <c r="B69" s="684" t="s">
        <v>293</v>
      </c>
      <c r="C69" s="496">
        <v>45915</v>
      </c>
      <c r="D69" s="528" t="s">
        <v>467</v>
      </c>
    </row>
    <row r="70" spans="2:4" ht="16.5" customHeight="1">
      <c r="B70" s="584"/>
      <c r="C70" s="496">
        <v>45803</v>
      </c>
      <c r="D70" s="528" t="s">
        <v>468</v>
      </c>
    </row>
    <row r="71" spans="2:4" ht="16.5" customHeight="1">
      <c r="B71" s="597"/>
      <c r="C71" s="496">
        <v>45795</v>
      </c>
      <c r="D71" s="528" t="s">
        <v>469</v>
      </c>
    </row>
    <row r="72" spans="2:4" ht="16.5" customHeight="1">
      <c r="B72" s="684" t="s">
        <v>294</v>
      </c>
      <c r="C72" s="496">
        <v>45915</v>
      </c>
      <c r="D72" s="528" t="s">
        <v>467</v>
      </c>
    </row>
    <row r="73" spans="2:4" ht="16.5" customHeight="1">
      <c r="B73" s="584"/>
      <c r="C73" s="496">
        <v>45843</v>
      </c>
      <c r="D73" s="528" t="s">
        <v>468</v>
      </c>
    </row>
    <row r="74" spans="2:4" ht="16.5" customHeight="1">
      <c r="B74" s="597"/>
      <c r="C74" s="496">
        <v>45850</v>
      </c>
      <c r="D74" s="528" t="s">
        <v>469</v>
      </c>
    </row>
    <row r="75" spans="2:4" ht="16.5" customHeight="1">
      <c r="C75" s="525"/>
      <c r="D75" s="526"/>
    </row>
    <row r="76" spans="2:4" ht="16.5" customHeight="1">
      <c r="C76" s="525"/>
      <c r="D76" s="526"/>
    </row>
    <row r="77" spans="2:4" ht="16.5" customHeight="1">
      <c r="C77" s="525"/>
      <c r="D77" s="526"/>
    </row>
    <row r="78" spans="2:4" ht="16.5" customHeight="1">
      <c r="C78" s="525"/>
      <c r="D78" s="526"/>
    </row>
    <row r="79" spans="2:4" ht="16.5" customHeight="1">
      <c r="C79" s="525"/>
      <c r="D79" s="526"/>
    </row>
    <row r="80" spans="2:4" ht="16.5" customHeight="1">
      <c r="C80" s="525"/>
      <c r="D80" s="526"/>
    </row>
    <row r="81" spans="3:4" ht="16.5" customHeight="1">
      <c r="C81" s="525"/>
      <c r="D81" s="526"/>
    </row>
    <row r="82" spans="3:4" ht="16.5" customHeight="1">
      <c r="C82" s="525"/>
      <c r="D82" s="526"/>
    </row>
    <row r="83" spans="3:4" ht="16.5" customHeight="1">
      <c r="C83" s="525"/>
      <c r="D83" s="526"/>
    </row>
    <row r="84" spans="3:4" ht="16.5" customHeight="1">
      <c r="C84" s="525"/>
      <c r="D84" s="526"/>
    </row>
    <row r="85" spans="3:4" ht="16.5" customHeight="1">
      <c r="C85" s="525"/>
      <c r="D85" s="526"/>
    </row>
    <row r="86" spans="3:4" ht="16.5" customHeight="1">
      <c r="C86" s="525"/>
      <c r="D86" s="526"/>
    </row>
    <row r="87" spans="3:4" ht="16.5" customHeight="1">
      <c r="C87" s="525"/>
      <c r="D87" s="526"/>
    </row>
    <row r="88" spans="3:4" ht="16.5" customHeight="1">
      <c r="C88" s="525"/>
      <c r="D88" s="526"/>
    </row>
    <row r="89" spans="3:4" ht="16.5" customHeight="1">
      <c r="C89" s="525"/>
      <c r="D89" s="526"/>
    </row>
    <row r="90" spans="3:4" ht="16.5" customHeight="1">
      <c r="C90" s="525"/>
      <c r="D90" s="526"/>
    </row>
    <row r="91" spans="3:4" ht="16.5" customHeight="1">
      <c r="C91" s="525"/>
      <c r="D91" s="526"/>
    </row>
    <row r="92" spans="3:4" ht="16.5" customHeight="1">
      <c r="C92" s="525"/>
      <c r="D92" s="526"/>
    </row>
    <row r="93" spans="3:4" ht="16.5" customHeight="1">
      <c r="C93" s="525"/>
      <c r="D93" s="526"/>
    </row>
    <row r="94" spans="3:4" ht="16.5" customHeight="1">
      <c r="C94" s="525"/>
      <c r="D94" s="526"/>
    </row>
    <row r="95" spans="3:4" ht="16.5" customHeight="1">
      <c r="C95" s="525"/>
      <c r="D95" s="526"/>
    </row>
    <row r="96" spans="3:4" ht="16.5" customHeight="1">
      <c r="C96" s="525"/>
      <c r="D96" s="526"/>
    </row>
    <row r="97" spans="3:4" ht="16.5" customHeight="1">
      <c r="C97" s="525"/>
      <c r="D97" s="526"/>
    </row>
    <row r="98" spans="3:4" ht="16.5" customHeight="1">
      <c r="C98" s="525"/>
      <c r="D98" s="526"/>
    </row>
    <row r="99" spans="3:4" ht="16.5" customHeight="1">
      <c r="C99" s="525"/>
      <c r="D99" s="526"/>
    </row>
    <row r="100" spans="3:4" ht="16.5" customHeight="1">
      <c r="C100" s="525"/>
      <c r="D100" s="526"/>
    </row>
    <row r="101" spans="3:4" ht="16.5" customHeight="1">
      <c r="C101" s="525"/>
      <c r="D101" s="526"/>
    </row>
    <row r="102" spans="3:4" ht="16.5" customHeight="1">
      <c r="C102" s="525"/>
      <c r="D102" s="526"/>
    </row>
    <row r="103" spans="3:4" ht="16.5" customHeight="1">
      <c r="C103" s="525"/>
      <c r="D103" s="526"/>
    </row>
    <row r="104" spans="3:4" ht="16.5" customHeight="1">
      <c r="C104" s="525"/>
      <c r="D104" s="526"/>
    </row>
    <row r="105" spans="3:4" ht="16.5" customHeight="1">
      <c r="C105" s="525"/>
      <c r="D105" s="526"/>
    </row>
    <row r="106" spans="3:4" ht="16.5" customHeight="1">
      <c r="C106" s="525"/>
      <c r="D106" s="526"/>
    </row>
    <row r="107" spans="3:4" ht="16.5" customHeight="1">
      <c r="C107" s="525"/>
      <c r="D107" s="526"/>
    </row>
    <row r="108" spans="3:4" ht="16.5" customHeight="1">
      <c r="C108" s="525"/>
      <c r="D108" s="526"/>
    </row>
    <row r="109" spans="3:4" ht="16.5" customHeight="1">
      <c r="C109" s="525"/>
      <c r="D109" s="526"/>
    </row>
    <row r="110" spans="3:4" ht="16.5" customHeight="1">
      <c r="C110" s="525"/>
      <c r="D110" s="526"/>
    </row>
    <row r="111" spans="3:4" ht="16.5" customHeight="1">
      <c r="C111" s="525"/>
      <c r="D111" s="526"/>
    </row>
    <row r="112" spans="3:4" ht="16.5" customHeight="1">
      <c r="C112" s="525"/>
      <c r="D112" s="526"/>
    </row>
    <row r="113" spans="3:4" ht="16.5" customHeight="1">
      <c r="C113" s="525"/>
      <c r="D113" s="526"/>
    </row>
    <row r="114" spans="3:4" ht="16.5" customHeight="1">
      <c r="C114" s="525"/>
      <c r="D114" s="526"/>
    </row>
    <row r="115" spans="3:4" ht="16.5" customHeight="1">
      <c r="C115" s="525"/>
      <c r="D115" s="526"/>
    </row>
    <row r="116" spans="3:4" ht="16.5" customHeight="1">
      <c r="C116" s="525"/>
      <c r="D116" s="526"/>
    </row>
    <row r="117" spans="3:4" ht="16.5" customHeight="1">
      <c r="C117" s="525"/>
      <c r="D117" s="526"/>
    </row>
    <row r="118" spans="3:4" ht="16.5" customHeight="1">
      <c r="C118" s="525"/>
      <c r="D118" s="526"/>
    </row>
    <row r="119" spans="3:4" ht="16.5" customHeight="1">
      <c r="C119" s="525"/>
      <c r="D119" s="526"/>
    </row>
    <row r="120" spans="3:4" ht="16.5" customHeight="1">
      <c r="C120" s="525"/>
      <c r="D120" s="526"/>
    </row>
    <row r="121" spans="3:4" ht="16.5" customHeight="1">
      <c r="C121" s="525"/>
      <c r="D121" s="526"/>
    </row>
    <row r="122" spans="3:4" ht="16.5" customHeight="1">
      <c r="C122" s="525"/>
      <c r="D122" s="526"/>
    </row>
    <row r="123" spans="3:4" ht="16.5" customHeight="1">
      <c r="C123" s="525"/>
      <c r="D123" s="526"/>
    </row>
    <row r="124" spans="3:4" ht="16.5" customHeight="1">
      <c r="C124" s="525"/>
      <c r="D124" s="526"/>
    </row>
    <row r="125" spans="3:4" ht="16.5" customHeight="1">
      <c r="C125" s="525"/>
      <c r="D125" s="526"/>
    </row>
    <row r="126" spans="3:4" ht="16.5" customHeight="1">
      <c r="C126" s="525"/>
      <c r="D126" s="526"/>
    </row>
    <row r="127" spans="3:4" ht="16.5" customHeight="1">
      <c r="C127" s="525"/>
      <c r="D127" s="526"/>
    </row>
    <row r="128" spans="3:4" ht="16.5" customHeight="1">
      <c r="C128" s="525"/>
      <c r="D128" s="526"/>
    </row>
    <row r="129" spans="3:4" ht="16.5" customHeight="1">
      <c r="C129" s="525"/>
      <c r="D129" s="526"/>
    </row>
    <row r="130" spans="3:4" ht="16.5" customHeight="1">
      <c r="C130" s="525"/>
      <c r="D130" s="526"/>
    </row>
    <row r="131" spans="3:4" ht="16.5" customHeight="1">
      <c r="C131" s="525"/>
      <c r="D131" s="526"/>
    </row>
    <row r="132" spans="3:4" ht="16.5" customHeight="1">
      <c r="C132" s="525"/>
      <c r="D132" s="526"/>
    </row>
    <row r="133" spans="3:4" ht="16.5" customHeight="1">
      <c r="C133" s="525"/>
      <c r="D133" s="526"/>
    </row>
    <row r="134" spans="3:4" ht="16.5" customHeight="1">
      <c r="C134" s="525"/>
      <c r="D134" s="526"/>
    </row>
    <row r="135" spans="3:4" ht="16.5" customHeight="1">
      <c r="C135" s="525"/>
      <c r="D135" s="526"/>
    </row>
    <row r="136" spans="3:4" ht="16.5" customHeight="1">
      <c r="C136" s="525"/>
      <c r="D136" s="526"/>
    </row>
    <row r="137" spans="3:4" ht="16.5" customHeight="1">
      <c r="C137" s="525"/>
      <c r="D137" s="526"/>
    </row>
    <row r="138" spans="3:4" ht="16.5" customHeight="1">
      <c r="C138" s="525"/>
      <c r="D138" s="526"/>
    </row>
    <row r="139" spans="3:4" ht="16.5" customHeight="1">
      <c r="C139" s="525"/>
      <c r="D139" s="526"/>
    </row>
    <row r="140" spans="3:4" ht="16.5" customHeight="1">
      <c r="C140" s="525"/>
      <c r="D140" s="526"/>
    </row>
    <row r="141" spans="3:4" ht="16.5" customHeight="1">
      <c r="C141" s="525"/>
      <c r="D141" s="526"/>
    </row>
    <row r="142" spans="3:4" ht="16.5" customHeight="1">
      <c r="C142" s="525"/>
      <c r="D142" s="526"/>
    </row>
    <row r="143" spans="3:4" ht="16.5" customHeight="1">
      <c r="C143" s="525"/>
      <c r="D143" s="526"/>
    </row>
    <row r="144" spans="3:4" ht="16.5" customHeight="1">
      <c r="C144" s="525"/>
      <c r="D144" s="526"/>
    </row>
    <row r="145" spans="3:4" ht="16.5" customHeight="1">
      <c r="C145" s="525"/>
      <c r="D145" s="526"/>
    </row>
    <row r="146" spans="3:4" ht="16.5" customHeight="1">
      <c r="C146" s="525"/>
      <c r="D146" s="526"/>
    </row>
    <row r="147" spans="3:4" ht="16.5" customHeight="1">
      <c r="C147" s="525"/>
      <c r="D147" s="526"/>
    </row>
    <row r="148" spans="3:4" ht="16.5" customHeight="1">
      <c r="C148" s="525"/>
      <c r="D148" s="526"/>
    </row>
    <row r="149" spans="3:4" ht="16.5" customHeight="1">
      <c r="C149" s="525"/>
      <c r="D149" s="526"/>
    </row>
    <row r="150" spans="3:4" ht="16.5" customHeight="1">
      <c r="C150" s="525"/>
      <c r="D150" s="526"/>
    </row>
    <row r="151" spans="3:4" ht="16.5" customHeight="1">
      <c r="C151" s="525"/>
      <c r="D151" s="526"/>
    </row>
    <row r="152" spans="3:4" ht="16.5" customHeight="1">
      <c r="C152" s="525"/>
      <c r="D152" s="526"/>
    </row>
    <row r="153" spans="3:4" ht="16.5" customHeight="1">
      <c r="C153" s="525"/>
      <c r="D153" s="526"/>
    </row>
    <row r="154" spans="3:4" ht="16.5" customHeight="1">
      <c r="C154" s="525"/>
      <c r="D154" s="526"/>
    </row>
    <row r="155" spans="3:4" ht="16.5" customHeight="1">
      <c r="C155" s="525"/>
      <c r="D155" s="526"/>
    </row>
    <row r="156" spans="3:4" ht="16.5" customHeight="1">
      <c r="C156" s="525"/>
      <c r="D156" s="526"/>
    </row>
    <row r="157" spans="3:4" ht="16.5" customHeight="1">
      <c r="C157" s="525"/>
      <c r="D157" s="526"/>
    </row>
    <row r="158" spans="3:4" ht="16.5" customHeight="1">
      <c r="C158" s="525"/>
      <c r="D158" s="526"/>
    </row>
    <row r="159" spans="3:4" ht="16.5" customHeight="1">
      <c r="C159" s="525"/>
      <c r="D159" s="526"/>
    </row>
    <row r="160" spans="3:4" ht="16.5" customHeight="1">
      <c r="C160" s="525"/>
      <c r="D160" s="526"/>
    </row>
    <row r="161" spans="3:4" ht="16.5" customHeight="1">
      <c r="C161" s="525"/>
      <c r="D161" s="526"/>
    </row>
    <row r="162" spans="3:4" ht="16.5" customHeight="1">
      <c r="C162" s="525"/>
      <c r="D162" s="526"/>
    </row>
    <row r="163" spans="3:4" ht="16.5" customHeight="1">
      <c r="C163" s="525"/>
      <c r="D163" s="526"/>
    </row>
    <row r="164" spans="3:4" ht="16.5" customHeight="1">
      <c r="C164" s="525"/>
      <c r="D164" s="526"/>
    </row>
    <row r="165" spans="3:4" ht="16.5" customHeight="1">
      <c r="C165" s="525"/>
      <c r="D165" s="526"/>
    </row>
    <row r="166" spans="3:4" ht="16.5" customHeight="1">
      <c r="C166" s="525"/>
      <c r="D166" s="526"/>
    </row>
    <row r="167" spans="3:4" ht="16.5" customHeight="1">
      <c r="C167" s="525"/>
      <c r="D167" s="526"/>
    </row>
    <row r="168" spans="3:4" ht="16.5" customHeight="1">
      <c r="C168" s="525"/>
      <c r="D168" s="526"/>
    </row>
    <row r="169" spans="3:4" ht="16.5" customHeight="1">
      <c r="C169" s="525"/>
      <c r="D169" s="526"/>
    </row>
    <row r="170" spans="3:4" ht="16.5" customHeight="1">
      <c r="C170" s="525"/>
      <c r="D170" s="526"/>
    </row>
    <row r="171" spans="3:4" ht="16.5" customHeight="1">
      <c r="C171" s="525"/>
      <c r="D171" s="526"/>
    </row>
    <row r="172" spans="3:4" ht="16.5" customHeight="1">
      <c r="C172" s="525"/>
      <c r="D172" s="526"/>
    </row>
    <row r="173" spans="3:4" ht="16.5" customHeight="1">
      <c r="C173" s="525"/>
      <c r="D173" s="526"/>
    </row>
    <row r="174" spans="3:4" ht="16.5" customHeight="1">
      <c r="C174" s="525"/>
      <c r="D174" s="526"/>
    </row>
    <row r="175" spans="3:4" ht="16.5" customHeight="1">
      <c r="C175" s="525"/>
      <c r="D175" s="526"/>
    </row>
    <row r="176" spans="3:4" ht="16.5" customHeight="1">
      <c r="C176" s="525"/>
      <c r="D176" s="526"/>
    </row>
    <row r="177" spans="3:4" ht="16.5" customHeight="1">
      <c r="C177" s="525"/>
      <c r="D177" s="526"/>
    </row>
    <row r="178" spans="3:4" ht="16.5" customHeight="1">
      <c r="C178" s="525"/>
      <c r="D178" s="526"/>
    </row>
    <row r="179" spans="3:4" ht="16.5" customHeight="1">
      <c r="C179" s="525"/>
      <c r="D179" s="526"/>
    </row>
    <row r="180" spans="3:4" ht="16.5" customHeight="1">
      <c r="C180" s="525"/>
      <c r="D180" s="526"/>
    </row>
    <row r="181" spans="3:4" ht="16.5" customHeight="1">
      <c r="C181" s="525"/>
      <c r="D181" s="526"/>
    </row>
    <row r="182" spans="3:4" ht="16.5" customHeight="1">
      <c r="C182" s="525"/>
      <c r="D182" s="526"/>
    </row>
    <row r="183" spans="3:4" ht="16.5" customHeight="1">
      <c r="C183" s="525"/>
      <c r="D183" s="526"/>
    </row>
    <row r="184" spans="3:4" ht="16.5" customHeight="1">
      <c r="C184" s="525"/>
      <c r="D184" s="526"/>
    </row>
    <row r="185" spans="3:4" ht="16.5" customHeight="1">
      <c r="C185" s="525"/>
      <c r="D185" s="526"/>
    </row>
    <row r="186" spans="3:4" ht="16.5" customHeight="1">
      <c r="C186" s="525"/>
      <c r="D186" s="526"/>
    </row>
    <row r="187" spans="3:4" ht="16.5" customHeight="1">
      <c r="C187" s="525"/>
      <c r="D187" s="526"/>
    </row>
    <row r="188" spans="3:4" ht="16.5" customHeight="1">
      <c r="C188" s="525"/>
      <c r="D188" s="526"/>
    </row>
    <row r="189" spans="3:4" ht="16.5" customHeight="1">
      <c r="C189" s="525"/>
      <c r="D189" s="526"/>
    </row>
    <row r="190" spans="3:4" ht="16.5" customHeight="1">
      <c r="C190" s="525"/>
      <c r="D190" s="526"/>
    </row>
    <row r="191" spans="3:4" ht="16.5" customHeight="1">
      <c r="C191" s="525"/>
      <c r="D191" s="526"/>
    </row>
    <row r="192" spans="3:4" ht="16.5" customHeight="1">
      <c r="C192" s="525"/>
      <c r="D192" s="526"/>
    </row>
    <row r="193" spans="3:4" ht="16.5" customHeight="1">
      <c r="C193" s="525"/>
      <c r="D193" s="526"/>
    </row>
    <row r="194" spans="3:4" ht="16.5" customHeight="1">
      <c r="C194" s="525"/>
      <c r="D194" s="526"/>
    </row>
    <row r="195" spans="3:4" ht="16.5" customHeight="1">
      <c r="C195" s="525"/>
      <c r="D195" s="526"/>
    </row>
    <row r="196" spans="3:4" ht="16.5" customHeight="1">
      <c r="C196" s="525"/>
      <c r="D196" s="526"/>
    </row>
    <row r="197" spans="3:4" ht="16.5" customHeight="1">
      <c r="C197" s="525"/>
      <c r="D197" s="526"/>
    </row>
    <row r="198" spans="3:4" ht="16.5" customHeight="1">
      <c r="C198" s="525"/>
      <c r="D198" s="526"/>
    </row>
    <row r="199" spans="3:4" ht="16.5" customHeight="1">
      <c r="C199" s="525"/>
      <c r="D199" s="526"/>
    </row>
    <row r="200" spans="3:4" ht="16.5" customHeight="1">
      <c r="C200" s="525"/>
      <c r="D200" s="526"/>
    </row>
    <row r="201" spans="3:4" ht="16.5" customHeight="1">
      <c r="C201" s="525"/>
      <c r="D201" s="526"/>
    </row>
    <row r="202" spans="3:4" ht="16.5" customHeight="1">
      <c r="C202" s="525"/>
      <c r="D202" s="526"/>
    </row>
    <row r="203" spans="3:4" ht="16.5" customHeight="1">
      <c r="C203" s="525"/>
      <c r="D203" s="526"/>
    </row>
    <row r="204" spans="3:4" ht="16.5" customHeight="1">
      <c r="C204" s="525"/>
      <c r="D204" s="526"/>
    </row>
    <row r="205" spans="3:4" ht="16.5" customHeight="1">
      <c r="C205" s="525"/>
      <c r="D205" s="526"/>
    </row>
    <row r="206" spans="3:4" ht="16.5" customHeight="1">
      <c r="C206" s="525"/>
      <c r="D206" s="526"/>
    </row>
    <row r="207" spans="3:4" ht="16.5" customHeight="1">
      <c r="C207" s="525"/>
      <c r="D207" s="526"/>
    </row>
    <row r="208" spans="3:4" ht="16.5" customHeight="1">
      <c r="C208" s="525"/>
      <c r="D208" s="526"/>
    </row>
    <row r="209" spans="3:4" ht="16.5" customHeight="1">
      <c r="C209" s="525"/>
      <c r="D209" s="526"/>
    </row>
    <row r="210" spans="3:4" ht="16.5" customHeight="1">
      <c r="C210" s="525"/>
      <c r="D210" s="526"/>
    </row>
    <row r="211" spans="3:4" ht="16.5" customHeight="1">
      <c r="C211" s="525"/>
      <c r="D211" s="526"/>
    </row>
    <row r="212" spans="3:4" ht="16.5" customHeight="1">
      <c r="C212" s="525"/>
      <c r="D212" s="526"/>
    </row>
    <row r="213" spans="3:4" ht="16.5" customHeight="1">
      <c r="C213" s="525"/>
      <c r="D213" s="526"/>
    </row>
    <row r="214" spans="3:4" ht="16.5" customHeight="1">
      <c r="C214" s="525"/>
      <c r="D214" s="526"/>
    </row>
    <row r="215" spans="3:4" ht="16.5" customHeight="1">
      <c r="C215" s="525"/>
      <c r="D215" s="526"/>
    </row>
    <row r="216" spans="3:4" ht="16.5" customHeight="1">
      <c r="C216" s="525"/>
      <c r="D216" s="526"/>
    </row>
    <row r="217" spans="3:4" ht="16.5" customHeight="1">
      <c r="C217" s="525"/>
      <c r="D217" s="526"/>
    </row>
    <row r="218" spans="3:4" ht="16.5" customHeight="1">
      <c r="C218" s="525"/>
      <c r="D218" s="526"/>
    </row>
    <row r="219" spans="3:4" ht="16.5" customHeight="1">
      <c r="C219" s="525"/>
      <c r="D219" s="526"/>
    </row>
    <row r="220" spans="3:4" ht="16.5" customHeight="1">
      <c r="C220" s="525"/>
      <c r="D220" s="526"/>
    </row>
    <row r="221" spans="3:4" ht="16.5" customHeight="1">
      <c r="C221" s="525"/>
      <c r="D221" s="526"/>
    </row>
    <row r="222" spans="3:4" ht="16.5" customHeight="1">
      <c r="C222" s="525"/>
      <c r="D222" s="526"/>
    </row>
    <row r="223" spans="3:4" ht="16.5" customHeight="1">
      <c r="C223" s="525"/>
      <c r="D223" s="526"/>
    </row>
    <row r="224" spans="3:4" ht="16.5" customHeight="1">
      <c r="C224" s="525"/>
      <c r="D224" s="526"/>
    </row>
    <row r="225" spans="3:4" ht="16.5" customHeight="1">
      <c r="C225" s="525"/>
      <c r="D225" s="526"/>
    </row>
    <row r="226" spans="3:4" ht="16.5" customHeight="1">
      <c r="C226" s="525"/>
      <c r="D226" s="526"/>
    </row>
    <row r="227" spans="3:4" ht="16.5" customHeight="1">
      <c r="C227" s="525"/>
      <c r="D227" s="526"/>
    </row>
    <row r="228" spans="3:4" ht="16.5" customHeight="1">
      <c r="C228" s="525"/>
      <c r="D228" s="526"/>
    </row>
    <row r="229" spans="3:4" ht="16.5" customHeight="1">
      <c r="C229" s="525"/>
      <c r="D229" s="526"/>
    </row>
    <row r="230" spans="3:4" ht="16.5" customHeight="1">
      <c r="C230" s="525"/>
      <c r="D230" s="526"/>
    </row>
    <row r="231" spans="3:4" ht="16.5" customHeight="1">
      <c r="C231" s="525"/>
      <c r="D231" s="526"/>
    </row>
    <row r="232" spans="3:4" ht="16.5" customHeight="1">
      <c r="C232" s="525"/>
      <c r="D232" s="526"/>
    </row>
    <row r="233" spans="3:4" ht="16.5" customHeight="1">
      <c r="C233" s="525"/>
      <c r="D233" s="526"/>
    </row>
    <row r="234" spans="3:4" ht="16.5" customHeight="1">
      <c r="C234" s="525"/>
      <c r="D234" s="526"/>
    </row>
    <row r="235" spans="3:4" ht="16.5" customHeight="1">
      <c r="C235" s="525"/>
      <c r="D235" s="526"/>
    </row>
    <row r="236" spans="3:4" ht="16.5" customHeight="1">
      <c r="C236" s="525"/>
      <c r="D236" s="526"/>
    </row>
    <row r="237" spans="3:4" ht="16.5" customHeight="1">
      <c r="C237" s="525"/>
      <c r="D237" s="526"/>
    </row>
    <row r="238" spans="3:4" ht="16.5" customHeight="1">
      <c r="C238" s="525"/>
      <c r="D238" s="526"/>
    </row>
    <row r="239" spans="3:4" ht="16.5" customHeight="1">
      <c r="C239" s="525"/>
      <c r="D239" s="526"/>
    </row>
    <row r="240" spans="3:4" ht="16.5" customHeight="1">
      <c r="C240" s="525"/>
      <c r="D240" s="526"/>
    </row>
    <row r="241" spans="3:4" ht="16.5" customHeight="1">
      <c r="C241" s="525"/>
      <c r="D241" s="526"/>
    </row>
    <row r="242" spans="3:4" ht="16.5" customHeight="1">
      <c r="C242" s="525"/>
      <c r="D242" s="526"/>
    </row>
    <row r="243" spans="3:4" ht="16.5" customHeight="1">
      <c r="C243" s="525"/>
      <c r="D243" s="526"/>
    </row>
    <row r="244" spans="3:4" ht="16.5" customHeight="1">
      <c r="C244" s="525"/>
      <c r="D244" s="526"/>
    </row>
    <row r="245" spans="3:4" ht="16.5" customHeight="1">
      <c r="C245" s="525"/>
      <c r="D245" s="526"/>
    </row>
    <row r="246" spans="3:4" ht="16.5" customHeight="1">
      <c r="C246" s="525"/>
      <c r="D246" s="526"/>
    </row>
    <row r="247" spans="3:4" ht="16.5" customHeight="1">
      <c r="C247" s="525"/>
      <c r="D247" s="526"/>
    </row>
    <row r="248" spans="3:4" ht="16.5" customHeight="1">
      <c r="C248" s="525"/>
      <c r="D248" s="526"/>
    </row>
    <row r="249" spans="3:4" ht="16.5" customHeight="1">
      <c r="C249" s="525"/>
      <c r="D249" s="526"/>
    </row>
    <row r="250" spans="3:4" ht="16.5" customHeight="1">
      <c r="C250" s="525"/>
      <c r="D250" s="526"/>
    </row>
    <row r="251" spans="3:4" ht="16.5" customHeight="1">
      <c r="C251" s="525"/>
      <c r="D251" s="526"/>
    </row>
    <row r="252" spans="3:4" ht="16.5" customHeight="1">
      <c r="C252" s="525"/>
      <c r="D252" s="526"/>
    </row>
    <row r="253" spans="3:4" ht="16.5" customHeight="1">
      <c r="C253" s="525"/>
      <c r="D253" s="526"/>
    </row>
    <row r="254" spans="3:4" ht="16.5" customHeight="1">
      <c r="C254" s="525"/>
      <c r="D254" s="526"/>
    </row>
    <row r="255" spans="3:4" ht="16.5" customHeight="1">
      <c r="C255" s="525"/>
      <c r="D255" s="526"/>
    </row>
    <row r="256" spans="3:4" ht="16.5" customHeight="1">
      <c r="C256" s="525"/>
      <c r="D256" s="526"/>
    </row>
    <row r="257" spans="3:4" ht="16.5" customHeight="1">
      <c r="C257" s="525"/>
      <c r="D257" s="526"/>
    </row>
    <row r="258" spans="3:4" ht="16.5" customHeight="1">
      <c r="C258" s="525"/>
      <c r="D258" s="526"/>
    </row>
    <row r="259" spans="3:4" ht="16.5" customHeight="1">
      <c r="C259" s="525"/>
      <c r="D259" s="526"/>
    </row>
    <row r="260" spans="3:4" ht="16.5" customHeight="1">
      <c r="C260" s="525"/>
      <c r="D260" s="526"/>
    </row>
    <row r="261" spans="3:4" ht="16.5" customHeight="1">
      <c r="C261" s="525"/>
      <c r="D261" s="526"/>
    </row>
    <row r="262" spans="3:4" ht="16.5" customHeight="1">
      <c r="C262" s="525"/>
      <c r="D262" s="526"/>
    </row>
    <row r="263" spans="3:4" ht="16.5" customHeight="1">
      <c r="C263" s="525"/>
      <c r="D263" s="526"/>
    </row>
    <row r="264" spans="3:4" ht="16.5" customHeight="1">
      <c r="C264" s="525"/>
      <c r="D264" s="526"/>
    </row>
    <row r="265" spans="3:4" ht="16.5" customHeight="1">
      <c r="C265" s="525"/>
      <c r="D265" s="526"/>
    </row>
    <row r="266" spans="3:4" ht="16.5" customHeight="1">
      <c r="C266" s="525"/>
      <c r="D266" s="526"/>
    </row>
    <row r="267" spans="3:4" ht="16.5" customHeight="1">
      <c r="C267" s="525"/>
      <c r="D267" s="526"/>
    </row>
    <row r="268" spans="3:4" ht="16.5" customHeight="1">
      <c r="C268" s="525"/>
      <c r="D268" s="526"/>
    </row>
    <row r="269" spans="3:4" ht="16.5" customHeight="1">
      <c r="C269" s="525"/>
      <c r="D269" s="526"/>
    </row>
    <row r="270" spans="3:4" ht="16.5" customHeight="1">
      <c r="C270" s="525"/>
      <c r="D270" s="526"/>
    </row>
    <row r="271" spans="3:4" ht="16.5" customHeight="1">
      <c r="C271" s="525"/>
      <c r="D271" s="526"/>
    </row>
    <row r="272" spans="3:4" ht="16.5" customHeight="1">
      <c r="C272" s="525"/>
      <c r="D272" s="526"/>
    </row>
    <row r="273" spans="3:4" ht="16.5" customHeight="1">
      <c r="C273" s="525"/>
      <c r="D273" s="526"/>
    </row>
    <row r="274" spans="3:4" ht="16.5" customHeight="1">
      <c r="C274" s="525"/>
      <c r="D274" s="526"/>
    </row>
    <row r="275" spans="3:4" ht="16.5" customHeight="1">
      <c r="C275" s="525"/>
      <c r="D275" s="526"/>
    </row>
    <row r="276" spans="3:4" ht="16.5" customHeight="1">
      <c r="C276" s="525"/>
      <c r="D276" s="526"/>
    </row>
    <row r="277" spans="3:4" ht="16.5" customHeight="1">
      <c r="C277" s="525"/>
      <c r="D277" s="526"/>
    </row>
    <row r="278" spans="3:4" ht="16.5" customHeight="1">
      <c r="C278" s="525"/>
      <c r="D278" s="526"/>
    </row>
    <row r="279" spans="3:4" ht="16.5" customHeight="1">
      <c r="C279" s="525"/>
      <c r="D279" s="526"/>
    </row>
    <row r="280" spans="3:4" ht="16.5" customHeight="1">
      <c r="C280" s="525"/>
      <c r="D280" s="526"/>
    </row>
    <row r="281" spans="3:4" ht="16.5" customHeight="1">
      <c r="C281" s="525"/>
      <c r="D281" s="526"/>
    </row>
    <row r="282" spans="3:4" ht="16.5" customHeight="1">
      <c r="C282" s="525"/>
      <c r="D282" s="526"/>
    </row>
    <row r="283" spans="3:4" ht="16.5" customHeight="1">
      <c r="C283" s="525"/>
      <c r="D283" s="526"/>
    </row>
    <row r="284" spans="3:4" ht="16.5" customHeight="1">
      <c r="C284" s="525"/>
      <c r="D284" s="526"/>
    </row>
    <row r="285" spans="3:4" ht="16.5" customHeight="1">
      <c r="C285" s="525"/>
      <c r="D285" s="526"/>
    </row>
    <row r="286" spans="3:4" ht="16.5" customHeight="1">
      <c r="C286" s="525"/>
      <c r="D286" s="526"/>
    </row>
    <row r="287" spans="3:4" ht="16.5" customHeight="1">
      <c r="C287" s="525"/>
      <c r="D287" s="526"/>
    </row>
    <row r="288" spans="3:4" ht="16.5" customHeight="1">
      <c r="C288" s="525"/>
      <c r="D288" s="526"/>
    </row>
    <row r="289" spans="3:4" ht="16.5" customHeight="1">
      <c r="C289" s="525"/>
      <c r="D289" s="526"/>
    </row>
    <row r="290" spans="3:4" ht="16.5" customHeight="1">
      <c r="C290" s="525"/>
      <c r="D290" s="526"/>
    </row>
    <row r="291" spans="3:4" ht="16.5" customHeight="1">
      <c r="C291" s="525"/>
      <c r="D291" s="526"/>
    </row>
    <row r="292" spans="3:4" ht="16.5" customHeight="1">
      <c r="C292" s="525"/>
      <c r="D292" s="526"/>
    </row>
    <row r="293" spans="3:4" ht="16.5" customHeight="1">
      <c r="C293" s="525"/>
      <c r="D293" s="526"/>
    </row>
    <row r="294" spans="3:4" ht="16.5" customHeight="1">
      <c r="C294" s="525"/>
      <c r="D294" s="526"/>
    </row>
    <row r="295" spans="3:4" ht="16.5" customHeight="1">
      <c r="C295" s="525"/>
      <c r="D295" s="526"/>
    </row>
    <row r="296" spans="3:4" ht="16.5" customHeight="1">
      <c r="C296" s="525"/>
      <c r="D296" s="526"/>
    </row>
    <row r="297" spans="3:4" ht="16.5" customHeight="1">
      <c r="C297" s="525"/>
      <c r="D297" s="526"/>
    </row>
    <row r="298" spans="3:4" ht="16.5" customHeight="1">
      <c r="C298" s="525"/>
      <c r="D298" s="526"/>
    </row>
    <row r="299" spans="3:4" ht="16.5" customHeight="1">
      <c r="C299" s="525"/>
      <c r="D299" s="526"/>
    </row>
    <row r="300" spans="3:4" ht="16.5" customHeight="1">
      <c r="C300" s="525"/>
      <c r="D300" s="526"/>
    </row>
    <row r="301" spans="3:4" ht="16.5" customHeight="1">
      <c r="C301" s="525"/>
      <c r="D301" s="526"/>
    </row>
    <row r="302" spans="3:4" ht="16.5" customHeight="1">
      <c r="C302" s="525"/>
      <c r="D302" s="526"/>
    </row>
    <row r="303" spans="3:4" ht="16.5" customHeight="1">
      <c r="C303" s="525"/>
      <c r="D303" s="526"/>
    </row>
    <row r="304" spans="3:4" ht="16.5" customHeight="1">
      <c r="C304" s="525"/>
      <c r="D304" s="526"/>
    </row>
    <row r="305" spans="3:4" ht="16.5" customHeight="1">
      <c r="C305" s="525"/>
      <c r="D305" s="526"/>
    </row>
    <row r="306" spans="3:4" ht="16.5" customHeight="1">
      <c r="C306" s="525"/>
      <c r="D306" s="526"/>
    </row>
    <row r="307" spans="3:4" ht="16.5" customHeight="1">
      <c r="C307" s="525"/>
      <c r="D307" s="526"/>
    </row>
    <row r="308" spans="3:4" ht="16.5" customHeight="1">
      <c r="C308" s="525"/>
      <c r="D308" s="526"/>
    </row>
    <row r="309" spans="3:4" ht="16.5" customHeight="1">
      <c r="C309" s="525"/>
      <c r="D309" s="526"/>
    </row>
    <row r="310" spans="3:4" ht="16.5" customHeight="1">
      <c r="C310" s="525"/>
      <c r="D310" s="526"/>
    </row>
    <row r="311" spans="3:4" ht="16.5" customHeight="1">
      <c r="C311" s="525"/>
      <c r="D311" s="526"/>
    </row>
    <row r="312" spans="3:4" ht="16.5" customHeight="1">
      <c r="C312" s="525"/>
      <c r="D312" s="526"/>
    </row>
    <row r="313" spans="3:4" ht="16.5" customHeight="1">
      <c r="C313" s="525"/>
      <c r="D313" s="526"/>
    </row>
    <row r="314" spans="3:4" ht="16.5" customHeight="1">
      <c r="C314" s="525"/>
      <c r="D314" s="526"/>
    </row>
    <row r="315" spans="3:4" ht="16.5" customHeight="1">
      <c r="C315" s="525"/>
      <c r="D315" s="526"/>
    </row>
    <row r="316" spans="3:4" ht="16.5" customHeight="1">
      <c r="C316" s="525"/>
      <c r="D316" s="526"/>
    </row>
    <row r="317" spans="3:4" ht="16.5" customHeight="1">
      <c r="C317" s="525"/>
      <c r="D317" s="526"/>
    </row>
    <row r="318" spans="3:4" ht="16.5" customHeight="1">
      <c r="C318" s="525"/>
      <c r="D318" s="526"/>
    </row>
    <row r="319" spans="3:4" ht="16.5" customHeight="1">
      <c r="C319" s="525"/>
      <c r="D319" s="526"/>
    </row>
    <row r="320" spans="3:4" ht="16.5" customHeight="1">
      <c r="C320" s="525"/>
      <c r="D320" s="526"/>
    </row>
    <row r="321" spans="3:4" ht="16.5" customHeight="1">
      <c r="C321" s="525"/>
      <c r="D321" s="526"/>
    </row>
    <row r="322" spans="3:4" ht="16.5" customHeight="1">
      <c r="C322" s="525"/>
      <c r="D322" s="526"/>
    </row>
    <row r="323" spans="3:4" ht="16.5" customHeight="1">
      <c r="C323" s="525"/>
      <c r="D323" s="526"/>
    </row>
    <row r="324" spans="3:4" ht="16.5" customHeight="1">
      <c r="C324" s="525"/>
      <c r="D324" s="526"/>
    </row>
    <row r="325" spans="3:4" ht="16.5" customHeight="1">
      <c r="C325" s="525"/>
      <c r="D325" s="526"/>
    </row>
    <row r="326" spans="3:4" ht="16.5" customHeight="1">
      <c r="C326" s="525"/>
      <c r="D326" s="526"/>
    </row>
    <row r="327" spans="3:4" ht="16.5" customHeight="1">
      <c r="C327" s="525"/>
      <c r="D327" s="526"/>
    </row>
    <row r="328" spans="3:4" ht="16.5" customHeight="1">
      <c r="C328" s="525"/>
      <c r="D328" s="526"/>
    </row>
    <row r="329" spans="3:4" ht="16.5" customHeight="1">
      <c r="C329" s="525"/>
      <c r="D329" s="526"/>
    </row>
    <row r="330" spans="3:4" ht="16.5" customHeight="1">
      <c r="C330" s="525"/>
      <c r="D330" s="526"/>
    </row>
    <row r="331" spans="3:4" ht="16.5" customHeight="1">
      <c r="C331" s="525"/>
      <c r="D331" s="526"/>
    </row>
    <row r="332" spans="3:4" ht="16.5" customHeight="1">
      <c r="C332" s="525"/>
      <c r="D332" s="526"/>
    </row>
    <row r="333" spans="3:4" ht="16.5" customHeight="1">
      <c r="C333" s="525"/>
      <c r="D333" s="526"/>
    </row>
    <row r="334" spans="3:4" ht="16.5" customHeight="1">
      <c r="C334" s="525"/>
      <c r="D334" s="526"/>
    </row>
    <row r="335" spans="3:4" ht="16.5" customHeight="1">
      <c r="C335" s="525"/>
      <c r="D335" s="526"/>
    </row>
    <row r="336" spans="3:4" ht="16.5" customHeight="1">
      <c r="C336" s="525"/>
      <c r="D336" s="526"/>
    </row>
    <row r="337" spans="3:4" ht="16.5" customHeight="1">
      <c r="C337" s="525"/>
      <c r="D337" s="526"/>
    </row>
    <row r="338" spans="3:4" ht="16.5" customHeight="1">
      <c r="C338" s="525"/>
      <c r="D338" s="526"/>
    </row>
    <row r="339" spans="3:4" ht="16.5" customHeight="1">
      <c r="C339" s="525"/>
      <c r="D339" s="526"/>
    </row>
    <row r="340" spans="3:4" ht="16.5" customHeight="1">
      <c r="C340" s="525"/>
      <c r="D340" s="526"/>
    </row>
    <row r="341" spans="3:4" ht="16.5" customHeight="1">
      <c r="C341" s="525"/>
      <c r="D341" s="526"/>
    </row>
    <row r="342" spans="3:4" ht="16.5" customHeight="1">
      <c r="C342" s="525"/>
      <c r="D342" s="526"/>
    </row>
    <row r="343" spans="3:4" ht="16.5" customHeight="1">
      <c r="C343" s="525"/>
      <c r="D343" s="526"/>
    </row>
    <row r="344" spans="3:4" ht="16.5" customHeight="1">
      <c r="C344" s="525"/>
      <c r="D344" s="526"/>
    </row>
    <row r="345" spans="3:4" ht="16.5" customHeight="1">
      <c r="C345" s="525"/>
      <c r="D345" s="526"/>
    </row>
    <row r="346" spans="3:4" ht="16.5" customHeight="1">
      <c r="C346" s="525"/>
      <c r="D346" s="526"/>
    </row>
    <row r="347" spans="3:4" ht="16.5" customHeight="1">
      <c r="C347" s="525"/>
      <c r="D347" s="526"/>
    </row>
    <row r="348" spans="3:4" ht="16.5" customHeight="1">
      <c r="C348" s="525"/>
      <c r="D348" s="526"/>
    </row>
    <row r="349" spans="3:4" ht="16.5" customHeight="1">
      <c r="C349" s="525"/>
      <c r="D349" s="526"/>
    </row>
    <row r="350" spans="3:4" ht="16.5" customHeight="1">
      <c r="C350" s="525"/>
      <c r="D350" s="526"/>
    </row>
    <row r="351" spans="3:4" ht="16.5" customHeight="1">
      <c r="C351" s="525"/>
      <c r="D351" s="526"/>
    </row>
    <row r="352" spans="3:4" ht="16.5" customHeight="1">
      <c r="C352" s="525"/>
      <c r="D352" s="526"/>
    </row>
    <row r="353" spans="3:4" ht="16.5" customHeight="1">
      <c r="C353" s="525"/>
      <c r="D353" s="526"/>
    </row>
    <row r="354" spans="3:4" ht="16.5" customHeight="1">
      <c r="C354" s="525"/>
      <c r="D354" s="526"/>
    </row>
    <row r="355" spans="3:4" ht="16.5" customHeight="1">
      <c r="C355" s="525"/>
      <c r="D355" s="526"/>
    </row>
    <row r="356" spans="3:4" ht="16.5" customHeight="1">
      <c r="C356" s="525"/>
      <c r="D356" s="526"/>
    </row>
    <row r="357" spans="3:4" ht="16.5" customHeight="1">
      <c r="C357" s="525"/>
      <c r="D357" s="526"/>
    </row>
    <row r="358" spans="3:4" ht="16.5" customHeight="1">
      <c r="C358" s="525"/>
      <c r="D358" s="526"/>
    </row>
    <row r="359" spans="3:4" ht="16.5" customHeight="1">
      <c r="C359" s="525"/>
      <c r="D359" s="526"/>
    </row>
    <row r="360" spans="3:4" ht="16.5" customHeight="1">
      <c r="C360" s="525"/>
      <c r="D360" s="526"/>
    </row>
    <row r="361" spans="3:4" ht="16.5" customHeight="1">
      <c r="C361" s="525"/>
      <c r="D361" s="526"/>
    </row>
    <row r="362" spans="3:4" ht="16.5" customHeight="1">
      <c r="C362" s="525"/>
      <c r="D362" s="526"/>
    </row>
    <row r="363" spans="3:4" ht="16.5" customHeight="1">
      <c r="C363" s="525"/>
      <c r="D363" s="526"/>
    </row>
    <row r="364" spans="3:4" ht="16.5" customHeight="1">
      <c r="C364" s="525"/>
      <c r="D364" s="526"/>
    </row>
    <row r="365" spans="3:4" ht="16.5" customHeight="1">
      <c r="C365" s="525"/>
      <c r="D365" s="526"/>
    </row>
    <row r="366" spans="3:4" ht="16.5" customHeight="1">
      <c r="C366" s="525"/>
      <c r="D366" s="526"/>
    </row>
    <row r="367" spans="3:4" ht="16.5" customHeight="1">
      <c r="C367" s="525"/>
      <c r="D367" s="526"/>
    </row>
    <row r="368" spans="3:4" ht="16.5" customHeight="1">
      <c r="C368" s="525"/>
      <c r="D368" s="526"/>
    </row>
    <row r="369" spans="3:4" ht="16.5" customHeight="1">
      <c r="C369" s="525"/>
      <c r="D369" s="526"/>
    </row>
    <row r="370" spans="3:4" ht="16.5" customHeight="1">
      <c r="C370" s="525"/>
      <c r="D370" s="526"/>
    </row>
    <row r="371" spans="3:4" ht="16.5" customHeight="1">
      <c r="C371" s="525"/>
      <c r="D371" s="526"/>
    </row>
    <row r="372" spans="3:4" ht="16.5" customHeight="1">
      <c r="C372" s="525"/>
      <c r="D372" s="526"/>
    </row>
    <row r="373" spans="3:4" ht="16.5" customHeight="1">
      <c r="C373" s="525"/>
      <c r="D373" s="526"/>
    </row>
    <row r="374" spans="3:4" ht="16.5" customHeight="1">
      <c r="C374" s="525"/>
      <c r="D374" s="526"/>
    </row>
    <row r="375" spans="3:4" ht="16.5" customHeight="1">
      <c r="C375" s="525"/>
      <c r="D375" s="526"/>
    </row>
    <row r="376" spans="3:4" ht="16.5" customHeight="1">
      <c r="C376" s="525"/>
      <c r="D376" s="526"/>
    </row>
    <row r="377" spans="3:4" ht="16.5" customHeight="1">
      <c r="C377" s="525"/>
      <c r="D377" s="526"/>
    </row>
    <row r="378" spans="3:4" ht="16.5" customHeight="1">
      <c r="C378" s="525"/>
      <c r="D378" s="526"/>
    </row>
    <row r="379" spans="3:4" ht="16.5" customHeight="1">
      <c r="C379" s="525"/>
      <c r="D379" s="526"/>
    </row>
    <row r="380" spans="3:4" ht="16.5" customHeight="1">
      <c r="C380" s="525"/>
      <c r="D380" s="526"/>
    </row>
    <row r="381" spans="3:4" ht="16.5" customHeight="1">
      <c r="C381" s="525"/>
      <c r="D381" s="526"/>
    </row>
    <row r="382" spans="3:4" ht="16.5" customHeight="1">
      <c r="C382" s="525"/>
      <c r="D382" s="526"/>
    </row>
    <row r="383" spans="3:4" ht="16.5" customHeight="1">
      <c r="C383" s="525"/>
      <c r="D383" s="526"/>
    </row>
    <row r="384" spans="3:4" ht="16.5" customHeight="1">
      <c r="C384" s="525"/>
      <c r="D384" s="526"/>
    </row>
    <row r="385" spans="3:4" ht="16.5" customHeight="1">
      <c r="C385" s="525"/>
      <c r="D385" s="526"/>
    </row>
    <row r="386" spans="3:4" ht="16.5" customHeight="1">
      <c r="C386" s="525"/>
      <c r="D386" s="526"/>
    </row>
    <row r="387" spans="3:4" ht="16.5" customHeight="1">
      <c r="C387" s="525"/>
      <c r="D387" s="526"/>
    </row>
    <row r="388" spans="3:4" ht="16.5" customHeight="1">
      <c r="C388" s="525"/>
      <c r="D388" s="526"/>
    </row>
    <row r="389" spans="3:4" ht="16.5" customHeight="1">
      <c r="C389" s="525"/>
      <c r="D389" s="526"/>
    </row>
    <row r="390" spans="3:4" ht="16.5" customHeight="1">
      <c r="C390" s="525"/>
      <c r="D390" s="526"/>
    </row>
    <row r="391" spans="3:4" ht="16.5" customHeight="1">
      <c r="C391" s="525"/>
      <c r="D391" s="526"/>
    </row>
    <row r="392" spans="3:4" ht="16.5" customHeight="1">
      <c r="C392" s="525"/>
      <c r="D392" s="526"/>
    </row>
    <row r="393" spans="3:4" ht="16.5" customHeight="1">
      <c r="C393" s="525"/>
      <c r="D393" s="526"/>
    </row>
    <row r="394" spans="3:4" ht="16.5" customHeight="1">
      <c r="C394" s="525"/>
      <c r="D394" s="526"/>
    </row>
    <row r="395" spans="3:4" ht="16.5" customHeight="1">
      <c r="C395" s="525"/>
      <c r="D395" s="526"/>
    </row>
    <row r="396" spans="3:4" ht="16.5" customHeight="1">
      <c r="C396" s="525"/>
      <c r="D396" s="526"/>
    </row>
    <row r="397" spans="3:4" ht="16.5" customHeight="1">
      <c r="C397" s="525"/>
      <c r="D397" s="526"/>
    </row>
    <row r="398" spans="3:4" ht="16.5" customHeight="1">
      <c r="C398" s="525"/>
      <c r="D398" s="526"/>
    </row>
    <row r="399" spans="3:4" ht="16.5" customHeight="1">
      <c r="C399" s="525"/>
      <c r="D399" s="526"/>
    </row>
    <row r="400" spans="3:4" ht="16.5" customHeight="1">
      <c r="C400" s="525"/>
      <c r="D400" s="526"/>
    </row>
    <row r="401" spans="3:4" ht="16.5" customHeight="1">
      <c r="C401" s="525"/>
      <c r="D401" s="526"/>
    </row>
    <row r="402" spans="3:4" ht="16.5" customHeight="1">
      <c r="C402" s="525"/>
      <c r="D402" s="526"/>
    </row>
    <row r="403" spans="3:4" ht="16.5" customHeight="1">
      <c r="C403" s="525"/>
      <c r="D403" s="526"/>
    </row>
    <row r="404" spans="3:4" ht="16.5" customHeight="1">
      <c r="C404" s="525"/>
      <c r="D404" s="526"/>
    </row>
    <row r="405" spans="3:4" ht="16.5" customHeight="1">
      <c r="C405" s="525"/>
      <c r="D405" s="526"/>
    </row>
    <row r="406" spans="3:4" ht="16.5" customHeight="1">
      <c r="C406" s="525"/>
      <c r="D406" s="526"/>
    </row>
    <row r="407" spans="3:4" ht="16.5" customHeight="1">
      <c r="C407" s="525"/>
      <c r="D407" s="526"/>
    </row>
    <row r="408" spans="3:4" ht="16.5" customHeight="1">
      <c r="C408" s="525"/>
      <c r="D408" s="526"/>
    </row>
    <row r="409" spans="3:4" ht="16.5" customHeight="1">
      <c r="C409" s="525"/>
      <c r="D409" s="526"/>
    </row>
    <row r="410" spans="3:4" ht="16.5" customHeight="1">
      <c r="C410" s="525"/>
      <c r="D410" s="526"/>
    </row>
    <row r="411" spans="3:4" ht="16.5" customHeight="1">
      <c r="C411" s="525"/>
      <c r="D411" s="526"/>
    </row>
    <row r="412" spans="3:4" ht="16.5" customHeight="1">
      <c r="C412" s="525"/>
      <c r="D412" s="526"/>
    </row>
    <row r="413" spans="3:4" ht="16.5" customHeight="1">
      <c r="C413" s="525"/>
      <c r="D413" s="526"/>
    </row>
    <row r="414" spans="3:4" ht="16.5" customHeight="1">
      <c r="C414" s="525"/>
      <c r="D414" s="526"/>
    </row>
    <row r="415" spans="3:4" ht="16.5" customHeight="1">
      <c r="C415" s="525"/>
      <c r="D415" s="526"/>
    </row>
    <row r="416" spans="3:4" ht="16.5" customHeight="1">
      <c r="C416" s="525"/>
      <c r="D416" s="526"/>
    </row>
    <row r="417" spans="3:4" ht="16.5" customHeight="1">
      <c r="C417" s="525"/>
      <c r="D417" s="526"/>
    </row>
    <row r="418" spans="3:4" ht="16.5" customHeight="1">
      <c r="C418" s="525"/>
      <c r="D418" s="526"/>
    </row>
    <row r="419" spans="3:4" ht="16.5" customHeight="1">
      <c r="C419" s="525"/>
      <c r="D419" s="526"/>
    </row>
    <row r="420" spans="3:4" ht="16.5" customHeight="1">
      <c r="C420" s="525"/>
      <c r="D420" s="526"/>
    </row>
    <row r="421" spans="3:4" ht="16.5" customHeight="1">
      <c r="C421" s="525"/>
      <c r="D421" s="526"/>
    </row>
    <row r="422" spans="3:4" ht="16.5" customHeight="1">
      <c r="C422" s="525"/>
      <c r="D422" s="526"/>
    </row>
    <row r="423" spans="3:4" ht="16.5" customHeight="1">
      <c r="C423" s="525"/>
      <c r="D423" s="526"/>
    </row>
    <row r="424" spans="3:4" ht="16.5" customHeight="1">
      <c r="C424" s="525"/>
      <c r="D424" s="526"/>
    </row>
    <row r="425" spans="3:4" ht="16.5" customHeight="1">
      <c r="C425" s="525"/>
      <c r="D425" s="526"/>
    </row>
    <row r="426" spans="3:4" ht="16.5" customHeight="1">
      <c r="C426" s="525"/>
      <c r="D426" s="526"/>
    </row>
    <row r="427" spans="3:4" ht="16.5" customHeight="1">
      <c r="C427" s="525"/>
      <c r="D427" s="526"/>
    </row>
    <row r="428" spans="3:4" ht="16.5" customHeight="1">
      <c r="C428" s="525"/>
      <c r="D428" s="526"/>
    </row>
    <row r="429" spans="3:4" ht="16.5" customHeight="1">
      <c r="C429" s="525"/>
      <c r="D429" s="526"/>
    </row>
    <row r="430" spans="3:4" ht="16.5" customHeight="1">
      <c r="C430" s="525"/>
      <c r="D430" s="526"/>
    </row>
    <row r="431" spans="3:4" ht="16.5" customHeight="1">
      <c r="C431" s="525"/>
      <c r="D431" s="526"/>
    </row>
    <row r="432" spans="3:4" ht="16.5" customHeight="1">
      <c r="C432" s="525"/>
      <c r="D432" s="526"/>
    </row>
    <row r="433" spans="3:4" ht="16.5" customHeight="1">
      <c r="C433" s="525"/>
      <c r="D433" s="526"/>
    </row>
    <row r="434" spans="3:4" ht="16.5" customHeight="1">
      <c r="C434" s="525"/>
      <c r="D434" s="526"/>
    </row>
    <row r="435" spans="3:4" ht="16.5" customHeight="1">
      <c r="C435" s="525"/>
      <c r="D435" s="526"/>
    </row>
    <row r="436" spans="3:4" ht="16.5" customHeight="1">
      <c r="C436" s="525"/>
      <c r="D436" s="526"/>
    </row>
    <row r="437" spans="3:4" ht="16.5" customHeight="1">
      <c r="C437" s="525"/>
      <c r="D437" s="526"/>
    </row>
    <row r="438" spans="3:4" ht="16.5" customHeight="1">
      <c r="C438" s="525"/>
      <c r="D438" s="526"/>
    </row>
    <row r="439" spans="3:4" ht="16.5" customHeight="1">
      <c r="C439" s="525"/>
      <c r="D439" s="526"/>
    </row>
    <row r="440" spans="3:4" ht="16.5" customHeight="1">
      <c r="C440" s="525"/>
      <c r="D440" s="526"/>
    </row>
    <row r="441" spans="3:4" ht="16.5" customHeight="1">
      <c r="C441" s="525"/>
      <c r="D441" s="526"/>
    </row>
    <row r="442" spans="3:4" ht="16.5" customHeight="1">
      <c r="C442" s="525"/>
      <c r="D442" s="526"/>
    </row>
    <row r="443" spans="3:4" ht="16.5" customHeight="1">
      <c r="C443" s="525"/>
      <c r="D443" s="526"/>
    </row>
    <row r="444" spans="3:4" ht="16.5" customHeight="1">
      <c r="C444" s="525"/>
      <c r="D444" s="526"/>
    </row>
    <row r="445" spans="3:4" ht="16.5" customHeight="1">
      <c r="C445" s="525"/>
      <c r="D445" s="526"/>
    </row>
    <row r="446" spans="3:4" ht="16.5" customHeight="1">
      <c r="C446" s="525"/>
      <c r="D446" s="526"/>
    </row>
    <row r="447" spans="3:4" ht="16.5" customHeight="1">
      <c r="C447" s="525"/>
      <c r="D447" s="526"/>
    </row>
    <row r="448" spans="3:4" ht="16.5" customHeight="1">
      <c r="C448" s="525"/>
      <c r="D448" s="526"/>
    </row>
    <row r="449" spans="3:4" ht="16.5" customHeight="1">
      <c r="C449" s="525"/>
      <c r="D449" s="526"/>
    </row>
    <row r="450" spans="3:4" ht="16.5" customHeight="1">
      <c r="C450" s="525"/>
      <c r="D450" s="526"/>
    </row>
    <row r="451" spans="3:4" ht="16.5" customHeight="1">
      <c r="C451" s="525"/>
      <c r="D451" s="526"/>
    </row>
    <row r="452" spans="3:4" ht="16.5" customHeight="1">
      <c r="C452" s="525"/>
      <c r="D452" s="526"/>
    </row>
    <row r="453" spans="3:4" ht="16.5" customHeight="1">
      <c r="C453" s="525"/>
      <c r="D453" s="526"/>
    </row>
    <row r="454" spans="3:4" ht="16.5" customHeight="1">
      <c r="C454" s="525"/>
      <c r="D454" s="526"/>
    </row>
    <row r="455" spans="3:4" ht="16.5" customHeight="1">
      <c r="C455" s="525"/>
      <c r="D455" s="526"/>
    </row>
    <row r="456" spans="3:4" ht="16.5" customHeight="1">
      <c r="C456" s="525"/>
      <c r="D456" s="526"/>
    </row>
    <row r="457" spans="3:4" ht="16.5" customHeight="1">
      <c r="C457" s="525"/>
      <c r="D457" s="526"/>
    </row>
    <row r="458" spans="3:4" ht="16.5" customHeight="1">
      <c r="C458" s="525"/>
      <c r="D458" s="526"/>
    </row>
    <row r="459" spans="3:4" ht="16.5" customHeight="1">
      <c r="C459" s="525"/>
      <c r="D459" s="526"/>
    </row>
    <row r="460" spans="3:4" ht="16.5" customHeight="1">
      <c r="C460" s="525"/>
      <c r="D460" s="526"/>
    </row>
    <row r="461" spans="3:4" ht="16.5" customHeight="1">
      <c r="C461" s="525"/>
      <c r="D461" s="526"/>
    </row>
    <row r="462" spans="3:4" ht="16.5" customHeight="1">
      <c r="C462" s="525"/>
      <c r="D462" s="526"/>
    </row>
    <row r="463" spans="3:4" ht="16.5" customHeight="1">
      <c r="C463" s="525"/>
      <c r="D463" s="526"/>
    </row>
    <row r="464" spans="3:4" ht="16.5" customHeight="1">
      <c r="C464" s="525"/>
      <c r="D464" s="526"/>
    </row>
    <row r="465" spans="3:4" ht="16.5" customHeight="1">
      <c r="C465" s="525"/>
      <c r="D465" s="526"/>
    </row>
    <row r="466" spans="3:4" ht="16.5" customHeight="1">
      <c r="C466" s="525"/>
      <c r="D466" s="526"/>
    </row>
    <row r="467" spans="3:4" ht="16.5" customHeight="1">
      <c r="C467" s="525"/>
      <c r="D467" s="526"/>
    </row>
    <row r="468" spans="3:4" ht="16.5" customHeight="1">
      <c r="C468" s="525"/>
      <c r="D468" s="526"/>
    </row>
    <row r="469" spans="3:4" ht="16.5" customHeight="1">
      <c r="C469" s="525"/>
      <c r="D469" s="526"/>
    </row>
    <row r="470" spans="3:4" ht="16.5" customHeight="1">
      <c r="C470" s="525"/>
      <c r="D470" s="526"/>
    </row>
    <row r="471" spans="3:4" ht="16.5" customHeight="1">
      <c r="C471" s="525"/>
      <c r="D471" s="526"/>
    </row>
    <row r="472" spans="3:4" ht="16.5" customHeight="1">
      <c r="C472" s="525"/>
      <c r="D472" s="526"/>
    </row>
    <row r="473" spans="3:4" ht="16.5" customHeight="1">
      <c r="C473" s="525"/>
      <c r="D473" s="526"/>
    </row>
    <row r="474" spans="3:4" ht="16.5" customHeight="1">
      <c r="C474" s="525"/>
      <c r="D474" s="526"/>
    </row>
    <row r="475" spans="3:4" ht="16.5" customHeight="1">
      <c r="C475" s="525"/>
      <c r="D475" s="526"/>
    </row>
    <row r="476" spans="3:4" ht="16.5" customHeight="1">
      <c r="C476" s="525"/>
      <c r="D476" s="526"/>
    </row>
    <row r="477" spans="3:4" ht="16.5" customHeight="1">
      <c r="C477" s="525"/>
      <c r="D477" s="526"/>
    </row>
    <row r="478" spans="3:4" ht="16.5" customHeight="1">
      <c r="C478" s="525"/>
      <c r="D478" s="526"/>
    </row>
    <row r="479" spans="3:4" ht="16.5" customHeight="1">
      <c r="C479" s="525"/>
      <c r="D479" s="526"/>
    </row>
    <row r="480" spans="3:4" ht="16.5" customHeight="1">
      <c r="C480" s="525"/>
      <c r="D480" s="526"/>
    </row>
    <row r="481" spans="3:4" ht="16.5" customHeight="1">
      <c r="C481" s="525"/>
      <c r="D481" s="526"/>
    </row>
    <row r="482" spans="3:4" ht="16.5" customHeight="1">
      <c r="C482" s="525"/>
      <c r="D482" s="526"/>
    </row>
    <row r="483" spans="3:4" ht="16.5" customHeight="1">
      <c r="C483" s="525"/>
      <c r="D483" s="526"/>
    </row>
    <row r="484" spans="3:4" ht="16.5" customHeight="1">
      <c r="C484" s="525"/>
      <c r="D484" s="526"/>
    </row>
    <row r="485" spans="3:4" ht="16.5" customHeight="1">
      <c r="C485" s="525"/>
      <c r="D485" s="526"/>
    </row>
    <row r="486" spans="3:4" ht="16.5" customHeight="1">
      <c r="C486" s="525"/>
      <c r="D486" s="526"/>
    </row>
    <row r="487" spans="3:4" ht="16.5" customHeight="1">
      <c r="C487" s="525"/>
      <c r="D487" s="526"/>
    </row>
    <row r="488" spans="3:4" ht="16.5" customHeight="1">
      <c r="C488" s="525"/>
      <c r="D488" s="526"/>
    </row>
    <row r="489" spans="3:4" ht="16.5" customHeight="1">
      <c r="C489" s="525"/>
      <c r="D489" s="526"/>
    </row>
    <row r="490" spans="3:4" ht="16.5" customHeight="1">
      <c r="C490" s="525"/>
      <c r="D490" s="526"/>
    </row>
    <row r="491" spans="3:4" ht="16.5" customHeight="1">
      <c r="C491" s="525"/>
      <c r="D491" s="526"/>
    </row>
    <row r="492" spans="3:4" ht="16.5" customHeight="1">
      <c r="C492" s="525"/>
      <c r="D492" s="526"/>
    </row>
    <row r="493" spans="3:4" ht="16.5" customHeight="1">
      <c r="C493" s="525"/>
      <c r="D493" s="526"/>
    </row>
    <row r="494" spans="3:4" ht="16.5" customHeight="1">
      <c r="C494" s="525"/>
      <c r="D494" s="526"/>
    </row>
    <row r="495" spans="3:4" ht="16.5" customHeight="1">
      <c r="C495" s="525"/>
      <c r="D495" s="526"/>
    </row>
    <row r="496" spans="3:4" ht="16.5" customHeight="1">
      <c r="C496" s="525"/>
      <c r="D496" s="526"/>
    </row>
    <row r="497" spans="3:4" ht="16.5" customHeight="1">
      <c r="C497" s="525"/>
      <c r="D497" s="526"/>
    </row>
    <row r="498" spans="3:4" ht="16.5" customHeight="1">
      <c r="C498" s="525"/>
      <c r="D498" s="526"/>
    </row>
    <row r="499" spans="3:4" ht="16.5" customHeight="1">
      <c r="C499" s="525"/>
      <c r="D499" s="526"/>
    </row>
    <row r="500" spans="3:4" ht="16.5" customHeight="1">
      <c r="C500" s="525"/>
      <c r="D500" s="526"/>
    </row>
    <row r="501" spans="3:4" ht="16.5" customHeight="1">
      <c r="C501" s="525"/>
      <c r="D501" s="526"/>
    </row>
    <row r="502" spans="3:4" ht="16.5" customHeight="1">
      <c r="C502" s="525"/>
      <c r="D502" s="526"/>
    </row>
    <row r="503" spans="3:4" ht="16.5" customHeight="1">
      <c r="C503" s="525"/>
      <c r="D503" s="526"/>
    </row>
    <row r="504" spans="3:4" ht="16.5" customHeight="1">
      <c r="C504" s="525"/>
      <c r="D504" s="526"/>
    </row>
    <row r="505" spans="3:4" ht="16.5" customHeight="1">
      <c r="C505" s="525"/>
      <c r="D505" s="526"/>
    </row>
    <row r="506" spans="3:4" ht="16.5" customHeight="1">
      <c r="C506" s="525"/>
      <c r="D506" s="526"/>
    </row>
    <row r="507" spans="3:4" ht="16.5" customHeight="1">
      <c r="C507" s="525"/>
      <c r="D507" s="526"/>
    </row>
    <row r="508" spans="3:4" ht="16.5" customHeight="1">
      <c r="C508" s="525"/>
      <c r="D508" s="526"/>
    </row>
    <row r="509" spans="3:4" ht="16.5" customHeight="1">
      <c r="C509" s="525"/>
      <c r="D509" s="526"/>
    </row>
    <row r="510" spans="3:4" ht="16.5" customHeight="1">
      <c r="C510" s="525"/>
      <c r="D510" s="526"/>
    </row>
    <row r="511" spans="3:4" ht="16.5" customHeight="1">
      <c r="C511" s="525"/>
      <c r="D511" s="526"/>
    </row>
    <row r="512" spans="3:4" ht="16.5" customHeight="1">
      <c r="C512" s="525"/>
      <c r="D512" s="526"/>
    </row>
    <row r="513" spans="3:4" ht="16.5" customHeight="1">
      <c r="C513" s="525"/>
      <c r="D513" s="526"/>
    </row>
    <row r="514" spans="3:4" ht="16.5" customHeight="1">
      <c r="C514" s="525"/>
      <c r="D514" s="526"/>
    </row>
    <row r="515" spans="3:4" ht="16.5" customHeight="1">
      <c r="C515" s="525"/>
      <c r="D515" s="526"/>
    </row>
    <row r="516" spans="3:4" ht="16.5" customHeight="1">
      <c r="C516" s="525"/>
      <c r="D516" s="526"/>
    </row>
    <row r="517" spans="3:4" ht="16.5" customHeight="1">
      <c r="C517" s="525"/>
      <c r="D517" s="526"/>
    </row>
    <row r="518" spans="3:4" ht="16.5" customHeight="1">
      <c r="C518" s="525"/>
      <c r="D518" s="526"/>
    </row>
    <row r="519" spans="3:4" ht="16.5" customHeight="1">
      <c r="C519" s="525"/>
      <c r="D519" s="526"/>
    </row>
    <row r="520" spans="3:4" ht="16.5" customHeight="1">
      <c r="C520" s="525"/>
      <c r="D520" s="526"/>
    </row>
    <row r="521" spans="3:4" ht="16.5" customHeight="1">
      <c r="C521" s="525"/>
      <c r="D521" s="526"/>
    </row>
    <row r="522" spans="3:4" ht="16.5" customHeight="1">
      <c r="C522" s="525"/>
      <c r="D522" s="526"/>
    </row>
    <row r="523" spans="3:4" ht="16.5" customHeight="1">
      <c r="C523" s="525"/>
      <c r="D523" s="526"/>
    </row>
    <row r="524" spans="3:4" ht="16.5" customHeight="1">
      <c r="C524" s="525"/>
      <c r="D524" s="526"/>
    </row>
    <row r="525" spans="3:4" ht="16.5" customHeight="1">
      <c r="C525" s="525"/>
      <c r="D525" s="526"/>
    </row>
    <row r="526" spans="3:4" ht="16.5" customHeight="1">
      <c r="C526" s="525"/>
      <c r="D526" s="526"/>
    </row>
    <row r="527" spans="3:4" ht="16.5" customHeight="1">
      <c r="C527" s="525"/>
      <c r="D527" s="526"/>
    </row>
    <row r="528" spans="3:4" ht="16.5" customHeight="1">
      <c r="C528" s="525"/>
      <c r="D528" s="526"/>
    </row>
    <row r="529" spans="3:4" ht="16.5" customHeight="1">
      <c r="C529" s="525"/>
      <c r="D529" s="526"/>
    </row>
    <row r="530" spans="3:4" ht="16.5" customHeight="1">
      <c r="C530" s="525"/>
      <c r="D530" s="526"/>
    </row>
    <row r="531" spans="3:4" ht="16.5" customHeight="1">
      <c r="C531" s="525"/>
      <c r="D531" s="526"/>
    </row>
    <row r="532" spans="3:4" ht="16.5" customHeight="1">
      <c r="C532" s="525"/>
      <c r="D532" s="526"/>
    </row>
    <row r="533" spans="3:4" ht="16.5" customHeight="1">
      <c r="C533" s="525"/>
      <c r="D533" s="526"/>
    </row>
    <row r="534" spans="3:4" ht="16.5" customHeight="1">
      <c r="C534" s="525"/>
      <c r="D534" s="526"/>
    </row>
    <row r="535" spans="3:4" ht="16.5" customHeight="1">
      <c r="C535" s="525"/>
      <c r="D535" s="526"/>
    </row>
    <row r="536" spans="3:4" ht="16.5" customHeight="1">
      <c r="C536" s="525"/>
      <c r="D536" s="526"/>
    </row>
    <row r="537" spans="3:4" ht="16.5" customHeight="1">
      <c r="C537" s="525"/>
      <c r="D537" s="526"/>
    </row>
    <row r="538" spans="3:4" ht="16.5" customHeight="1">
      <c r="C538" s="525"/>
      <c r="D538" s="526"/>
    </row>
    <row r="539" spans="3:4" ht="16.5" customHeight="1">
      <c r="C539" s="525"/>
      <c r="D539" s="526"/>
    </row>
    <row r="540" spans="3:4" ht="16.5" customHeight="1">
      <c r="C540" s="525"/>
      <c r="D540" s="526"/>
    </row>
    <row r="541" spans="3:4" ht="16.5" customHeight="1">
      <c r="C541" s="525"/>
      <c r="D541" s="526"/>
    </row>
    <row r="542" spans="3:4" ht="16.5" customHeight="1">
      <c r="C542" s="525"/>
      <c r="D542" s="526"/>
    </row>
    <row r="543" spans="3:4" ht="16.5" customHeight="1">
      <c r="C543" s="525"/>
      <c r="D543" s="526"/>
    </row>
    <row r="544" spans="3:4" ht="16.5" customHeight="1">
      <c r="C544" s="525"/>
      <c r="D544" s="526"/>
    </row>
    <row r="545" spans="3:4" ht="16.5" customHeight="1">
      <c r="C545" s="525"/>
      <c r="D545" s="526"/>
    </row>
    <row r="546" spans="3:4" ht="16.5" customHeight="1">
      <c r="C546" s="525"/>
      <c r="D546" s="526"/>
    </row>
    <row r="547" spans="3:4" ht="16.5" customHeight="1">
      <c r="C547" s="525"/>
      <c r="D547" s="526"/>
    </row>
    <row r="548" spans="3:4" ht="16.5" customHeight="1">
      <c r="C548" s="525"/>
      <c r="D548" s="526"/>
    </row>
    <row r="549" spans="3:4" ht="16.5" customHeight="1">
      <c r="C549" s="525"/>
      <c r="D549" s="526"/>
    </row>
    <row r="550" spans="3:4" ht="16.5" customHeight="1">
      <c r="C550" s="525"/>
      <c r="D550" s="526"/>
    </row>
    <row r="551" spans="3:4" ht="16.5" customHeight="1">
      <c r="C551" s="525"/>
      <c r="D551" s="526"/>
    </row>
    <row r="552" spans="3:4" ht="16.5" customHeight="1">
      <c r="C552" s="525"/>
      <c r="D552" s="526"/>
    </row>
    <row r="553" spans="3:4" ht="16.5" customHeight="1">
      <c r="C553" s="525"/>
      <c r="D553" s="526"/>
    </row>
    <row r="554" spans="3:4" ht="16.5" customHeight="1">
      <c r="C554" s="525"/>
      <c r="D554" s="526"/>
    </row>
    <row r="555" spans="3:4" ht="16.5" customHeight="1">
      <c r="C555" s="525"/>
      <c r="D555" s="526"/>
    </row>
    <row r="556" spans="3:4" ht="16.5" customHeight="1">
      <c r="C556" s="525"/>
      <c r="D556" s="526"/>
    </row>
    <row r="557" spans="3:4" ht="16.5" customHeight="1">
      <c r="C557" s="525"/>
      <c r="D557" s="526"/>
    </row>
    <row r="558" spans="3:4" ht="16.5" customHeight="1">
      <c r="C558" s="525"/>
      <c r="D558" s="526"/>
    </row>
    <row r="559" spans="3:4" ht="16.5" customHeight="1">
      <c r="C559" s="525"/>
      <c r="D559" s="526"/>
    </row>
    <row r="560" spans="3:4" ht="16.5" customHeight="1">
      <c r="C560" s="525"/>
      <c r="D560" s="526"/>
    </row>
    <row r="561" spans="3:4" ht="16.5" customHeight="1">
      <c r="C561" s="525"/>
      <c r="D561" s="526"/>
    </row>
    <row r="562" spans="3:4" ht="16.5" customHeight="1">
      <c r="C562" s="525"/>
      <c r="D562" s="526"/>
    </row>
    <row r="563" spans="3:4" ht="16.5" customHeight="1">
      <c r="C563" s="525"/>
      <c r="D563" s="526"/>
    </row>
    <row r="564" spans="3:4" ht="16.5" customHeight="1">
      <c r="C564" s="525"/>
      <c r="D564" s="526"/>
    </row>
    <row r="565" spans="3:4" ht="16.5" customHeight="1">
      <c r="C565" s="525"/>
      <c r="D565" s="526"/>
    </row>
    <row r="566" spans="3:4" ht="16.5" customHeight="1">
      <c r="C566" s="525"/>
      <c r="D566" s="526"/>
    </row>
    <row r="567" spans="3:4" ht="16.5" customHeight="1">
      <c r="C567" s="525"/>
      <c r="D567" s="526"/>
    </row>
    <row r="568" spans="3:4" ht="16.5" customHeight="1">
      <c r="C568" s="525"/>
      <c r="D568" s="526"/>
    </row>
    <row r="569" spans="3:4" ht="16.5" customHeight="1">
      <c r="C569" s="525"/>
      <c r="D569" s="526"/>
    </row>
    <row r="570" spans="3:4" ht="16.5" customHeight="1">
      <c r="C570" s="525"/>
      <c r="D570" s="526"/>
    </row>
    <row r="571" spans="3:4" ht="16.5" customHeight="1">
      <c r="C571" s="525"/>
      <c r="D571" s="526"/>
    </row>
    <row r="572" spans="3:4" ht="16.5" customHeight="1">
      <c r="C572" s="525"/>
      <c r="D572" s="526"/>
    </row>
    <row r="573" spans="3:4" ht="16.5" customHeight="1">
      <c r="C573" s="525"/>
      <c r="D573" s="526"/>
    </row>
    <row r="574" spans="3:4" ht="16.5" customHeight="1">
      <c r="C574" s="525"/>
      <c r="D574" s="526"/>
    </row>
    <row r="575" spans="3:4" ht="16.5" customHeight="1">
      <c r="C575" s="525"/>
      <c r="D575" s="526"/>
    </row>
    <row r="576" spans="3:4" ht="16.5" customHeight="1">
      <c r="C576" s="525"/>
      <c r="D576" s="526"/>
    </row>
    <row r="577" spans="3:4" ht="16.5" customHeight="1">
      <c r="C577" s="525"/>
      <c r="D577" s="526"/>
    </row>
    <row r="578" spans="3:4" ht="16.5" customHeight="1">
      <c r="C578" s="525"/>
      <c r="D578" s="526"/>
    </row>
    <row r="579" spans="3:4" ht="16.5" customHeight="1">
      <c r="C579" s="525"/>
      <c r="D579" s="526"/>
    </row>
    <row r="580" spans="3:4" ht="16.5" customHeight="1">
      <c r="C580" s="525"/>
      <c r="D580" s="526"/>
    </row>
    <row r="581" spans="3:4" ht="16.5" customHeight="1">
      <c r="C581" s="525"/>
      <c r="D581" s="526"/>
    </row>
    <row r="582" spans="3:4" ht="16.5" customHeight="1">
      <c r="C582" s="525"/>
      <c r="D582" s="526"/>
    </row>
    <row r="583" spans="3:4" ht="16.5" customHeight="1">
      <c r="C583" s="525"/>
      <c r="D583" s="526"/>
    </row>
    <row r="584" spans="3:4" ht="16.5" customHeight="1">
      <c r="C584" s="525"/>
      <c r="D584" s="526"/>
    </row>
    <row r="585" spans="3:4" ht="16.5" customHeight="1">
      <c r="C585" s="525"/>
      <c r="D585" s="526"/>
    </row>
    <row r="586" spans="3:4" ht="16.5" customHeight="1">
      <c r="C586" s="525"/>
      <c r="D586" s="526"/>
    </row>
    <row r="587" spans="3:4" ht="16.5" customHeight="1">
      <c r="C587" s="525"/>
      <c r="D587" s="526"/>
    </row>
    <row r="588" spans="3:4" ht="16.5" customHeight="1">
      <c r="C588" s="525"/>
      <c r="D588" s="526"/>
    </row>
    <row r="589" spans="3:4" ht="16.5" customHeight="1">
      <c r="C589" s="525"/>
      <c r="D589" s="526"/>
    </row>
    <row r="590" spans="3:4" ht="16.5" customHeight="1">
      <c r="C590" s="525"/>
      <c r="D590" s="526"/>
    </row>
    <row r="591" spans="3:4" ht="16.5" customHeight="1">
      <c r="C591" s="525"/>
      <c r="D591" s="526"/>
    </row>
    <row r="592" spans="3:4" ht="16.5" customHeight="1">
      <c r="C592" s="525"/>
      <c r="D592" s="526"/>
    </row>
    <row r="593" spans="3:4" ht="16.5" customHeight="1">
      <c r="C593" s="525"/>
      <c r="D593" s="526"/>
    </row>
    <row r="594" spans="3:4" ht="16.5" customHeight="1">
      <c r="C594" s="525"/>
      <c r="D594" s="526"/>
    </row>
    <row r="595" spans="3:4" ht="16.5" customHeight="1">
      <c r="C595" s="525"/>
      <c r="D595" s="526"/>
    </row>
    <row r="596" spans="3:4" ht="16.5" customHeight="1">
      <c r="C596" s="525"/>
      <c r="D596" s="526"/>
    </row>
    <row r="597" spans="3:4" ht="16.5" customHeight="1">
      <c r="C597" s="525"/>
      <c r="D597" s="526"/>
    </row>
    <row r="598" spans="3:4" ht="16.5" customHeight="1">
      <c r="C598" s="525"/>
      <c r="D598" s="526"/>
    </row>
    <row r="599" spans="3:4" ht="16.5" customHeight="1">
      <c r="C599" s="525"/>
      <c r="D599" s="526"/>
    </row>
    <row r="600" spans="3:4" ht="16.5" customHeight="1">
      <c r="C600" s="525"/>
      <c r="D600" s="526"/>
    </row>
    <row r="601" spans="3:4" ht="16.5" customHeight="1">
      <c r="C601" s="525"/>
      <c r="D601" s="526"/>
    </row>
    <row r="602" spans="3:4" ht="16.5" customHeight="1">
      <c r="C602" s="525"/>
      <c r="D602" s="526"/>
    </row>
    <row r="603" spans="3:4" ht="16.5" customHeight="1">
      <c r="C603" s="525"/>
      <c r="D603" s="526"/>
    </row>
    <row r="604" spans="3:4" ht="16.5" customHeight="1">
      <c r="C604" s="525"/>
      <c r="D604" s="526"/>
    </row>
    <row r="605" spans="3:4" ht="16.5" customHeight="1">
      <c r="C605" s="525"/>
      <c r="D605" s="526"/>
    </row>
    <row r="606" spans="3:4" ht="16.5" customHeight="1">
      <c r="C606" s="525"/>
      <c r="D606" s="526"/>
    </row>
    <row r="607" spans="3:4" ht="16.5" customHeight="1">
      <c r="C607" s="525"/>
      <c r="D607" s="526"/>
    </row>
    <row r="608" spans="3:4" ht="16.5" customHeight="1">
      <c r="C608" s="525"/>
      <c r="D608" s="526"/>
    </row>
    <row r="609" spans="3:4" ht="16.5" customHeight="1">
      <c r="C609" s="525"/>
      <c r="D609" s="526"/>
    </row>
    <row r="610" spans="3:4" ht="16.5" customHeight="1">
      <c r="C610" s="525"/>
      <c r="D610" s="526"/>
    </row>
    <row r="611" spans="3:4" ht="16.5" customHeight="1">
      <c r="C611" s="525"/>
      <c r="D611" s="526"/>
    </row>
    <row r="612" spans="3:4" ht="16.5" customHeight="1">
      <c r="C612" s="525"/>
      <c r="D612" s="526"/>
    </row>
    <row r="613" spans="3:4" ht="16.5" customHeight="1">
      <c r="C613" s="525"/>
      <c r="D613" s="526"/>
    </row>
    <row r="614" spans="3:4" ht="16.5" customHeight="1">
      <c r="C614" s="525"/>
      <c r="D614" s="526"/>
    </row>
    <row r="615" spans="3:4" ht="16.5" customHeight="1">
      <c r="C615" s="525"/>
      <c r="D615" s="526"/>
    </row>
    <row r="616" spans="3:4" ht="16.5" customHeight="1">
      <c r="C616" s="525"/>
      <c r="D616" s="526"/>
    </row>
    <row r="617" spans="3:4" ht="16.5" customHeight="1">
      <c r="C617" s="525"/>
      <c r="D617" s="526"/>
    </row>
    <row r="618" spans="3:4" ht="16.5" customHeight="1">
      <c r="C618" s="525"/>
      <c r="D618" s="526"/>
    </row>
    <row r="619" spans="3:4" ht="16.5" customHeight="1">
      <c r="C619" s="525"/>
      <c r="D619" s="526"/>
    </row>
    <row r="620" spans="3:4" ht="16.5" customHeight="1">
      <c r="C620" s="525"/>
      <c r="D620" s="526"/>
    </row>
    <row r="621" spans="3:4" ht="16.5" customHeight="1">
      <c r="C621" s="525"/>
      <c r="D621" s="526"/>
    </row>
    <row r="622" spans="3:4" ht="16.5" customHeight="1">
      <c r="C622" s="525"/>
      <c r="D622" s="526"/>
    </row>
    <row r="623" spans="3:4" ht="16.5" customHeight="1">
      <c r="C623" s="525"/>
      <c r="D623" s="526"/>
    </row>
    <row r="624" spans="3:4" ht="16.5" customHeight="1">
      <c r="C624" s="525"/>
      <c r="D624" s="526"/>
    </row>
    <row r="625" spans="3:4" ht="16.5" customHeight="1">
      <c r="C625" s="525"/>
      <c r="D625" s="526"/>
    </row>
    <row r="626" spans="3:4" ht="16.5" customHeight="1">
      <c r="C626" s="525"/>
      <c r="D626" s="526"/>
    </row>
    <row r="627" spans="3:4" ht="16.5" customHeight="1">
      <c r="C627" s="525"/>
      <c r="D627" s="526"/>
    </row>
    <row r="628" spans="3:4" ht="16.5" customHeight="1">
      <c r="C628" s="525"/>
      <c r="D628" s="526"/>
    </row>
    <row r="629" spans="3:4" ht="16.5" customHeight="1">
      <c r="C629" s="525"/>
      <c r="D629" s="526"/>
    </row>
    <row r="630" spans="3:4" ht="16.5" customHeight="1">
      <c r="C630" s="525"/>
      <c r="D630" s="526"/>
    </row>
    <row r="631" spans="3:4" ht="16.5" customHeight="1">
      <c r="C631" s="525"/>
      <c r="D631" s="526"/>
    </row>
    <row r="632" spans="3:4" ht="16.5" customHeight="1">
      <c r="C632" s="525"/>
      <c r="D632" s="526"/>
    </row>
    <row r="633" spans="3:4" ht="16.5" customHeight="1">
      <c r="C633" s="525"/>
      <c r="D633" s="526"/>
    </row>
    <row r="634" spans="3:4" ht="16.5" customHeight="1">
      <c r="C634" s="525"/>
      <c r="D634" s="526"/>
    </row>
    <row r="635" spans="3:4" ht="16.5" customHeight="1">
      <c r="C635" s="525"/>
      <c r="D635" s="526"/>
    </row>
    <row r="636" spans="3:4" ht="16.5" customHeight="1">
      <c r="C636" s="525"/>
      <c r="D636" s="526"/>
    </row>
    <row r="637" spans="3:4" ht="16.5" customHeight="1">
      <c r="C637" s="525"/>
      <c r="D637" s="526"/>
    </row>
    <row r="638" spans="3:4" ht="16.5" customHeight="1">
      <c r="C638" s="525"/>
      <c r="D638" s="526"/>
    </row>
    <row r="639" spans="3:4" ht="16.5" customHeight="1">
      <c r="C639" s="525"/>
      <c r="D639" s="526"/>
    </row>
    <row r="640" spans="3:4" ht="16.5" customHeight="1">
      <c r="C640" s="525"/>
      <c r="D640" s="526"/>
    </row>
    <row r="641" spans="3:4" ht="16.5" customHeight="1">
      <c r="C641" s="525"/>
      <c r="D641" s="526"/>
    </row>
    <row r="642" spans="3:4" ht="16.5" customHeight="1">
      <c r="C642" s="525"/>
      <c r="D642" s="526"/>
    </row>
    <row r="643" spans="3:4" ht="16.5" customHeight="1">
      <c r="C643" s="525"/>
      <c r="D643" s="526"/>
    </row>
    <row r="644" spans="3:4" ht="16.5" customHeight="1">
      <c r="C644" s="525"/>
      <c r="D644" s="526"/>
    </row>
    <row r="645" spans="3:4" ht="16.5" customHeight="1">
      <c r="C645" s="525"/>
      <c r="D645" s="526"/>
    </row>
    <row r="646" spans="3:4" ht="16.5" customHeight="1">
      <c r="C646" s="525"/>
      <c r="D646" s="526"/>
    </row>
    <row r="647" spans="3:4" ht="16.5" customHeight="1">
      <c r="C647" s="525"/>
      <c r="D647" s="526"/>
    </row>
    <row r="648" spans="3:4" ht="16.5" customHeight="1">
      <c r="C648" s="525"/>
      <c r="D648" s="526"/>
    </row>
    <row r="649" spans="3:4" ht="16.5" customHeight="1">
      <c r="C649" s="525"/>
      <c r="D649" s="526"/>
    </row>
    <row r="650" spans="3:4" ht="16.5" customHeight="1">
      <c r="C650" s="525"/>
      <c r="D650" s="526"/>
    </row>
    <row r="651" spans="3:4" ht="16.5" customHeight="1">
      <c r="C651" s="525"/>
      <c r="D651" s="526"/>
    </row>
    <row r="652" spans="3:4" ht="16.5" customHeight="1">
      <c r="C652" s="525"/>
      <c r="D652" s="526"/>
    </row>
    <row r="653" spans="3:4" ht="16.5" customHeight="1">
      <c r="C653" s="525"/>
      <c r="D653" s="526"/>
    </row>
    <row r="654" spans="3:4" ht="16.5" customHeight="1">
      <c r="C654" s="525"/>
      <c r="D654" s="526"/>
    </row>
    <row r="655" spans="3:4" ht="16.5" customHeight="1">
      <c r="C655" s="525"/>
      <c r="D655" s="526"/>
    </row>
    <row r="656" spans="3:4" ht="16.5" customHeight="1">
      <c r="C656" s="525"/>
      <c r="D656" s="526"/>
    </row>
    <row r="657" spans="3:4" ht="16.5" customHeight="1">
      <c r="C657" s="525"/>
      <c r="D657" s="526"/>
    </row>
    <row r="658" spans="3:4" ht="16.5" customHeight="1">
      <c r="C658" s="525"/>
      <c r="D658" s="526"/>
    </row>
    <row r="659" spans="3:4" ht="16.5" customHeight="1">
      <c r="C659" s="525"/>
      <c r="D659" s="526"/>
    </row>
    <row r="660" spans="3:4" ht="16.5" customHeight="1">
      <c r="C660" s="525"/>
      <c r="D660" s="526"/>
    </row>
    <row r="661" spans="3:4" ht="16.5" customHeight="1">
      <c r="C661" s="525"/>
      <c r="D661" s="526"/>
    </row>
    <row r="662" spans="3:4" ht="16.5" customHeight="1">
      <c r="C662" s="525"/>
      <c r="D662" s="526"/>
    </row>
    <row r="663" spans="3:4" ht="16.5" customHeight="1">
      <c r="C663" s="525"/>
      <c r="D663" s="526"/>
    </row>
    <row r="664" spans="3:4" ht="16.5" customHeight="1">
      <c r="C664" s="525"/>
      <c r="D664" s="526"/>
    </row>
    <row r="665" spans="3:4" ht="16.5" customHeight="1">
      <c r="C665" s="525"/>
      <c r="D665" s="526"/>
    </row>
    <row r="666" spans="3:4" ht="16.5" customHeight="1">
      <c r="C666" s="525"/>
      <c r="D666" s="526"/>
    </row>
    <row r="667" spans="3:4" ht="16.5" customHeight="1">
      <c r="C667" s="525"/>
      <c r="D667" s="526"/>
    </row>
    <row r="668" spans="3:4" ht="16.5" customHeight="1">
      <c r="C668" s="525"/>
      <c r="D668" s="526"/>
    </row>
    <row r="669" spans="3:4" ht="16.5" customHeight="1">
      <c r="C669" s="525"/>
      <c r="D669" s="526"/>
    </row>
    <row r="670" spans="3:4" ht="16.5" customHeight="1">
      <c r="C670" s="525"/>
      <c r="D670" s="526"/>
    </row>
    <row r="671" spans="3:4" ht="16.5" customHeight="1">
      <c r="C671" s="525"/>
      <c r="D671" s="526"/>
    </row>
    <row r="672" spans="3:4" ht="16.5" customHeight="1">
      <c r="C672" s="525"/>
      <c r="D672" s="526"/>
    </row>
    <row r="673" spans="3:4" ht="16.5" customHeight="1">
      <c r="C673" s="525"/>
      <c r="D673" s="526"/>
    </row>
    <row r="674" spans="3:4" ht="16.5" customHeight="1">
      <c r="C674" s="525"/>
      <c r="D674" s="526"/>
    </row>
    <row r="675" spans="3:4" ht="16.5" customHeight="1">
      <c r="C675" s="525"/>
      <c r="D675" s="526"/>
    </row>
    <row r="676" spans="3:4" ht="16.5" customHeight="1">
      <c r="C676" s="525"/>
      <c r="D676" s="526"/>
    </row>
    <row r="677" spans="3:4" ht="16.5" customHeight="1">
      <c r="C677" s="525"/>
      <c r="D677" s="526"/>
    </row>
    <row r="678" spans="3:4" ht="16.5" customHeight="1">
      <c r="C678" s="525"/>
      <c r="D678" s="526"/>
    </row>
    <row r="679" spans="3:4" ht="16.5" customHeight="1">
      <c r="C679" s="525"/>
      <c r="D679" s="526"/>
    </row>
    <row r="680" spans="3:4" ht="16.5" customHeight="1">
      <c r="C680" s="525"/>
      <c r="D680" s="526"/>
    </row>
    <row r="681" spans="3:4" ht="16.5" customHeight="1">
      <c r="C681" s="525"/>
      <c r="D681" s="526"/>
    </row>
    <row r="682" spans="3:4" ht="16.5" customHeight="1">
      <c r="C682" s="525"/>
      <c r="D682" s="526"/>
    </row>
    <row r="683" spans="3:4" ht="16.5" customHeight="1">
      <c r="C683" s="525"/>
      <c r="D683" s="526"/>
    </row>
    <row r="684" spans="3:4" ht="16.5" customHeight="1">
      <c r="C684" s="525"/>
      <c r="D684" s="526"/>
    </row>
    <row r="685" spans="3:4" ht="16.5" customHeight="1">
      <c r="C685" s="525"/>
      <c r="D685" s="526"/>
    </row>
    <row r="686" spans="3:4" ht="16.5" customHeight="1">
      <c r="C686" s="525"/>
      <c r="D686" s="526"/>
    </row>
    <row r="687" spans="3:4" ht="16.5" customHeight="1">
      <c r="C687" s="525"/>
      <c r="D687" s="526"/>
    </row>
    <row r="688" spans="3:4" ht="16.5" customHeight="1">
      <c r="C688" s="525"/>
      <c r="D688" s="526"/>
    </row>
    <row r="689" spans="3:4" ht="16.5" customHeight="1">
      <c r="C689" s="525"/>
      <c r="D689" s="526"/>
    </row>
    <row r="690" spans="3:4" ht="16.5" customHeight="1">
      <c r="C690" s="525"/>
      <c r="D690" s="526"/>
    </row>
    <row r="691" spans="3:4" ht="16.5" customHeight="1">
      <c r="C691" s="525"/>
      <c r="D691" s="526"/>
    </row>
    <row r="692" spans="3:4" ht="16.5" customHeight="1">
      <c r="C692" s="525"/>
      <c r="D692" s="526"/>
    </row>
    <row r="693" spans="3:4" ht="16.5" customHeight="1">
      <c r="C693" s="525"/>
      <c r="D693" s="526"/>
    </row>
    <row r="694" spans="3:4" ht="16.5" customHeight="1">
      <c r="C694" s="525"/>
      <c r="D694" s="526"/>
    </row>
    <row r="695" spans="3:4" ht="16.5" customHeight="1">
      <c r="C695" s="525"/>
      <c r="D695" s="526"/>
    </row>
    <row r="696" spans="3:4" ht="16.5" customHeight="1">
      <c r="C696" s="525"/>
      <c r="D696" s="526"/>
    </row>
    <row r="697" spans="3:4" ht="16.5" customHeight="1">
      <c r="C697" s="525"/>
      <c r="D697" s="526"/>
    </row>
    <row r="698" spans="3:4" ht="16.5" customHeight="1">
      <c r="C698" s="525"/>
      <c r="D698" s="526"/>
    </row>
    <row r="699" spans="3:4" ht="16.5" customHeight="1">
      <c r="C699" s="525"/>
      <c r="D699" s="526"/>
    </row>
    <row r="700" spans="3:4" ht="16.5" customHeight="1">
      <c r="C700" s="525"/>
      <c r="D700" s="526"/>
    </row>
    <row r="701" spans="3:4" ht="16.5" customHeight="1">
      <c r="C701" s="525"/>
      <c r="D701" s="526"/>
    </row>
    <row r="702" spans="3:4" ht="16.5" customHeight="1">
      <c r="C702" s="525"/>
      <c r="D702" s="526"/>
    </row>
    <row r="703" spans="3:4" ht="16.5" customHeight="1">
      <c r="C703" s="525"/>
      <c r="D703" s="526"/>
    </row>
    <row r="704" spans="3:4" ht="16.5" customHeight="1">
      <c r="C704" s="525"/>
      <c r="D704" s="526"/>
    </row>
    <row r="705" spans="3:4" ht="16.5" customHeight="1">
      <c r="C705" s="525"/>
      <c r="D705" s="526"/>
    </row>
    <row r="706" spans="3:4" ht="16.5" customHeight="1">
      <c r="C706" s="525"/>
      <c r="D706" s="526"/>
    </row>
    <row r="707" spans="3:4" ht="16.5" customHeight="1">
      <c r="C707" s="525"/>
      <c r="D707" s="526"/>
    </row>
    <row r="708" spans="3:4" ht="16.5" customHeight="1">
      <c r="C708" s="525"/>
      <c r="D708" s="526"/>
    </row>
    <row r="709" spans="3:4" ht="16.5" customHeight="1">
      <c r="C709" s="525"/>
      <c r="D709" s="526"/>
    </row>
    <row r="710" spans="3:4" ht="16.5" customHeight="1">
      <c r="C710" s="525"/>
      <c r="D710" s="526"/>
    </row>
    <row r="711" spans="3:4" ht="16.5" customHeight="1">
      <c r="C711" s="525"/>
      <c r="D711" s="526"/>
    </row>
    <row r="712" spans="3:4" ht="16.5" customHeight="1">
      <c r="C712" s="525"/>
      <c r="D712" s="526"/>
    </row>
    <row r="713" spans="3:4" ht="16.5" customHeight="1">
      <c r="C713" s="525"/>
      <c r="D713" s="526"/>
    </row>
    <row r="714" spans="3:4" ht="16.5" customHeight="1">
      <c r="C714" s="525"/>
      <c r="D714" s="526"/>
    </row>
    <row r="715" spans="3:4" ht="16.5" customHeight="1">
      <c r="C715" s="525"/>
      <c r="D715" s="526"/>
    </row>
    <row r="716" spans="3:4" ht="16.5" customHeight="1">
      <c r="C716" s="525"/>
      <c r="D716" s="526"/>
    </row>
    <row r="717" spans="3:4" ht="16.5" customHeight="1">
      <c r="C717" s="525"/>
      <c r="D717" s="526"/>
    </row>
    <row r="718" spans="3:4" ht="16.5" customHeight="1">
      <c r="C718" s="525"/>
      <c r="D718" s="526"/>
    </row>
    <row r="719" spans="3:4" ht="16.5" customHeight="1">
      <c r="C719" s="525"/>
      <c r="D719" s="526"/>
    </row>
    <row r="720" spans="3:4" ht="16.5" customHeight="1">
      <c r="C720" s="525"/>
      <c r="D720" s="526"/>
    </row>
    <row r="721" spans="3:4" ht="16.5" customHeight="1">
      <c r="C721" s="525"/>
      <c r="D721" s="526"/>
    </row>
    <row r="722" spans="3:4" ht="16.5" customHeight="1">
      <c r="C722" s="525"/>
      <c r="D722" s="526"/>
    </row>
    <row r="723" spans="3:4" ht="16.5" customHeight="1">
      <c r="C723" s="525"/>
      <c r="D723" s="526"/>
    </row>
    <row r="724" spans="3:4" ht="16.5" customHeight="1">
      <c r="C724" s="525"/>
      <c r="D724" s="526"/>
    </row>
    <row r="725" spans="3:4" ht="16.5" customHeight="1">
      <c r="C725" s="525"/>
      <c r="D725" s="526"/>
    </row>
    <row r="726" spans="3:4" ht="16.5" customHeight="1">
      <c r="C726" s="525"/>
      <c r="D726" s="526"/>
    </row>
    <row r="727" spans="3:4" ht="16.5" customHeight="1">
      <c r="C727" s="525"/>
      <c r="D727" s="526"/>
    </row>
    <row r="728" spans="3:4" ht="16.5" customHeight="1">
      <c r="C728" s="525"/>
      <c r="D728" s="526"/>
    </row>
    <row r="729" spans="3:4" ht="16.5" customHeight="1">
      <c r="C729" s="525"/>
      <c r="D729" s="526"/>
    </row>
    <row r="730" spans="3:4" ht="16.5" customHeight="1">
      <c r="C730" s="525"/>
      <c r="D730" s="526"/>
    </row>
    <row r="731" spans="3:4" ht="16.5" customHeight="1">
      <c r="C731" s="525"/>
      <c r="D731" s="526"/>
    </row>
    <row r="732" spans="3:4" ht="16.5" customHeight="1">
      <c r="C732" s="525"/>
      <c r="D732" s="526"/>
    </row>
    <row r="733" spans="3:4" ht="16.5" customHeight="1">
      <c r="C733" s="525"/>
      <c r="D733" s="526"/>
    </row>
    <row r="734" spans="3:4" ht="16.5" customHeight="1">
      <c r="C734" s="525"/>
      <c r="D734" s="526"/>
    </row>
    <row r="735" spans="3:4" ht="16.5" customHeight="1">
      <c r="C735" s="525"/>
      <c r="D735" s="526"/>
    </row>
    <row r="736" spans="3:4" ht="16.5" customHeight="1">
      <c r="C736" s="525"/>
      <c r="D736" s="526"/>
    </row>
    <row r="737" spans="3:4" ht="16.5" customHeight="1">
      <c r="C737" s="525"/>
      <c r="D737" s="526"/>
    </row>
    <row r="738" spans="3:4" ht="16.5" customHeight="1">
      <c r="C738" s="525"/>
      <c r="D738" s="526"/>
    </row>
    <row r="739" spans="3:4" ht="16.5" customHeight="1">
      <c r="C739" s="525"/>
      <c r="D739" s="526"/>
    </row>
    <row r="740" spans="3:4" ht="16.5" customHeight="1">
      <c r="C740" s="525"/>
      <c r="D740" s="526"/>
    </row>
    <row r="741" spans="3:4" ht="16.5" customHeight="1">
      <c r="C741" s="525"/>
      <c r="D741" s="526"/>
    </row>
    <row r="742" spans="3:4" ht="16.5" customHeight="1">
      <c r="C742" s="525"/>
      <c r="D742" s="526"/>
    </row>
    <row r="743" spans="3:4" ht="16.5" customHeight="1">
      <c r="C743" s="525"/>
      <c r="D743" s="526"/>
    </row>
    <row r="744" spans="3:4" ht="16.5" customHeight="1">
      <c r="C744" s="525"/>
      <c r="D744" s="526"/>
    </row>
    <row r="745" spans="3:4" ht="16.5" customHeight="1">
      <c r="C745" s="525"/>
      <c r="D745" s="526"/>
    </row>
    <row r="746" spans="3:4" ht="16.5" customHeight="1">
      <c r="C746" s="525"/>
      <c r="D746" s="526"/>
    </row>
    <row r="747" spans="3:4" ht="16.5" customHeight="1">
      <c r="C747" s="525"/>
      <c r="D747" s="526"/>
    </row>
    <row r="748" spans="3:4" ht="16.5" customHeight="1">
      <c r="C748" s="525"/>
      <c r="D748" s="526"/>
    </row>
    <row r="749" spans="3:4" ht="16.5" customHeight="1">
      <c r="C749" s="525"/>
      <c r="D749" s="526"/>
    </row>
    <row r="750" spans="3:4" ht="16.5" customHeight="1">
      <c r="C750" s="525"/>
      <c r="D750" s="526"/>
    </row>
    <row r="751" spans="3:4" ht="16.5" customHeight="1">
      <c r="C751" s="525"/>
      <c r="D751" s="526"/>
    </row>
    <row r="752" spans="3:4" ht="16.5" customHeight="1">
      <c r="C752" s="525"/>
      <c r="D752" s="526"/>
    </row>
    <row r="753" spans="3:4" ht="16.5" customHeight="1">
      <c r="C753" s="525"/>
      <c r="D753" s="526"/>
    </row>
    <row r="754" spans="3:4" ht="16.5" customHeight="1">
      <c r="C754" s="525"/>
      <c r="D754" s="526"/>
    </row>
    <row r="755" spans="3:4" ht="16.5" customHeight="1">
      <c r="C755" s="525"/>
      <c r="D755" s="526"/>
    </row>
    <row r="756" spans="3:4" ht="16.5" customHeight="1">
      <c r="C756" s="525"/>
      <c r="D756" s="526"/>
    </row>
    <row r="757" spans="3:4" ht="16.5" customHeight="1">
      <c r="C757" s="525"/>
      <c r="D757" s="526"/>
    </row>
    <row r="758" spans="3:4" ht="16.5" customHeight="1">
      <c r="C758" s="525"/>
      <c r="D758" s="526"/>
    </row>
    <row r="759" spans="3:4" ht="16.5" customHeight="1">
      <c r="C759" s="525"/>
      <c r="D759" s="526"/>
    </row>
    <row r="760" spans="3:4" ht="16.5" customHeight="1">
      <c r="C760" s="525"/>
      <c r="D760" s="526"/>
    </row>
    <row r="761" spans="3:4" ht="16.5" customHeight="1">
      <c r="C761" s="525"/>
      <c r="D761" s="526"/>
    </row>
    <row r="762" spans="3:4" ht="16.5" customHeight="1">
      <c r="C762" s="525"/>
      <c r="D762" s="526"/>
    </row>
    <row r="763" spans="3:4" ht="16.5" customHeight="1">
      <c r="C763" s="525"/>
      <c r="D763" s="526"/>
    </row>
    <row r="764" spans="3:4" ht="16.5" customHeight="1">
      <c r="C764" s="525"/>
      <c r="D764" s="526"/>
    </row>
    <row r="765" spans="3:4" ht="16.5" customHeight="1">
      <c r="C765" s="525"/>
      <c r="D765" s="526"/>
    </row>
    <row r="766" spans="3:4" ht="16.5" customHeight="1">
      <c r="C766" s="525"/>
      <c r="D766" s="526"/>
    </row>
    <row r="767" spans="3:4" ht="16.5" customHeight="1">
      <c r="C767" s="525"/>
      <c r="D767" s="526"/>
    </row>
    <row r="768" spans="3:4" ht="16.5" customHeight="1">
      <c r="C768" s="525"/>
      <c r="D768" s="526"/>
    </row>
    <row r="769" spans="3:4" ht="16.5" customHeight="1">
      <c r="C769" s="525"/>
      <c r="D769" s="526"/>
    </row>
    <row r="770" spans="3:4" ht="16.5" customHeight="1">
      <c r="C770" s="525"/>
      <c r="D770" s="526"/>
    </row>
    <row r="771" spans="3:4" ht="16.5" customHeight="1">
      <c r="C771" s="525"/>
      <c r="D771" s="526"/>
    </row>
    <row r="772" spans="3:4" ht="16.5" customHeight="1">
      <c r="C772" s="525"/>
      <c r="D772" s="526"/>
    </row>
    <row r="773" spans="3:4" ht="16.5" customHeight="1">
      <c r="C773" s="525"/>
      <c r="D773" s="526"/>
    </row>
    <row r="774" spans="3:4" ht="16.5" customHeight="1">
      <c r="C774" s="525"/>
      <c r="D774" s="526"/>
    </row>
    <row r="775" spans="3:4" ht="16.5" customHeight="1">
      <c r="C775" s="525"/>
      <c r="D775" s="526"/>
    </row>
    <row r="776" spans="3:4" ht="16.5" customHeight="1">
      <c r="C776" s="525"/>
      <c r="D776" s="526"/>
    </row>
    <row r="777" spans="3:4" ht="16.5" customHeight="1">
      <c r="C777" s="525"/>
      <c r="D777" s="526"/>
    </row>
    <row r="778" spans="3:4" ht="16.5" customHeight="1">
      <c r="C778" s="525"/>
      <c r="D778" s="526"/>
    </row>
    <row r="779" spans="3:4" ht="16.5" customHeight="1">
      <c r="C779" s="525"/>
      <c r="D779" s="526"/>
    </row>
    <row r="780" spans="3:4" ht="16.5" customHeight="1">
      <c r="C780" s="525"/>
      <c r="D780" s="526"/>
    </row>
    <row r="781" spans="3:4" ht="16.5" customHeight="1">
      <c r="C781" s="525"/>
      <c r="D781" s="526"/>
    </row>
    <row r="782" spans="3:4" ht="16.5" customHeight="1">
      <c r="C782" s="525"/>
      <c r="D782" s="526"/>
    </row>
    <row r="783" spans="3:4" ht="16.5" customHeight="1">
      <c r="C783" s="525"/>
      <c r="D783" s="526"/>
    </row>
    <row r="784" spans="3:4" ht="16.5" customHeight="1">
      <c r="C784" s="525"/>
      <c r="D784" s="526"/>
    </row>
    <row r="785" spans="3:4" ht="16.5" customHeight="1">
      <c r="C785" s="525"/>
      <c r="D785" s="526"/>
    </row>
    <row r="786" spans="3:4" ht="16.5" customHeight="1">
      <c r="C786" s="525"/>
      <c r="D786" s="526"/>
    </row>
    <row r="787" spans="3:4" ht="16.5" customHeight="1">
      <c r="C787" s="525"/>
      <c r="D787" s="526"/>
    </row>
    <row r="788" spans="3:4" ht="16.5" customHeight="1">
      <c r="C788" s="525"/>
      <c r="D788" s="526"/>
    </row>
    <row r="789" spans="3:4" ht="16.5" customHeight="1">
      <c r="C789" s="525"/>
      <c r="D789" s="526"/>
    </row>
    <row r="790" spans="3:4" ht="16.5" customHeight="1">
      <c r="C790" s="525"/>
      <c r="D790" s="526"/>
    </row>
    <row r="791" spans="3:4" ht="16.5" customHeight="1">
      <c r="C791" s="525"/>
      <c r="D791" s="526"/>
    </row>
    <row r="792" spans="3:4" ht="16.5" customHeight="1">
      <c r="C792" s="525"/>
      <c r="D792" s="526"/>
    </row>
    <row r="793" spans="3:4" ht="16.5" customHeight="1">
      <c r="C793" s="525"/>
      <c r="D793" s="526"/>
    </row>
    <row r="794" spans="3:4" ht="16.5" customHeight="1">
      <c r="C794" s="525"/>
      <c r="D794" s="526"/>
    </row>
    <row r="795" spans="3:4" ht="16.5" customHeight="1">
      <c r="C795" s="525"/>
      <c r="D795" s="526"/>
    </row>
    <row r="796" spans="3:4" ht="16.5" customHeight="1">
      <c r="C796" s="525"/>
      <c r="D796" s="526"/>
    </row>
    <row r="797" spans="3:4" ht="16.5" customHeight="1">
      <c r="C797" s="525"/>
      <c r="D797" s="526"/>
    </row>
    <row r="798" spans="3:4" ht="16.5" customHeight="1">
      <c r="C798" s="525"/>
      <c r="D798" s="526"/>
    </row>
    <row r="799" spans="3:4" ht="16.5" customHeight="1">
      <c r="C799" s="525"/>
      <c r="D799" s="526"/>
    </row>
    <row r="800" spans="3:4" ht="16.5" customHeight="1">
      <c r="C800" s="525"/>
      <c r="D800" s="526"/>
    </row>
    <row r="801" spans="3:4" ht="16.5" customHeight="1">
      <c r="C801" s="525"/>
      <c r="D801" s="526"/>
    </row>
    <row r="802" spans="3:4" ht="16.5" customHeight="1">
      <c r="C802" s="525"/>
      <c r="D802" s="526"/>
    </row>
    <row r="803" spans="3:4" ht="16.5" customHeight="1">
      <c r="C803" s="525"/>
      <c r="D803" s="526"/>
    </row>
    <row r="804" spans="3:4" ht="16.5" customHeight="1">
      <c r="C804" s="525"/>
      <c r="D804" s="526"/>
    </row>
    <row r="805" spans="3:4" ht="16.5" customHeight="1">
      <c r="C805" s="525"/>
      <c r="D805" s="526"/>
    </row>
    <row r="806" spans="3:4" ht="16.5" customHeight="1">
      <c r="C806" s="525"/>
      <c r="D806" s="526"/>
    </row>
    <row r="807" spans="3:4" ht="16.5" customHeight="1">
      <c r="C807" s="525"/>
      <c r="D807" s="526"/>
    </row>
    <row r="808" spans="3:4" ht="16.5" customHeight="1">
      <c r="C808" s="525"/>
      <c r="D808" s="526"/>
    </row>
    <row r="809" spans="3:4" ht="16.5" customHeight="1">
      <c r="C809" s="525"/>
      <c r="D809" s="526"/>
    </row>
    <row r="810" spans="3:4" ht="16.5" customHeight="1">
      <c r="C810" s="525"/>
      <c r="D810" s="526"/>
    </row>
    <row r="811" spans="3:4" ht="16.5" customHeight="1">
      <c r="C811" s="525"/>
      <c r="D811" s="526"/>
    </row>
    <row r="812" spans="3:4" ht="16.5" customHeight="1">
      <c r="C812" s="525"/>
      <c r="D812" s="526"/>
    </row>
    <row r="813" spans="3:4" ht="16.5" customHeight="1">
      <c r="C813" s="525"/>
      <c r="D813" s="526"/>
    </row>
    <row r="814" spans="3:4" ht="16.5" customHeight="1">
      <c r="C814" s="525"/>
      <c r="D814" s="526"/>
    </row>
    <row r="815" spans="3:4" ht="16.5" customHeight="1">
      <c r="C815" s="525"/>
      <c r="D815" s="526"/>
    </row>
    <row r="816" spans="3:4" ht="16.5" customHeight="1">
      <c r="C816" s="525"/>
      <c r="D816" s="526"/>
    </row>
    <row r="817" spans="3:4" ht="16.5" customHeight="1">
      <c r="C817" s="525"/>
      <c r="D817" s="526"/>
    </row>
    <row r="818" spans="3:4" ht="16.5" customHeight="1">
      <c r="C818" s="525"/>
      <c r="D818" s="526"/>
    </row>
    <row r="819" spans="3:4" ht="16.5" customHeight="1">
      <c r="C819" s="525"/>
      <c r="D819" s="526"/>
    </row>
    <row r="820" spans="3:4" ht="16.5" customHeight="1">
      <c r="C820" s="525"/>
      <c r="D820" s="526"/>
    </row>
    <row r="821" spans="3:4" ht="16.5" customHeight="1">
      <c r="C821" s="525"/>
      <c r="D821" s="526"/>
    </row>
    <row r="822" spans="3:4" ht="16.5" customHeight="1">
      <c r="C822" s="525"/>
      <c r="D822" s="526"/>
    </row>
    <row r="823" spans="3:4" ht="16.5" customHeight="1">
      <c r="C823" s="525"/>
      <c r="D823" s="526"/>
    </row>
    <row r="824" spans="3:4" ht="16.5" customHeight="1">
      <c r="C824" s="525"/>
      <c r="D824" s="526"/>
    </row>
    <row r="825" spans="3:4" ht="16.5" customHeight="1">
      <c r="C825" s="525"/>
      <c r="D825" s="526"/>
    </row>
    <row r="826" spans="3:4" ht="16.5" customHeight="1">
      <c r="C826" s="525"/>
      <c r="D826" s="526"/>
    </row>
    <row r="827" spans="3:4" ht="16.5" customHeight="1">
      <c r="C827" s="525"/>
      <c r="D827" s="526"/>
    </row>
    <row r="828" spans="3:4" ht="16.5" customHeight="1">
      <c r="C828" s="525"/>
      <c r="D828" s="526"/>
    </row>
    <row r="829" spans="3:4" ht="16.5" customHeight="1">
      <c r="C829" s="525"/>
      <c r="D829" s="526"/>
    </row>
    <row r="830" spans="3:4" ht="16.5" customHeight="1">
      <c r="C830" s="525"/>
      <c r="D830" s="526"/>
    </row>
    <row r="831" spans="3:4" ht="16.5" customHeight="1">
      <c r="C831" s="525"/>
      <c r="D831" s="526"/>
    </row>
    <row r="832" spans="3:4" ht="16.5" customHeight="1">
      <c r="C832" s="525"/>
      <c r="D832" s="526"/>
    </row>
    <row r="833" spans="3:4" ht="16.5" customHeight="1">
      <c r="C833" s="525"/>
      <c r="D833" s="526"/>
    </row>
    <row r="834" spans="3:4" ht="16.5" customHeight="1">
      <c r="C834" s="525"/>
      <c r="D834" s="526"/>
    </row>
    <row r="835" spans="3:4" ht="16.5" customHeight="1">
      <c r="C835" s="525"/>
      <c r="D835" s="526"/>
    </row>
    <row r="836" spans="3:4" ht="16.5" customHeight="1">
      <c r="C836" s="525"/>
      <c r="D836" s="526"/>
    </row>
    <row r="837" spans="3:4" ht="16.5" customHeight="1">
      <c r="C837" s="525"/>
      <c r="D837" s="526"/>
    </row>
    <row r="838" spans="3:4" ht="16.5" customHeight="1">
      <c r="C838" s="525"/>
      <c r="D838" s="526"/>
    </row>
    <row r="839" spans="3:4" ht="16.5" customHeight="1">
      <c r="C839" s="525"/>
      <c r="D839" s="526"/>
    </row>
    <row r="840" spans="3:4" ht="16.5" customHeight="1">
      <c r="C840" s="525"/>
      <c r="D840" s="526"/>
    </row>
    <row r="841" spans="3:4" ht="16.5" customHeight="1">
      <c r="C841" s="525"/>
      <c r="D841" s="526"/>
    </row>
    <row r="842" spans="3:4" ht="16.5" customHeight="1">
      <c r="C842" s="525"/>
      <c r="D842" s="526"/>
    </row>
    <row r="843" spans="3:4" ht="16.5" customHeight="1">
      <c r="C843" s="525"/>
      <c r="D843" s="526"/>
    </row>
    <row r="844" spans="3:4" ht="16.5" customHeight="1">
      <c r="C844" s="525"/>
      <c r="D844" s="526"/>
    </row>
    <row r="845" spans="3:4" ht="16.5" customHeight="1">
      <c r="C845" s="525"/>
      <c r="D845" s="526"/>
    </row>
    <row r="846" spans="3:4" ht="16.5" customHeight="1">
      <c r="C846" s="525"/>
      <c r="D846" s="526"/>
    </row>
    <row r="847" spans="3:4" ht="16.5" customHeight="1">
      <c r="C847" s="525"/>
      <c r="D847" s="526"/>
    </row>
    <row r="848" spans="3:4" ht="16.5" customHeight="1">
      <c r="C848" s="525"/>
      <c r="D848" s="526"/>
    </row>
    <row r="849" spans="3:4" ht="16.5" customHeight="1">
      <c r="C849" s="525"/>
      <c r="D849" s="526"/>
    </row>
    <row r="850" spans="3:4" ht="16.5" customHeight="1">
      <c r="C850" s="525"/>
      <c r="D850" s="526"/>
    </row>
    <row r="851" spans="3:4" ht="16.5" customHeight="1">
      <c r="C851" s="525"/>
      <c r="D851" s="526"/>
    </row>
    <row r="852" spans="3:4" ht="16.5" customHeight="1">
      <c r="C852" s="525"/>
      <c r="D852" s="526"/>
    </row>
    <row r="853" spans="3:4" ht="16.5" customHeight="1">
      <c r="C853" s="525"/>
      <c r="D853" s="526"/>
    </row>
    <row r="854" spans="3:4" ht="16.5" customHeight="1">
      <c r="C854" s="525"/>
      <c r="D854" s="526"/>
    </row>
    <row r="855" spans="3:4" ht="16.5" customHeight="1">
      <c r="C855" s="525"/>
      <c r="D855" s="526"/>
    </row>
    <row r="856" spans="3:4" ht="16.5" customHeight="1">
      <c r="C856" s="525"/>
      <c r="D856" s="526"/>
    </row>
    <row r="857" spans="3:4" ht="16.5" customHeight="1">
      <c r="C857" s="525"/>
      <c r="D857" s="526"/>
    </row>
    <row r="858" spans="3:4" ht="16.5" customHeight="1">
      <c r="C858" s="525"/>
      <c r="D858" s="526"/>
    </row>
    <row r="859" spans="3:4" ht="16.5" customHeight="1">
      <c r="C859" s="525"/>
      <c r="D859" s="526"/>
    </row>
    <row r="860" spans="3:4" ht="16.5" customHeight="1">
      <c r="C860" s="525"/>
      <c r="D860" s="526"/>
    </row>
    <row r="861" spans="3:4" ht="16.5" customHeight="1">
      <c r="C861" s="525"/>
      <c r="D861" s="526"/>
    </row>
    <row r="862" spans="3:4" ht="16.5" customHeight="1">
      <c r="C862" s="525"/>
      <c r="D862" s="526"/>
    </row>
    <row r="863" spans="3:4" ht="16.5" customHeight="1">
      <c r="C863" s="525"/>
      <c r="D863" s="526"/>
    </row>
    <row r="864" spans="3:4" ht="16.5" customHeight="1">
      <c r="C864" s="525"/>
      <c r="D864" s="526"/>
    </row>
    <row r="865" spans="3:4" ht="16.5" customHeight="1">
      <c r="C865" s="525"/>
      <c r="D865" s="526"/>
    </row>
    <row r="866" spans="3:4" ht="16.5" customHeight="1">
      <c r="C866" s="525"/>
      <c r="D866" s="526"/>
    </row>
    <row r="867" spans="3:4" ht="16.5" customHeight="1">
      <c r="C867" s="525"/>
      <c r="D867" s="526"/>
    </row>
    <row r="868" spans="3:4" ht="16.5" customHeight="1">
      <c r="C868" s="525"/>
      <c r="D868" s="526"/>
    </row>
    <row r="869" spans="3:4" ht="16.5" customHeight="1">
      <c r="C869" s="525"/>
      <c r="D869" s="526"/>
    </row>
    <row r="870" spans="3:4" ht="16.5" customHeight="1">
      <c r="C870" s="525"/>
      <c r="D870" s="526"/>
    </row>
    <row r="871" spans="3:4" ht="16.5" customHeight="1">
      <c r="C871" s="525"/>
      <c r="D871" s="526"/>
    </row>
    <row r="872" spans="3:4" ht="16.5" customHeight="1">
      <c r="C872" s="525"/>
      <c r="D872" s="526"/>
    </row>
    <row r="873" spans="3:4" ht="16.5" customHeight="1">
      <c r="C873" s="525"/>
      <c r="D873" s="526"/>
    </row>
    <row r="874" spans="3:4" ht="16.5" customHeight="1">
      <c r="C874" s="525"/>
      <c r="D874" s="526"/>
    </row>
    <row r="875" spans="3:4" ht="16.5" customHeight="1">
      <c r="C875" s="525"/>
      <c r="D875" s="526"/>
    </row>
    <row r="876" spans="3:4" ht="16.5" customHeight="1">
      <c r="C876" s="525"/>
      <c r="D876" s="526"/>
    </row>
    <row r="877" spans="3:4" ht="16.5" customHeight="1">
      <c r="C877" s="525"/>
      <c r="D877" s="526"/>
    </row>
    <row r="878" spans="3:4" ht="16.5" customHeight="1">
      <c r="C878" s="525"/>
      <c r="D878" s="526"/>
    </row>
    <row r="879" spans="3:4" ht="16.5" customHeight="1">
      <c r="C879" s="525"/>
      <c r="D879" s="526"/>
    </row>
    <row r="880" spans="3:4" ht="16.5" customHeight="1">
      <c r="C880" s="525"/>
      <c r="D880" s="526"/>
    </row>
    <row r="881" spans="3:4" ht="16.5" customHeight="1">
      <c r="C881" s="525"/>
      <c r="D881" s="526"/>
    </row>
    <row r="882" spans="3:4" ht="16.5" customHeight="1">
      <c r="C882" s="525"/>
      <c r="D882" s="526"/>
    </row>
    <row r="883" spans="3:4" ht="16.5" customHeight="1">
      <c r="C883" s="525"/>
      <c r="D883" s="526"/>
    </row>
    <row r="884" spans="3:4" ht="16.5" customHeight="1">
      <c r="C884" s="525"/>
      <c r="D884" s="526"/>
    </row>
    <row r="885" spans="3:4" ht="16.5" customHeight="1">
      <c r="C885" s="525"/>
      <c r="D885" s="526"/>
    </row>
    <row r="886" spans="3:4" ht="16.5" customHeight="1">
      <c r="C886" s="525"/>
      <c r="D886" s="526"/>
    </row>
    <row r="887" spans="3:4" ht="16.5" customHeight="1">
      <c r="C887" s="525"/>
      <c r="D887" s="526"/>
    </row>
    <row r="888" spans="3:4" ht="16.5" customHeight="1">
      <c r="C888" s="525"/>
      <c r="D888" s="526"/>
    </row>
    <row r="889" spans="3:4" ht="16.5" customHeight="1">
      <c r="C889" s="525"/>
      <c r="D889" s="526"/>
    </row>
    <row r="890" spans="3:4" ht="16.5" customHeight="1">
      <c r="C890" s="525"/>
      <c r="D890" s="526"/>
    </row>
    <row r="891" spans="3:4" ht="16.5" customHeight="1">
      <c r="C891" s="525"/>
      <c r="D891" s="526"/>
    </row>
    <row r="892" spans="3:4" ht="16.5" customHeight="1">
      <c r="C892" s="525"/>
      <c r="D892" s="526"/>
    </row>
    <row r="893" spans="3:4" ht="16.5" customHeight="1">
      <c r="C893" s="525"/>
      <c r="D893" s="526"/>
    </row>
    <row r="894" spans="3:4" ht="16.5" customHeight="1">
      <c r="C894" s="525"/>
      <c r="D894" s="526"/>
    </row>
    <row r="895" spans="3:4" ht="16.5" customHeight="1">
      <c r="C895" s="525"/>
      <c r="D895" s="526"/>
    </row>
    <row r="896" spans="3:4" ht="16.5" customHeight="1">
      <c r="C896" s="525"/>
      <c r="D896" s="526"/>
    </row>
    <row r="897" spans="3:4" ht="16.5" customHeight="1">
      <c r="C897" s="525"/>
      <c r="D897" s="526"/>
    </row>
    <row r="898" spans="3:4" ht="16.5" customHeight="1">
      <c r="C898" s="525"/>
      <c r="D898" s="526"/>
    </row>
    <row r="899" spans="3:4" ht="16.5" customHeight="1">
      <c r="C899" s="525"/>
      <c r="D899" s="526"/>
    </row>
    <row r="900" spans="3:4" ht="16.5" customHeight="1">
      <c r="C900" s="525"/>
      <c r="D900" s="526"/>
    </row>
    <row r="901" spans="3:4" ht="16.5" customHeight="1">
      <c r="C901" s="525"/>
      <c r="D901" s="526"/>
    </row>
    <row r="902" spans="3:4" ht="16.5" customHeight="1">
      <c r="C902" s="525"/>
      <c r="D902" s="526"/>
    </row>
    <row r="903" spans="3:4" ht="16.5" customHeight="1">
      <c r="C903" s="525"/>
      <c r="D903" s="526"/>
    </row>
    <row r="904" spans="3:4" ht="16.5" customHeight="1">
      <c r="C904" s="525"/>
      <c r="D904" s="526"/>
    </row>
    <row r="905" spans="3:4" ht="16.5" customHeight="1">
      <c r="C905" s="525"/>
      <c r="D905" s="526"/>
    </row>
    <row r="906" spans="3:4" ht="16.5" customHeight="1">
      <c r="C906" s="525"/>
      <c r="D906" s="526"/>
    </row>
    <row r="907" spans="3:4" ht="16.5" customHeight="1">
      <c r="C907" s="525"/>
      <c r="D907" s="526"/>
    </row>
    <row r="908" spans="3:4" ht="16.5" customHeight="1">
      <c r="C908" s="525"/>
      <c r="D908" s="526"/>
    </row>
    <row r="909" spans="3:4" ht="16.5" customHeight="1">
      <c r="C909" s="525"/>
      <c r="D909" s="526"/>
    </row>
    <row r="910" spans="3:4" ht="16.5" customHeight="1">
      <c r="C910" s="525"/>
      <c r="D910" s="526"/>
    </row>
    <row r="911" spans="3:4" ht="16.5" customHeight="1">
      <c r="C911" s="525"/>
      <c r="D911" s="526"/>
    </row>
    <row r="912" spans="3:4" ht="16.5" customHeight="1">
      <c r="C912" s="525"/>
      <c r="D912" s="526"/>
    </row>
    <row r="913" spans="3:4" ht="16.5" customHeight="1">
      <c r="C913" s="525"/>
      <c r="D913" s="526"/>
    </row>
    <row r="914" spans="3:4" ht="16.5" customHeight="1">
      <c r="C914" s="525"/>
      <c r="D914" s="526"/>
    </row>
    <row r="915" spans="3:4" ht="16.5" customHeight="1">
      <c r="C915" s="525"/>
      <c r="D915" s="526"/>
    </row>
    <row r="916" spans="3:4" ht="16.5" customHeight="1">
      <c r="C916" s="525"/>
      <c r="D916" s="526"/>
    </row>
    <row r="917" spans="3:4" ht="16.5" customHeight="1">
      <c r="C917" s="525"/>
      <c r="D917" s="526"/>
    </row>
    <row r="918" spans="3:4" ht="16.5" customHeight="1">
      <c r="C918" s="525"/>
      <c r="D918" s="526"/>
    </row>
    <row r="919" spans="3:4" ht="16.5" customHeight="1">
      <c r="C919" s="525"/>
      <c r="D919" s="526"/>
    </row>
    <row r="920" spans="3:4" ht="16.5" customHeight="1">
      <c r="C920" s="525"/>
      <c r="D920" s="526"/>
    </row>
    <row r="921" spans="3:4" ht="16.5" customHeight="1">
      <c r="C921" s="525"/>
      <c r="D921" s="526"/>
    </row>
    <row r="922" spans="3:4" ht="16.5" customHeight="1">
      <c r="C922" s="525"/>
      <c r="D922" s="526"/>
    </row>
    <row r="923" spans="3:4" ht="16.5" customHeight="1">
      <c r="C923" s="525"/>
      <c r="D923" s="526"/>
    </row>
    <row r="924" spans="3:4" ht="16.5" customHeight="1">
      <c r="C924" s="525"/>
      <c r="D924" s="526"/>
    </row>
    <row r="925" spans="3:4" ht="16.5" customHeight="1">
      <c r="C925" s="525"/>
      <c r="D925" s="526"/>
    </row>
    <row r="926" spans="3:4" ht="16.5" customHeight="1">
      <c r="C926" s="525"/>
      <c r="D926" s="526"/>
    </row>
    <row r="927" spans="3:4" ht="16.5" customHeight="1">
      <c r="C927" s="525"/>
      <c r="D927" s="526"/>
    </row>
    <row r="928" spans="3:4" ht="16.5" customHeight="1">
      <c r="C928" s="525"/>
      <c r="D928" s="526"/>
    </row>
    <row r="929" spans="3:4" ht="16.5" customHeight="1">
      <c r="C929" s="525"/>
      <c r="D929" s="526"/>
    </row>
    <row r="930" spans="3:4" ht="16.5" customHeight="1">
      <c r="C930" s="525"/>
      <c r="D930" s="526"/>
    </row>
    <row r="931" spans="3:4" ht="16.5" customHeight="1">
      <c r="C931" s="525"/>
      <c r="D931" s="526"/>
    </row>
    <row r="932" spans="3:4" ht="16.5" customHeight="1">
      <c r="C932" s="525"/>
      <c r="D932" s="526"/>
    </row>
    <row r="933" spans="3:4" ht="16.5" customHeight="1">
      <c r="C933" s="525"/>
      <c r="D933" s="526"/>
    </row>
    <row r="934" spans="3:4" ht="16.5" customHeight="1">
      <c r="C934" s="525"/>
      <c r="D934" s="526"/>
    </row>
    <row r="935" spans="3:4" ht="16.5" customHeight="1">
      <c r="C935" s="525"/>
      <c r="D935" s="526"/>
    </row>
    <row r="936" spans="3:4" ht="16.5" customHeight="1">
      <c r="C936" s="525"/>
      <c r="D936" s="526"/>
    </row>
    <row r="937" spans="3:4" ht="16.5" customHeight="1">
      <c r="C937" s="525"/>
      <c r="D937" s="526"/>
    </row>
    <row r="938" spans="3:4" ht="16.5" customHeight="1">
      <c r="C938" s="525"/>
      <c r="D938" s="526"/>
    </row>
    <row r="939" spans="3:4" ht="16.5" customHeight="1">
      <c r="C939" s="525"/>
      <c r="D939" s="526"/>
    </row>
    <row r="940" spans="3:4" ht="16.5" customHeight="1">
      <c r="C940" s="525"/>
      <c r="D940" s="526"/>
    </row>
    <row r="941" spans="3:4" ht="16.5" customHeight="1">
      <c r="C941" s="525"/>
      <c r="D941" s="526"/>
    </row>
    <row r="942" spans="3:4" ht="16.5" customHeight="1">
      <c r="C942" s="525"/>
      <c r="D942" s="526"/>
    </row>
    <row r="943" spans="3:4" ht="16.5" customHeight="1">
      <c r="C943" s="525"/>
      <c r="D943" s="526"/>
    </row>
    <row r="944" spans="3:4" ht="16.5" customHeight="1">
      <c r="C944" s="525"/>
      <c r="D944" s="526"/>
    </row>
    <row r="945" spans="3:4" ht="16.5" customHeight="1">
      <c r="C945" s="525"/>
      <c r="D945" s="526"/>
    </row>
    <row r="946" spans="3:4" ht="16.5" customHeight="1">
      <c r="C946" s="525"/>
      <c r="D946" s="526"/>
    </row>
    <row r="947" spans="3:4" ht="16.5" customHeight="1">
      <c r="C947" s="525"/>
      <c r="D947" s="526"/>
    </row>
    <row r="948" spans="3:4" ht="16.5" customHeight="1">
      <c r="C948" s="525"/>
      <c r="D948" s="526"/>
    </row>
    <row r="949" spans="3:4" ht="16.5" customHeight="1">
      <c r="C949" s="525"/>
      <c r="D949" s="526"/>
    </row>
    <row r="950" spans="3:4" ht="16.5" customHeight="1">
      <c r="C950" s="525"/>
      <c r="D950" s="526"/>
    </row>
    <row r="951" spans="3:4" ht="16.5" customHeight="1">
      <c r="C951" s="525"/>
      <c r="D951" s="526"/>
    </row>
    <row r="952" spans="3:4" ht="16.5" customHeight="1">
      <c r="C952" s="525"/>
      <c r="D952" s="526"/>
    </row>
    <row r="953" spans="3:4" ht="16.5" customHeight="1">
      <c r="C953" s="525"/>
      <c r="D953" s="526"/>
    </row>
    <row r="954" spans="3:4" ht="16.5" customHeight="1">
      <c r="C954" s="525"/>
      <c r="D954" s="526"/>
    </row>
    <row r="955" spans="3:4" ht="16.5" customHeight="1">
      <c r="C955" s="525"/>
      <c r="D955" s="526"/>
    </row>
    <row r="956" spans="3:4" ht="16.5" customHeight="1">
      <c r="C956" s="525"/>
      <c r="D956" s="526"/>
    </row>
    <row r="957" spans="3:4" ht="16.5" customHeight="1">
      <c r="C957" s="525"/>
      <c r="D957" s="526"/>
    </row>
    <row r="958" spans="3:4" ht="16.5" customHeight="1">
      <c r="C958" s="525"/>
      <c r="D958" s="526"/>
    </row>
    <row r="959" spans="3:4" ht="16.5" customHeight="1">
      <c r="C959" s="525"/>
      <c r="D959" s="526"/>
    </row>
    <row r="960" spans="3:4" ht="16.5" customHeight="1">
      <c r="C960" s="525"/>
      <c r="D960" s="526"/>
    </row>
    <row r="961" spans="3:4" ht="16.5" customHeight="1">
      <c r="C961" s="525"/>
      <c r="D961" s="526"/>
    </row>
    <row r="962" spans="3:4" ht="16.5" customHeight="1">
      <c r="C962" s="525"/>
      <c r="D962" s="526"/>
    </row>
    <row r="963" spans="3:4" ht="16.5" customHeight="1">
      <c r="C963" s="525"/>
      <c r="D963" s="526"/>
    </row>
    <row r="964" spans="3:4" ht="16.5" customHeight="1">
      <c r="C964" s="525"/>
      <c r="D964" s="526"/>
    </row>
    <row r="965" spans="3:4" ht="16.5" customHeight="1">
      <c r="C965" s="525"/>
      <c r="D965" s="526"/>
    </row>
    <row r="966" spans="3:4" ht="16.5" customHeight="1">
      <c r="C966" s="525"/>
      <c r="D966" s="526"/>
    </row>
    <row r="967" spans="3:4" ht="16.5" customHeight="1">
      <c r="C967" s="525"/>
      <c r="D967" s="526"/>
    </row>
    <row r="968" spans="3:4" ht="16.5" customHeight="1">
      <c r="C968" s="525"/>
      <c r="D968" s="526"/>
    </row>
    <row r="969" spans="3:4" ht="16.5" customHeight="1">
      <c r="C969" s="525"/>
      <c r="D969" s="526"/>
    </row>
    <row r="970" spans="3:4" ht="16.5" customHeight="1">
      <c r="C970" s="525"/>
      <c r="D970" s="526"/>
    </row>
    <row r="971" spans="3:4" ht="16.5" customHeight="1">
      <c r="C971" s="525"/>
      <c r="D971" s="526"/>
    </row>
    <row r="972" spans="3:4" ht="16.5" customHeight="1">
      <c r="C972" s="525"/>
      <c r="D972" s="526"/>
    </row>
    <row r="973" spans="3:4" ht="16.5" customHeight="1">
      <c r="C973" s="525"/>
      <c r="D973" s="526"/>
    </row>
    <row r="974" spans="3:4" ht="16.5" customHeight="1">
      <c r="C974" s="525"/>
      <c r="D974" s="526"/>
    </row>
    <row r="975" spans="3:4" ht="16.5" customHeight="1">
      <c r="C975" s="525"/>
      <c r="D975" s="526"/>
    </row>
    <row r="976" spans="3:4" ht="16.5" customHeight="1">
      <c r="C976" s="525"/>
      <c r="D976" s="526"/>
    </row>
    <row r="977" spans="3:4" ht="16.5" customHeight="1">
      <c r="C977" s="525"/>
      <c r="D977" s="526"/>
    </row>
    <row r="978" spans="3:4" ht="16.5" customHeight="1">
      <c r="C978" s="525"/>
      <c r="D978" s="526"/>
    </row>
    <row r="979" spans="3:4" ht="16.5" customHeight="1">
      <c r="C979" s="525"/>
      <c r="D979" s="526"/>
    </row>
    <row r="980" spans="3:4" ht="16.5" customHeight="1">
      <c r="C980" s="525"/>
      <c r="D980" s="526"/>
    </row>
    <row r="981" spans="3:4" ht="16.5" customHeight="1">
      <c r="C981" s="525"/>
      <c r="D981" s="526"/>
    </row>
    <row r="982" spans="3:4" ht="16.5" customHeight="1">
      <c r="C982" s="525"/>
      <c r="D982" s="526"/>
    </row>
    <row r="983" spans="3:4" ht="16.5" customHeight="1">
      <c r="C983" s="525"/>
      <c r="D983" s="526"/>
    </row>
    <row r="984" spans="3:4" ht="16.5" customHeight="1">
      <c r="C984" s="525"/>
      <c r="D984" s="526"/>
    </row>
    <row r="985" spans="3:4" ht="16.5" customHeight="1">
      <c r="C985" s="525"/>
      <c r="D985" s="526"/>
    </row>
    <row r="986" spans="3:4" ht="16.5" customHeight="1">
      <c r="C986" s="525"/>
      <c r="D986" s="526"/>
    </row>
    <row r="987" spans="3:4" ht="16.5" customHeight="1">
      <c r="C987" s="525"/>
      <c r="D987" s="526"/>
    </row>
    <row r="988" spans="3:4" ht="16.5" customHeight="1">
      <c r="C988" s="525"/>
      <c r="D988" s="526"/>
    </row>
    <row r="989" spans="3:4" ht="16.5" customHeight="1">
      <c r="C989" s="525"/>
      <c r="D989" s="526"/>
    </row>
    <row r="990" spans="3:4" ht="16.5" customHeight="1">
      <c r="C990" s="525"/>
      <c r="D990" s="526"/>
    </row>
    <row r="991" spans="3:4" ht="16.5" customHeight="1">
      <c r="C991" s="525"/>
      <c r="D991" s="526"/>
    </row>
    <row r="992" spans="3:4" ht="16.5" customHeight="1">
      <c r="C992" s="525"/>
      <c r="D992" s="526"/>
    </row>
    <row r="993" spans="3:4" ht="16.5" customHeight="1">
      <c r="C993" s="525"/>
      <c r="D993" s="526"/>
    </row>
    <row r="994" spans="3:4" ht="16.5" customHeight="1">
      <c r="C994" s="525"/>
      <c r="D994" s="526"/>
    </row>
    <row r="995" spans="3:4" ht="16.5" customHeight="1">
      <c r="C995" s="525"/>
      <c r="D995" s="526"/>
    </row>
    <row r="996" spans="3:4" ht="16.5" customHeight="1">
      <c r="C996" s="525"/>
      <c r="D996" s="526"/>
    </row>
    <row r="997" spans="3:4" ht="16.5" customHeight="1">
      <c r="C997" s="525"/>
      <c r="D997" s="526"/>
    </row>
    <row r="998" spans="3:4" ht="16.5" customHeight="1">
      <c r="C998" s="525"/>
      <c r="D998" s="526"/>
    </row>
    <row r="999" spans="3:4" ht="16.5" customHeight="1">
      <c r="C999" s="525"/>
      <c r="D999" s="526"/>
    </row>
    <row r="1000" spans="3:4" ht="16.5" customHeight="1">
      <c r="C1000" s="525"/>
      <c r="D1000" s="526"/>
    </row>
  </sheetData>
  <mergeCells count="14">
    <mergeCell ref="B69:B71"/>
    <mergeCell ref="B72:B74"/>
    <mergeCell ref="A2:A7"/>
    <mergeCell ref="B2:B7"/>
    <mergeCell ref="C2:C7"/>
    <mergeCell ref="B8:B15"/>
    <mergeCell ref="B16:B23"/>
    <mergeCell ref="B24:B29"/>
    <mergeCell ref="B30:B35"/>
    <mergeCell ref="B36:B41"/>
    <mergeCell ref="B42:B47"/>
    <mergeCell ref="B48:B53"/>
    <mergeCell ref="B63:B65"/>
    <mergeCell ref="B66:B68"/>
  </mergeCells>
  <phoneticPr fontId="63" type="noConversion"/>
  <conditionalFormatting sqref="C63:C65">
    <cfRule type="cellIs" dxfId="7" priority="1" operator="lessThan">
      <formula>$D$57</formula>
    </cfRule>
    <cfRule type="cellIs" dxfId="6" priority="2" operator="lessThan">
      <formula>$D$80</formula>
    </cfRule>
  </conditionalFormatting>
  <conditionalFormatting sqref="C66:C68">
    <cfRule type="cellIs" dxfId="5" priority="3" operator="lessThan">
      <formula>$D$58</formula>
    </cfRule>
    <cfRule type="cellIs" dxfId="4" priority="4" operator="lessThan">
      <formula>$D$81</formula>
    </cfRule>
  </conditionalFormatting>
  <conditionalFormatting sqref="C69:C71">
    <cfRule type="cellIs" dxfId="3" priority="5" operator="lessThan">
      <formula>$D$59</formula>
    </cfRule>
    <cfRule type="cellIs" dxfId="2" priority="6" operator="lessThan">
      <formula>$D$82</formula>
    </cfRule>
  </conditionalFormatting>
  <conditionalFormatting sqref="C72:C74">
    <cfRule type="cellIs" dxfId="1" priority="7" operator="lessThan">
      <formula>$D$60</formula>
    </cfRule>
    <cfRule type="cellIs" dxfId="0" priority="8" operator="lessThan">
      <formula>$D$83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시트29</vt:lpstr>
      <vt:lpstr>Domestic의 사본 발주예상용</vt:lpstr>
      <vt:lpstr>Medical</vt:lpstr>
      <vt:lpstr>Jikgu의 사본 발주 예상용</vt:lpstr>
      <vt:lpstr>직구재고</vt:lpstr>
      <vt:lpstr>Medical(2)</vt:lpstr>
      <vt:lpstr>Medical_rev</vt:lpstr>
      <vt:lpstr>메디컬 입고</vt:lpstr>
      <vt:lpstr>메디컬 재고</vt:lpstr>
      <vt:lpstr>메디컬 SKU</vt:lpstr>
      <vt:lpstr>금액</vt:lpstr>
      <vt:lpstr>금액(2)</vt:lpstr>
      <vt:lpstr>단가</vt:lpstr>
      <vt:lpstr>유통기한 재고소진(주간)</vt:lpstr>
      <vt:lpstr>폐기비용 예상</vt:lpstr>
      <vt:lpstr>중국 물류 변경</vt:lpstr>
      <vt:lpstr>창고 이관 일정</vt:lpstr>
      <vt:lpstr>인보이스 수정</vt:lpstr>
      <vt:lpstr>장마 대비 포장 패키징 비용</vt:lpstr>
      <vt:lpstr>창고 이전 비용</vt:lpstr>
      <vt:lpstr>전체 재고</vt:lpstr>
      <vt:lpstr>10월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EIBE</dc:creator>
  <cp:lastModifiedBy>Yeonghoon Kim</cp:lastModifiedBy>
  <dcterms:created xsi:type="dcterms:W3CDTF">2025-10-29T08:41:03Z</dcterms:created>
  <dcterms:modified xsi:type="dcterms:W3CDTF">2025-11-28T01:16:20Z</dcterms:modified>
</cp:coreProperties>
</file>
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0월\크로네\"/>
    </mc:Choice>
  </mc:AlternateContent>
  <xr:revisionPtr revIDLastSave="0" documentId="13_ncr:1_{67ECA5AE-50D7-4E9B-9031-5DC0D2974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"WFRPARNLB062\\EXACTPROD;001;soekhlar;1"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<sst xmlns="http://schemas.openxmlformats.org/spreadsheetml/2006/main" count="287" uniqueCount="256">
  <si>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</si>
  <si>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</si>
  <si>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</si>
  <si>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</si>
  <si>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</si>
  <si>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</si>
  <si>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</si>
  <si>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</si>
  <si>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</si>
  <si>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</si>
  <si>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</si>
  <si>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</si>
  <si>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</si>
  <si>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</si>
  <si>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</si>
  <si>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</si>
  <si>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</si>
  <si>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</si>
  <si>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</si>
  <si>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</si>
  <si>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</si>
  <si>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</si>
  <si>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</si>
  <si>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</si>
  <si>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</si>
  <si>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</si>
  <si>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</si>
  <si>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</si>
  <si>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</si>
  <si>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</si>
  <si>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</si>
  <si>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</si>
  <si>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</si>
  <si>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</si>
  <si>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</si>
  <si>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</si>
  <si>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</si>
  <si>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</si>
  <si>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</si>
  <si>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</si>
  <si>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</si>
  <si>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</si>
  <si>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</si>
  <si>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</si>
  <si>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</si>
  <si>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</si>
  <si>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</si>
  <si>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</si>
  <si>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</si>
  <si>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</si>
  <si>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</si>
  <si>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</si>
  <si>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</si>
  <si>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</si>
  <si>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</si>
  <si>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</si>
  <si>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</si>
  <si>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</si>
  <si>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</si>
  <si>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</si>
  <si>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</si>
  <si>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</si>
  <si>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</si>
  <si>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</si>
  <si>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</si>
  <si>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</si>
  <si>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</si>
  <si>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</si>
  <si>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</si>
  <si>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</si>
  <si>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</si>
  <si>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</si>
  <si>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</si>
  <si>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</si>
  <si>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</si>
  <si>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</si>
  <si>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</si>
  <si>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</si>
  <si>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</si>
  <si>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</si>
  <si>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</si>
  <si>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</si>
  <si>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</si>
  <si>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</si>
  <si>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</si>
  <si>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</si>
  <si>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</si>
  <si>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</si>
  <si>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</si>
  <si>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</si>
  <si>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</si>
  <si>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</si>
  <si>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</si>
  <si>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</si>
  <si>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</si>
  <si>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</si>
  <si>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</si>
  <si>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</si>
  <si>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</si>
  <si>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</si>
  <si>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</si>
  <si>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</si>
  <si>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</si>
  <si>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</si>
  <si>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</si>
  <si>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</si>
  <si>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</si>
  <si>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</si>
  <si>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</si>
  <si>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</si>
  <si>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</si>
  <si>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</si>
  <si>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</si>
  <si>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</si>
  <si>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</si>
  <si>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</si>
  <si>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</si>
  <si>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</si>
  <si>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</si>
  <si>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</si>
  <si>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</si>
  <si>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</si>
  <si>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</si>
  <si>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</si>
  <si>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</si>
  <si>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</si>
  <si>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</si>
  <si>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</si>
  <si>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</si>
  <si>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</si>
  <si>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</si>
  <si>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</si>
  <si>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</si>
  <si>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</si>
  <si>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</si>
  <si>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</si>
  <si>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</si>
  <si>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</si>
  <si>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</si>
  <si>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</si>
  <si>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</si>
  <si>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</si>
  <si>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</si>
  <si>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</si>
  <si>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</si>
  <si>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</si>
  <si>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</si>
  <si>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</si>
  <si>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</si>
  <si>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</si>
  <si>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</si>
  <si>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</si>
  <si>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</si>
  <si>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</si>
  <si>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</si>
  <si>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</si>
  <si>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</si>
  <si>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</si>
  <si>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</si>
  <si>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</si>
  <si>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</si>
  <si>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</si>
  <si>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</si>
  <si>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</si>
  <si>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</si>
  <si>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</si>
  <si>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</si>
  <si>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</si>
  <si>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</si>
  <si>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</si>
  <si>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</si>
  <si>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</si>
  <si>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</si>
  <si>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</si>
  <si>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</si>
  <si>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</si>
  <si>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</si>
  <si>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</si>
  <si>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</si>
  <si>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</si>
  <si>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</si>
  <si>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</si>
  <si>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</si>
  <si>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</si>
  <si>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</si>
  <si>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</si>
  <si>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</si>
  <si>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</si>
  <si>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</si>
  <si>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</si>
  <si>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</si>
  <si>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</si>
  <si>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</si>
  <si>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</si>
  <si>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</si>
  <si>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</si>
  <si>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</si>
  <si>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</si>
  <si>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</si>
  <si>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</si>
  <si>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</si>
  <si>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</si>
  <si>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</si>
  <si>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</si>
  <si>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</si>
  <si>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</si>
  <si>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</si>
  <si>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</si>
  <si>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</si>
  <si>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</si>
  <si>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</si>
  <si>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</si>
  <si>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</si>
  <si>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</si>
  <si>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</si>
  <si>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</si>
  <si>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</si>
  <si>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</si>
  <si>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</si>
  <si>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</si>
  <si>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</si>
  <si>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</si>
  <si>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</si>
  <si>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</si>
  <si>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</si>
  <si>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</si>
  <si>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</si>
  <si>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</si>
  <si>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</si>
  <si>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</si>
  <si>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</si>
  <si>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</si>
  <si>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</si>
  <si>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</si>
  <si>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</si>
  <si>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</si>
  <si>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</si>
  <si>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</si>
  <si>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</si>
  <si>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</si>
  <si>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</si>
  <si>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</si>
  <si>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</si>
  <si>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</si>
  <si>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</si>
  <si>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</si>
  <si>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</si>
  <si>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</si>
  <si>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</si>
  <si>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</si>
  <si>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</si>
  <si>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</si>
  <si>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</si>
  <si>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January</t>
  </si>
  <si>
    <t>W/F/01/2026</t>
  </si>
  <si>
    <t xml:space="preserve">Already confirmed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</si>
</sst>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i/>
      <sz val="10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zoomScale="85" zoomScaleNormal="85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5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30</v>
      </c>
    </row>
    <row r="6" spans="1:3">
      <c r="A6" s="2" t="s">
        <v>241</v>
      </c>
      <c r="B6" s="53">
        <v>1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7.2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>
        <v>95</v>
      </c>
      <c r="I19" s="25">
        <f>H19*G19</f>
        <v>9120</v>
      </c>
      <c r="J19" s="64">
        <f t="shared" ref="J19:J25" si="0">IF(G19="","",K19/G19)</f>
        <v>75</v>
      </c>
      <c r="K19" s="48">
        <v>7200</v>
      </c>
      <c r="L19" s="11"/>
      <c r="M19" s="1">
        <f t="shared" ref="M19:M21" si="1">K19*24</f>
        <v>172800</v>
      </c>
      <c r="P19" s="78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7.2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40</v>
      </c>
      <c r="I20" s="25">
        <f t="shared" ref="I20:I25" si="2">H20*G20</f>
        <v>3840</v>
      </c>
      <c r="J20" s="64">
        <f t="shared" si="0"/>
        <v>22</v>
      </c>
      <c r="K20" s="48">
        <v>2112</v>
      </c>
      <c r="L20" s="13"/>
      <c r="M20" s="1">
        <f t="shared" si="1"/>
        <v>50688</v>
      </c>
      <c r="P20" s="79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7.2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16</v>
      </c>
      <c r="I21" s="25">
        <f t="shared" si="2"/>
        <v>1536</v>
      </c>
      <c r="J21" s="64">
        <f t="shared" si="0"/>
        <v>37</v>
      </c>
      <c r="K21" s="48">
        <v>3552</v>
      </c>
      <c r="M21" s="1">
        <f t="shared" si="1"/>
        <v>85248</v>
      </c>
      <c r="P21" s="79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7.2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/>
      <c r="I22" s="25">
        <f t="shared" si="2"/>
        <v>0</v>
      </c>
      <c r="J22" s="64">
        <f t="shared" si="0"/>
        <v>2</v>
      </c>
      <c r="K22" s="48">
        <v>90</v>
      </c>
      <c r="M22" s="1">
        <f t="shared" ref="M22:M24" si="3">K22*7</f>
        <v>630</v>
      </c>
      <c r="P22" s="79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7.2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>
        <v>17</v>
      </c>
      <c r="I23" s="25">
        <f t="shared" si="2"/>
        <v>765</v>
      </c>
      <c r="J23" s="64">
        <f t="shared" si="0"/>
        <v>14</v>
      </c>
      <c r="K23" s="48">
        <v>630</v>
      </c>
      <c r="M23" s="1">
        <f t="shared" si="3"/>
        <v>4410</v>
      </c>
      <c r="P23" s="80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7.2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>
        <v>3</v>
      </c>
      <c r="I24" s="25">
        <f t="shared" si="2"/>
        <v>135</v>
      </c>
      <c r="J24" s="64">
        <f t="shared" si="0"/>
        <v>15</v>
      </c>
      <c r="K24" s="48">
        <v>675</v>
      </c>
      <c r="L24"/>
      <c r="M24" s="1">
        <f t="shared" si="3"/>
        <v>4725</v>
      </c>
      <c r="P24" s="78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7.2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>
        <v>6</v>
      </c>
      <c r="I25" s="25">
        <f t="shared" si="2"/>
        <v>270</v>
      </c>
      <c r="J25" s="64">
        <f t="shared" si="0"/>
        <v>13</v>
      </c>
      <c r="K25" s="48">
        <v>585</v>
      </c>
      <c r="L25"/>
      <c r="P25" s="79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7.2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54">
        <v>12</v>
      </c>
      <c r="I26" s="54">
        <f t="shared" ref="I26:I33" si="4">H26*G26</f>
        <v>1152</v>
      </c>
      <c r="J26" s="64">
        <f t="shared" ref="J26:J37" si="5">IF(G26="","",K26/G26)</f>
        <v>12</v>
      </c>
      <c r="K26" s="48">
        <v>1152</v>
      </c>
      <c r="L26"/>
      <c r="P26" s="79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7.2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54">
        <v>5</v>
      </c>
      <c r="I27" s="54">
        <f t="shared" si="4"/>
        <v>480</v>
      </c>
      <c r="J27" s="64">
        <f t="shared" si="5"/>
        <v>4</v>
      </c>
      <c r="K27" s="48">
        <v>384</v>
      </c>
      <c r="L27"/>
      <c r="P27" s="80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7.2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>
        <v>6</v>
      </c>
      <c r="I31" s="54">
        <f t="shared" si="4"/>
        <v>768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>
        <v>25</v>
      </c>
      <c r="I32" s="54">
        <f t="shared" si="4"/>
        <v>2250</v>
      </c>
      <c r="J32" s="64">
        <f t="shared" si="5"/>
        <v>20</v>
      </c>
      <c r="K32" s="48">
        <v>1800</v>
      </c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>
        <v>28</v>
      </c>
      <c r="I33" s="54">
        <f t="shared" si="4"/>
        <v>2520</v>
      </c>
      <c r="J33" s="64">
        <f t="shared" si="5"/>
        <v>24</v>
      </c>
      <c r="K33" s="48">
        <v>2160</v>
      </c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54"/>
      <c r="I34" s="54">
        <f t="shared" ref="I34:I37" si="6">H34*G34</f>
        <v>0</v>
      </c>
      <c r="J34" s="64">
        <f t="shared" si="5"/>
        <v>2</v>
      </c>
      <c r="K34" s="48">
        <v>286</v>
      </c>
      <c r="L34"/>
      <c r="N34" s="75" t="s">
        <v>248</v>
      </c>
      <c r="O34" s="77" t="s">
        <v>255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54"/>
      <c r="I35" s="54">
        <f t="shared" si="6"/>
        <v>0</v>
      </c>
      <c r="J35" s="64">
        <f t="shared" si="5"/>
        <v>2</v>
      </c>
      <c r="K35" s="48">
        <v>286</v>
      </c>
      <c r="L35"/>
      <c r="N35" s="75" t="s">
        <v>248</v>
      </c>
      <c r="O35" s="77" t="s">
        <v>255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54"/>
      <c r="I36" s="54">
        <f t="shared" si="6"/>
        <v>0</v>
      </c>
      <c r="J36" s="64">
        <f t="shared" si="5"/>
        <v>0</v>
      </c>
      <c r="K36" s="48"/>
      <c r="L36"/>
      <c r="N36" s="75" t="s">
        <v>248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54"/>
      <c r="I37" s="54">
        <f t="shared" si="6"/>
        <v>0</v>
      </c>
      <c r="J37" s="64">
        <f t="shared" si="5"/>
        <v>0</v>
      </c>
      <c r="K37" s="48"/>
      <c r="L37"/>
      <c r="N37" s="75" t="s">
        <v>248</v>
      </c>
      <c r="O37" s="55"/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P19:P23"/>
    <mergeCell ref="P24:P27"/>
  </mergeCells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2025-10-29T09:05:50Z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
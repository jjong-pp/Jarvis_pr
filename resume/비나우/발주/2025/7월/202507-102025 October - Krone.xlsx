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75534485-388C-4ED7-B970-17D613002D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<sst xmlns="http://schemas.openxmlformats.org/spreadsheetml/2006/main" count="273" uniqueCount="250">
  <si>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</si>
  <si>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</si>
  <si>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</si>
  <si>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</si>
  <si>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</si>
  <si>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</si>
  <si>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</si>
  <si>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</si>
  <si>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</si>
  <si>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</si>
  <si>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</si>
  <si>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</si>
  <si>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</si>
  <si>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</si>
  <si>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</si>
  <si>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</si>
  <si>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</si>
  <si>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</si>
  <si>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</si>
  <si>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</si>
  <si>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</si>
  <si>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</si>
  <si>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</si>
  <si>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</si>
  <si>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</si>
  <si>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</si>
  <si>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</si>
  <si>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</si>
  <si>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</si>
  <si>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</si>
  <si>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</si>
  <si>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</si>
  <si>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</si>
  <si>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</si>
  <si>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</si>
  <si>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</si>
  <si>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</si>
  <si>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</si>
  <si>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</si>
  <si>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</si>
  <si>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</si>
  <si>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</si>
  <si>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</si>
  <si>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</si>
  <si>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</si>
  <si>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</si>
  <si>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</si>
  <si>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</si>
  <si>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</si>
  <si>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</si>
  <si>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</si>
  <si>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</si>
  <si>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</si>
  <si>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</si>
  <si>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</si>
  <si>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</si>
  <si>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</si>
  <si>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</si>
  <si>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</si>
  <si>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</si>
  <si>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</si>
  <si>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</si>
  <si>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</si>
  <si>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</si>
  <si>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</si>
  <si>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</si>
  <si>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</si>
  <si>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</si>
  <si>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</si>
  <si>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</si>
  <si>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</si>
  <si>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</si>
  <si>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</si>
  <si>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</si>
  <si>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</si>
  <si>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</si>
  <si>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</si>
  <si>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</si>
  <si>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</si>
  <si>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</si>
  <si>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</si>
  <si>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</si>
  <si>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</si>
  <si>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</si>
  <si>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</si>
  <si>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</si>
  <si>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</si>
  <si>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</si>
  <si>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</si>
  <si>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</si>
  <si>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</si>
  <si>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</si>
  <si>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</si>
  <si>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</si>
  <si>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</si>
  <si>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</si>
  <si>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</si>
  <si>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</si>
  <si>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</si>
  <si>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</si>
  <si>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</si>
  <si>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</si>
  <si>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</si>
  <si>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</si>
  <si>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</si>
  <si>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</si>
  <si>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</si>
  <si>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</si>
  <si>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</si>
  <si>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</si>
  <si>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</si>
  <si>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</si>
  <si>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</si>
  <si>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</si>
  <si>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</si>
  <si>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</si>
  <si>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</si>
  <si>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</si>
  <si>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</si>
  <si>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</si>
  <si>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</si>
  <si>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</si>
  <si>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</si>
  <si>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</si>
  <si>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</si>
  <si>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</si>
  <si>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</si>
  <si>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</si>
  <si>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</si>
  <si>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</si>
  <si>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</si>
  <si>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</si>
  <si>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</si>
  <si>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</si>
  <si>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</si>
  <si>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</si>
  <si>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</si>
  <si>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</si>
  <si>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</si>
  <si>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</si>
  <si>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</si>
  <si>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</si>
  <si>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</si>
  <si>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</si>
  <si>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</si>
  <si>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</si>
  <si>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</si>
  <si>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</si>
  <si>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</si>
  <si>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</si>
  <si>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</si>
  <si>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</si>
  <si>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</si>
  <si>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</si>
  <si>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</si>
  <si>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</si>
  <si>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</si>
  <si>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</si>
  <si>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</si>
  <si>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</si>
  <si>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</si>
  <si>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</si>
  <si>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</si>
  <si>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</si>
  <si>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</si>
  <si>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</si>
  <si>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</si>
  <si>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</si>
  <si>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</si>
  <si>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</si>
  <si>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</si>
  <si>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</si>
  <si>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</si>
  <si>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</si>
  <si>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</si>
  <si>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</si>
  <si>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</si>
  <si>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</si>
  <si>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</si>
  <si>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</si>
  <si>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</si>
  <si>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</si>
  <si>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</si>
  <si>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</si>
  <si>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</si>
  <si>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</si>
  <si>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</si>
  <si>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</si>
  <si>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</si>
  <si>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</si>
  <si>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</si>
  <si>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</si>
  <si>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</si>
  <si>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</si>
  <si>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</si>
  <si>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</si>
  <si>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</si>
  <si>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</si>
  <si>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</si>
  <si>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</si>
  <si>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</si>
  <si>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</si>
  <si>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</si>
  <si>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</si>
  <si>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</si>
  <si>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</si>
  <si>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</si>
  <si>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</si>
  <si>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</si>
  <si>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</si>
  <si>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</si>
  <si>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</si>
  <si>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</si>
  <si>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</si>
  <si>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</si>
  <si>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</si>
  <si>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</si>
  <si>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</si>
  <si>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</si>
  <si>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</si>
  <si>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</si>
  <si>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</si>
  <si>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</si>
  <si>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</si>
  <si>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</si>
  <si>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</si>
  <si>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</si>
  <si>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</si>
  <si>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</si>
  <si>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</si>
  <si>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</si>
  <si>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</si>
  <si>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</si>
  <si>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</si>
  <si>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</si>
  <si>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</si>
  <si>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</si>
  <si>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</si>
  <si>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</si>
  <si>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</si>
  <si>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</si>
  <si>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</si>
  <si>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</si>
  <si>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</si>
  <si>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</si>
  <si>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</si>
  <si>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</si>
  <si>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</si>
  <si>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October</t>
  </si>
  <si>
    <t>W/F/10/2025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</si>
</sst>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0" fillId="2" borderId="0" xfId="0" applyNumberFormat="1" applyFill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10" zoomScale="90" zoomScaleNormal="90" workbookViewId="0">
      <selection activeCell="N14" sqref="N14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31</v>
      </c>
    </row>
    <row r="6" spans="1:3">
      <c r="A6" s="2" t="s">
        <v>241</v>
      </c>
      <c r="B6" s="53">
        <v>10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5" t="s">
        <v>247</v>
      </c>
      <c r="O18" s="62" t="s">
        <v>195</v>
      </c>
      <c r="P18" s="63" t="s">
        <v>196</v>
      </c>
      <c r="Q18" s="63" t="s">
        <v>197</v>
      </c>
      <c r="R18" s="63" t="s">
        <v>198</v>
      </c>
      <c r="S18" s="63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30</v>
      </c>
      <c r="I19" s="25">
        <f>H19*G19</f>
        <v>2880</v>
      </c>
      <c r="J19" s="74">
        <f t="shared" ref="J19:J25" si="0">IF(G19="","",K19/G19)</f>
        <v>25</v>
      </c>
      <c r="K19" s="48">
        <v>2400</v>
      </c>
      <c r="L19" s="11"/>
      <c r="M19" s="1">
        <f t="shared" ref="M19:M21" si="1">K19*24</f>
        <v>57600</v>
      </c>
      <c r="N19" s="86"/>
      <c r="O19" s="78" t="s">
        <v>200</v>
      </c>
      <c r="P19" s="64" t="s">
        <v>201</v>
      </c>
      <c r="Q19" s="65" t="s">
        <v>202</v>
      </c>
      <c r="R19" s="65" t="s">
        <v>203</v>
      </c>
      <c r="S19" s="73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122</v>
      </c>
      <c r="I20" s="25">
        <f t="shared" ref="I20:I25" si="2">H20*G20</f>
        <v>11712</v>
      </c>
      <c r="J20" s="74">
        <f t="shared" si="0"/>
        <v>125</v>
      </c>
      <c r="K20" s="48">
        <v>12000</v>
      </c>
      <c r="L20" s="13"/>
      <c r="M20" s="1">
        <f t="shared" si="1"/>
        <v>288000</v>
      </c>
      <c r="N20" s="86"/>
      <c r="O20" s="79"/>
      <c r="P20" s="64" t="s">
        <v>205</v>
      </c>
      <c r="Q20" s="65" t="s">
        <v>206</v>
      </c>
      <c r="R20" s="65" t="s">
        <v>207</v>
      </c>
      <c r="S20" s="73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38</v>
      </c>
      <c r="I21" s="25">
        <f t="shared" si="2"/>
        <v>3648</v>
      </c>
      <c r="J21" s="74">
        <f t="shared" si="0"/>
        <v>100</v>
      </c>
      <c r="K21" s="48">
        <v>9600</v>
      </c>
      <c r="M21" s="1">
        <f t="shared" si="1"/>
        <v>230400</v>
      </c>
      <c r="N21" s="86"/>
      <c r="O21" s="79"/>
      <c r="P21" s="64" t="s">
        <v>209</v>
      </c>
      <c r="Q21" s="65" t="s">
        <v>210</v>
      </c>
      <c r="R21" s="65" t="s">
        <v>211</v>
      </c>
      <c r="S21" s="73" t="s">
        <v>212</v>
      </c>
    </row>
    <row r="22" spans="1:19" ht="17.25" thickBot="1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4">
        <f t="shared" si="0"/>
        <v>4</v>
      </c>
      <c r="K22" s="48">
        <v>180</v>
      </c>
      <c r="M22" s="1">
        <f t="shared" ref="M22:M24" si="3">K22*7</f>
        <v>1260</v>
      </c>
      <c r="N22" s="86"/>
      <c r="O22" s="79"/>
      <c r="P22" s="64" t="s">
        <v>213</v>
      </c>
      <c r="Q22" s="65" t="s">
        <v>214</v>
      </c>
      <c r="R22" s="65" t="s">
        <v>215</v>
      </c>
      <c r="S22" s="73" t="s">
        <v>216</v>
      </c>
    </row>
    <row r="23" spans="1:19" ht="17.25" thickBot="1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/>
      <c r="I23" s="25">
        <f t="shared" si="2"/>
        <v>0</v>
      </c>
      <c r="J23" s="74">
        <f t="shared" si="0"/>
        <v>11</v>
      </c>
      <c r="K23" s="48">
        <v>495</v>
      </c>
      <c r="M23" s="1">
        <f t="shared" si="3"/>
        <v>3465</v>
      </c>
      <c r="N23" s="86"/>
      <c r="O23" s="80"/>
      <c r="P23" s="64" t="s">
        <v>217</v>
      </c>
      <c r="Q23" s="65" t="s">
        <v>218</v>
      </c>
      <c r="R23" s="65" t="s">
        <v>219</v>
      </c>
      <c r="S23" s="73" t="s">
        <v>220</v>
      </c>
    </row>
    <row r="24" spans="1:19" ht="17.25" thickBot="1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4">
        <f t="shared" si="0"/>
        <v>6</v>
      </c>
      <c r="K24" s="48">
        <v>270</v>
      </c>
      <c r="L24"/>
      <c r="M24" s="1">
        <f t="shared" si="3"/>
        <v>1890</v>
      </c>
      <c r="N24" s="86"/>
      <c r="O24" s="78" t="s">
        <v>221</v>
      </c>
      <c r="P24" s="66" t="s">
        <v>222</v>
      </c>
      <c r="Q24" s="65" t="s">
        <v>234</v>
      </c>
      <c r="R24" s="65" t="s">
        <v>235</v>
      </c>
      <c r="S24" s="65" t="s">
        <v>220</v>
      </c>
    </row>
    <row r="25" spans="1:19" ht="17.25" thickBot="1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/>
      <c r="I25" s="25">
        <f t="shared" si="2"/>
        <v>0</v>
      </c>
      <c r="J25" s="74">
        <f t="shared" si="0"/>
        <v>0</v>
      </c>
      <c r="K25" s="48">
        <v>0</v>
      </c>
      <c r="L25"/>
      <c r="O25" s="79"/>
      <c r="P25" s="66" t="s">
        <v>223</v>
      </c>
      <c r="Q25" s="65" t="s">
        <v>234</v>
      </c>
      <c r="R25" s="65" t="s">
        <v>235</v>
      </c>
      <c r="S25" s="65" t="s">
        <v>220</v>
      </c>
    </row>
    <row r="26" spans="1:19" ht="17.25" thickBot="1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8</v>
      </c>
      <c r="I26" s="54">
        <f t="shared" ref="I26:I33" si="4">H26*G26</f>
        <v>768</v>
      </c>
      <c r="J26" s="74">
        <f t="shared" ref="J26:J33" si="5">IF(G26="","",K26/G26)</f>
        <v>23</v>
      </c>
      <c r="K26" s="48">
        <v>2208</v>
      </c>
      <c r="L26"/>
      <c r="N26" s="86"/>
      <c r="O26" s="79"/>
      <c r="P26" s="66" t="s">
        <v>224</v>
      </c>
      <c r="Q26" s="65" t="s">
        <v>225</v>
      </c>
      <c r="R26" s="65" t="s">
        <v>226</v>
      </c>
      <c r="S26" s="65" t="s">
        <v>227</v>
      </c>
    </row>
    <row r="27" spans="1:19" ht="17.25" thickBot="1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>
        <v>0</v>
      </c>
      <c r="L27"/>
      <c r="O27" s="80"/>
      <c r="P27" s="66" t="s">
        <v>217</v>
      </c>
      <c r="Q27" s="65" t="s">
        <v>228</v>
      </c>
      <c r="R27" s="65" t="s">
        <v>229</v>
      </c>
      <c r="S27" s="65" t="s">
        <v>230</v>
      </c>
    </row>
    <row r="28" spans="1:19" ht="17.25" thickBot="1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/>
      <c r="I28" s="54">
        <f t="shared" si="4"/>
        <v>0</v>
      </c>
      <c r="J28" s="74">
        <f t="shared" si="5"/>
        <v>0</v>
      </c>
      <c r="K28" s="48">
        <v>0</v>
      </c>
      <c r="L28"/>
      <c r="O28" s="61"/>
      <c r="P28" s="61"/>
      <c r="Q28" s="67" t="s">
        <v>231</v>
      </c>
      <c r="R28" s="65" t="s">
        <v>232</v>
      </c>
      <c r="S28" s="65" t="s">
        <v>233</v>
      </c>
    </row>
    <row r="29" spans="1:19">
      <c r="A29" s="68">
        <v>653299</v>
      </c>
      <c r="B29" s="68" t="s">
        <v>239</v>
      </c>
      <c r="C29" s="69">
        <v>400</v>
      </c>
      <c r="D29" s="69" t="s">
        <v>168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>
        <v>0.5</v>
      </c>
      <c r="I29" s="54">
        <f t="shared" si="4"/>
        <v>21</v>
      </c>
      <c r="J29" s="74">
        <f t="shared" si="5"/>
        <v>1</v>
      </c>
      <c r="K29" s="48">
        <v>42</v>
      </c>
      <c r="L29"/>
      <c r="N29" s="86"/>
      <c r="O29" s="61"/>
      <c r="P29" s="61"/>
      <c r="Q29" s="61"/>
      <c r="R29" s="61"/>
      <c r="S29" s="61"/>
    </row>
    <row r="30" spans="1:19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/>
      <c r="L30"/>
      <c r="N30" s="75">
        <v>3333</v>
      </c>
      <c r="O30" s="61"/>
      <c r="P30" s="61"/>
      <c r="Q30" s="61"/>
      <c r="R30" s="61"/>
      <c r="S30" s="61"/>
    </row>
    <row r="31" spans="1:19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/>
      <c r="L31"/>
      <c r="N31" s="75">
        <v>3333</v>
      </c>
      <c r="O31" s="61"/>
      <c r="P31" s="61"/>
      <c r="Q31" s="61"/>
      <c r="R31" s="61"/>
      <c r="S31" s="61"/>
    </row>
    <row r="32" spans="1:19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/>
      <c r="I32" s="54">
        <f t="shared" si="4"/>
        <v>0</v>
      </c>
      <c r="J32" s="74">
        <f t="shared" si="5"/>
        <v>26</v>
      </c>
      <c r="K32" s="48">
        <v>2340</v>
      </c>
      <c r="L32"/>
      <c r="N32" s="86"/>
      <c r="O32" s="61"/>
      <c r="P32" s="61"/>
      <c r="Q32" s="61"/>
      <c r="R32" s="61"/>
      <c r="S32" s="61"/>
    </row>
    <row r="33" spans="1:19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/>
      <c r="I33" s="54">
        <f t="shared" si="4"/>
        <v>0</v>
      </c>
      <c r="J33" s="74">
        <f t="shared" si="5"/>
        <v>19</v>
      </c>
      <c r="K33" s="48">
        <v>1710</v>
      </c>
      <c r="L33"/>
      <c r="N33" s="86"/>
      <c r="O33" s="61"/>
      <c r="P33" s="61"/>
      <c r="Q33" s="61"/>
      <c r="R33" s="61"/>
      <c r="S33" s="61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2025-07-25T09:42:52Z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
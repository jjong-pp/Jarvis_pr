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ustomProperty1.bin" ContentType="application/vnd.openxmlformats-officedocument.spreadsheetml.customProperty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Z:\Nutricia\99. Sales\공유 폴더\박효진\발주\11월\아이베\"/>
    </mc:Choice>
  </mc:AlternateContent>
  <xr:revisionPtr revIDLastSave="0" documentId="13_ncr:1_{EA9D1C82-1D1C-4FF7-8833-EB4C0EBFAD85}" xr6:coauthVersionLast="47" xr6:coauthVersionMax="47" xr10:uidLastSave="{00000000-0000-0000-0000-000000000000}"/>
  <bookViews>
    <workbookView xWindow="-120" yWindow="-120" windowWidth="29040" windowHeight="15720" activeTab="1" xr2:uid="{0CFF5A96-4798-4325-8A90-3643529FB7B2}"/>
  </bookViews>
  <sheets>
    <sheet name="All debtor Code" sheetId="1" r:id="rId1"/>
    <sheet name="Sheet2" sheetId="3" r:id="rId2"/>
    <sheet name="Sheet1" sheetId="2" r:id="rId3"/>
  </sheets>
  <externalReferences>
    <externalReference r:id="rId4"/>
  </externalReferences>
  <definedNames>
    <definedName name="_xlnm._FilterDatabase" localSheetId="2" hidden="1">Sheet1!$A$1:$S$43</definedName>
    <definedName name="EV__LASTREFTIME__" hidden="1">40212.3531712963</definedName>
    <definedName name="ExactAddinConnection" hidden="1">"001"</definedName>
    <definedName name="ExactAddinConnection.001" hidden="1">"WFRPARNLB062.nead.danet\\EXACTPROD;001;nguyennp;1"</definedName>
    <definedName name="SOIP">[1]!Table1[#Data]</definedName>
  </definedNames>
  <calcPr calcId="191029"/>
  <pivotCaches>
    <pivotCache cacheId="2" r:id="rId5"/>
    <pivotCache cacheId="14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3" i="2" l="1"/>
  <c r="M42" i="2"/>
  <c r="M41" i="2"/>
  <c r="M40" i="2"/>
  <c r="M39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4" i="2"/>
  <c r="M3" i="2"/>
  <c r="M2" i="2"/>
</calcChain>
</file>

<file path=xl/sharedStrings.xml><?xml version="1.0" encoding="utf-8"?>
<sst xmlns="http://schemas.openxmlformats.org/spreadsheetml/2006/main" count="463" uniqueCount="80">
  <si>
    <t>k.debnr</t>
  </si>
  <si>
    <t>Loading Date</t>
  </si>
  <si>
    <t>Distributor</t>
  </si>
  <si>
    <t>country</t>
  </si>
  <si>
    <t>PL</t>
  </si>
  <si>
    <t>CS</t>
  </si>
  <si>
    <t>Sales_Order</t>
  </si>
  <si>
    <t>k.docnumber</t>
  </si>
  <si>
    <t>description</t>
  </si>
  <si>
    <t>r.artcode</t>
  </si>
  <si>
    <t>product_description</t>
  </si>
  <si>
    <t>content</t>
  </si>
  <si>
    <t>ordered_tu</t>
  </si>
  <si>
    <t>Loading DATE</t>
  </si>
  <si>
    <t>Email to</t>
  </si>
  <si>
    <t>Email cc</t>
  </si>
  <si>
    <t>EIBE Co., Ltd.</t>
  </si>
  <si>
    <t>South-Korea</t>
  </si>
  <si>
    <t>Olena.DIDKIVSKA@danone.com</t>
  </si>
  <si>
    <t>ecem.esen@danone.com</t>
  </si>
  <si>
    <t>L/11/2025</t>
  </si>
  <si>
    <t>NEOCATE LCP UPGRADE3 6X400G UK IE</t>
  </si>
  <si>
    <t>mattwk03@eibe.co.kr; yh.kim@eibe.co.kr; leejh9@eibe.co.kr; jong1357@eibe.co.kr</t>
  </si>
  <si>
    <t>ecem.esen@danone.com;Nam-Ku.PARK@danone.com; Kelly.HWANG@danone.com; Olena.DIDKIVSKA@danone.com</t>
  </si>
  <si>
    <t>L/10/2025</t>
  </si>
  <si>
    <t>MSUD MAXAMUM UNFLAV 3 X 500</t>
  </si>
  <si>
    <t>ELEMENTAL 028 EXTRA BANANA 10X100G UK</t>
  </si>
  <si>
    <t>L/12/2025</t>
  </si>
  <si>
    <t>SS DUOCAL 6X400G MULTI</t>
  </si>
  <si>
    <t>GA1 A/MIX JR UNF 6 X 400G MLL</t>
  </si>
  <si>
    <t>PK AID 4 3X500G UK</t>
  </si>
  <si>
    <t>TYR ANAMIX INF+MET 3X400G MLL1 (L)</t>
  </si>
  <si>
    <t>C/11/2025</t>
  </si>
  <si>
    <t>APTAMIL PEPTI SYNEO 1, DE 12X400G</t>
  </si>
  <si>
    <t>677211G</t>
  </si>
  <si>
    <t>APTAMIL PROF 1, KOR 4X800G</t>
  </si>
  <si>
    <t>677200D</t>
  </si>
  <si>
    <t>APTAMIL PROF 2, KOR 4X800G</t>
  </si>
  <si>
    <t>W/11/2025</t>
  </si>
  <si>
    <t>676366G</t>
  </si>
  <si>
    <t>APTAMIL 1 KOR 4X800G</t>
  </si>
  <si>
    <t>677200G</t>
  </si>
  <si>
    <t>677281G</t>
  </si>
  <si>
    <t>APTAMIL PROF 3, KOR 4X800G</t>
  </si>
  <si>
    <t>3P/10/2025</t>
  </si>
  <si>
    <t>NUTRICIA LORENZO'S OIL 12X500ML GB/DE</t>
  </si>
  <si>
    <t>L/01/2026</t>
  </si>
  <si>
    <t>F/01/2026</t>
  </si>
  <si>
    <t>FORTIMEL PROTEIN ADVANCE VAN 12X280G KOR</t>
  </si>
  <si>
    <t>NKH ANAMIX INFANT 3X400G MLL1</t>
  </si>
  <si>
    <t>MSUD ANAMIX JR UNF 6 X 400G MLL</t>
  </si>
  <si>
    <t>GA1 ANAMIX INFANT 3X400G MLL2 (L)</t>
  </si>
  <si>
    <t>3P/01/2026</t>
  </si>
  <si>
    <t>LOCASOL 6X400G INT</t>
  </si>
  <si>
    <t>BASIC-F 6X300G INT</t>
  </si>
  <si>
    <t>C/01/2026</t>
  </si>
  <si>
    <t>W/01/2026</t>
  </si>
  <si>
    <t>APTAMIL 2 KOR  4X800G</t>
  </si>
  <si>
    <t>L/02/2026</t>
  </si>
  <si>
    <t>3P/02/2026</t>
  </si>
  <si>
    <t>F/02/2026</t>
  </si>
  <si>
    <t>C/02/2026</t>
  </si>
  <si>
    <t>CU</t>
    <phoneticPr fontId="1" type="noConversion"/>
  </si>
  <si>
    <t>수량</t>
    <phoneticPr fontId="1" type="noConversion"/>
  </si>
  <si>
    <t>도착 예정</t>
    <phoneticPr fontId="1" type="noConversion"/>
  </si>
  <si>
    <t>행 레이블</t>
  </si>
  <si>
    <t>총합계</t>
  </si>
  <si>
    <t>합계 : 수량</t>
  </si>
  <si>
    <t>열 레이블</t>
  </si>
  <si>
    <t>2월</t>
  </si>
  <si>
    <t>3월</t>
  </si>
  <si>
    <t>4월</t>
  </si>
  <si>
    <t>5월</t>
  </si>
  <si>
    <t>SS DUOCAL 6X400G MULTI</t>
    <phoneticPr fontId="1" type="noConversion"/>
  </si>
  <si>
    <t>2월</t>
    <phoneticPr fontId="1" type="noConversion"/>
  </si>
  <si>
    <t>1월</t>
  </si>
  <si>
    <t>1월</t>
    <phoneticPr fontId="1" type="noConversion"/>
  </si>
  <si>
    <t>3월</t>
    <phoneticPr fontId="1" type="noConversion"/>
  </si>
  <si>
    <t>4월</t>
    <phoneticPr fontId="1" type="noConversion"/>
  </si>
  <si>
    <t>5월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</si>
</sst>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[$-F800]dddd\,\ mmmm\ dd\,\ yyyy"/>
    <numFmt numFmtId="177" formatCode="_-* #,##0_-;_-* #,##0\-;_-* &quot;-&quot;??_-;_-@_-"/>
    <numFmt numFmtId="178" formatCode="0_ ;\-0\ "/>
    <numFmt numFmtId="179" formatCode="yyyy&quot;년&quot;\ m&quot;월&quot;;@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 applyAlignment="1">
      <alignment horizontal="left"/>
    </xf>
    <xf numFmtId="176" fontId="0" fillId="0" borderId="0" xfId="0" applyNumberFormat="1"/>
    <xf numFmtId="49" fontId="0" fillId="0" borderId="0" xfId="0" applyNumberFormat="1"/>
    <xf numFmtId="14" fontId="0" fillId="0" borderId="0" xfId="0" applyNumberFormat="1"/>
    <xf numFmtId="0" fontId="0" fillId="0" borderId="0" xfId="0" pivotButton="1"/>
    <xf numFmtId="179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Fill="1"/>
  </cellXfs>
  <cellStyles count="1">
    <cellStyle name="표준" xfId="0" builtinId="0"/>
  </cellStyles>
  <dxfs count="2">
    <dxf>
      <numFmt numFmtId="176" formatCode="[$-F800]dddd\,\ mmmm\ dd\,\ yyyy"/>
    </dxf>
    <dxf>
      <numFmt numFmtId="176" formatCode="[$-F800]dddd\,\ mmmm\ dd\,\ 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anone-my.sharepoint.com/personal/ankit_karwa_danone_com1/Documents/Documents/Learnings/OrderOverviewAnkit/Order%20Overview%20Files/18-11-2025.xlsm" TargetMode="External"/><Relationship Id="rId1" Type="http://schemas.openxmlformats.org/officeDocument/2006/relationships/externalLinkPath" Target="https://danone-my.sharepoint.com/personal/ankit_karwa_danone_com1/Documents/Documents/Learnings/OrderOverviewAnkit/Order%20Overview%20Files/18-11-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l debtor Code"/>
      <sheetName val="Customers"/>
      <sheetName val="SOIP"/>
      <sheetName val="18-11-2025"/>
    </sheetNames>
    <sheetDataSet>
      <sheetData sheetId="0"/>
      <sheetData sheetId="1"/>
      <sheetData sheetId="2"/>
      <sheetData sheetId="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anone-my.sharepoint.com/personal/ankit_karwa_danone_com1/Documents/Documents/Learnings/OrderOverviewAnkit/Order%20Overview%20Files/18-11-2025.xlsm" TargetMode="Externa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RWA Ankit" refreshedDate="45979.658260300923" createdVersion="8" refreshedVersion="8" minRefreshableVersion="3" recordCount="2435" xr:uid="{C6FD1BD4-C7CF-4321-A55E-4AA243EB1A71}">
  <cacheSource type="worksheet">
    <worksheetSource name="Table1" r:id="rId1"/>
  </cacheSource>
  <cacheFields count="66">
    <cacheField name="k.ord_soort" numFmtId="0">
      <sharedItems containsBlank="1"/>
    </cacheField>
    <cacheField name="ASCM" numFmtId="0">
      <sharedItems containsBlank="1"/>
    </cacheField>
    <cacheField name="k.debnr" numFmtId="0">
      <sharedItems containsString="0" containsBlank="1" containsNumber="1" containsInteger="1" minValue="404" maxValue="72854" count="56">
        <n v="52001"/>
        <n v="9405"/>
        <n v="41212"/>
        <n v="62404"/>
        <n v="51202"/>
        <n v="9301"/>
        <n v="9103"/>
        <n v="9203"/>
        <n v="52403"/>
        <n v="50002"/>
        <n v="9401"/>
        <n v="60002"/>
        <n v="8109"/>
        <n v="70807"/>
        <n v="70806"/>
        <n v="49805"/>
        <n v="51601"/>
        <n v="42801"/>
        <n v="6802"/>
        <n v="47802"/>
        <n v="47405"/>
        <n v="26803"/>
        <n v="49201"/>
        <n v="9102"/>
        <n v="72851"/>
        <n v="5101"/>
        <n v="4601"/>
        <n v="9404"/>
        <n v="3111"/>
        <n v="42804"/>
        <n v="48801"/>
        <n v="43603"/>
        <n v="52400"/>
        <n v="44202"/>
        <n v="41601"/>
        <n v="72852"/>
        <n v="45604"/>
        <n v="71601"/>
        <n v="50004"/>
        <n v="46402"/>
        <n v="45203"/>
        <n v="66901"/>
        <n v="50005"/>
        <n v="9204"/>
        <n v="404"/>
        <n v="72815"/>
        <n v="72854"/>
        <n v="9602"/>
        <n v="9402"/>
        <n v="51203"/>
        <n v="42401"/>
        <n v="7002"/>
        <n v="8201"/>
        <n v="65301"/>
        <n v="29201"/>
        <m/>
      </sharedItems>
    </cacheField>
    <cacheField name="distributor_name" numFmtId="0">
      <sharedItems containsBlank="1" count="56">
        <s v="LA QUIMICA FARMACEUTICA S.A."/>
        <s v="KIBID D.O.O. (AMN)"/>
        <s v="ESPECIFICOS STENDHAL SA DE CV"/>
        <s v="MEGAPHARM LTD"/>
        <s v="GENERAL BIOTEC SPA"/>
        <s v="EUROMAND"/>
        <s v="KEFO KEMIJA IN FARMACIJA D.O.O."/>
        <s v="G-M PHARMA ZAGREB. D. O. O."/>
        <s v="Farmared"/>
        <s v="ECUAQUIMICA"/>
        <s v="KIBID"/>
        <s v="LIFEPHARMA  ZAM LTD"/>
        <s v="FUTURE TRADING LLC"/>
        <s v="GB Distributors, Inc."/>
        <s v="Zuellig Pharma Corporation"/>
        <s v="RIHPANGALFARMA SRL"/>
        <s v="DROGUERIA INTI S.A."/>
        <s v="C.IMBERTON S.A. de C.V."/>
        <s v="AXXON BULGARIA JSC"/>
        <s v="SEKAT BV"/>
        <s v="IFC INTERNATION FREIGHT CARIBBEAN B.V."/>
        <s v="GORGIA INFO SERVICE LTD"/>
        <s v="N.V. NUTRISUR"/>
        <s v="MERIT HP d.o.o."/>
        <s v="EIBE Co., Ltd."/>
        <s v="&quot;SLAV GROUP&quot; CJSC"/>
        <s v="PEMIX &amp; CO LTD"/>
        <s v="UNION"/>
        <s v="ST Group 2024 LLC"/>
        <s v="ELITE BRANDS S.A. DE C.V."/>
        <s v="BEEPATS"/>
        <s v="NUTRICARE S.A."/>
        <s v="MURRY S.A."/>
        <s v="DROGUERIA SARO, S.A.,"/>
        <s v="AGENCIA FARMACEUTICA INTERNACIONAL SA"/>
        <s v="Krone Co., Ltd."/>
        <s v="LAB. DR. COLLADO"/>
        <s v="NANO INTERNATIONAL LLC"/>
        <s v="SSPG NUTRACÉUTICOS Y ALIMENTOS ESPECIALIZADOS PHAR"/>
        <s v="MASSY DISTRIBUTION (JAMAICA) LIMITED"/>
        <s v="MAISON APOLLON SA"/>
        <s v="DARLEY BUTLER &amp; Co Ltd"/>
        <s v="ECUAQUIMICA ECUATORIANA DE PRODUCTOS QUIMICOS CA"/>
        <s v="AWT International d.o.o."/>
        <s v="Malltail Europe GmbH"/>
        <s v="IBP CORP"/>
        <s v="COUPANG HONG KONG TRADING LIMITED"/>
        <s v="AKSON HOLDING Skopje"/>
        <s v="GLOSARIJ DOO"/>
        <s v="Scienza Chile SPA"/>
        <s v="FARMACEUTICA INTERNACIONAL SA CV"/>
        <s v="LIFE CARE NANNYS SH P.K"/>
        <s v="RUSHON LLC"/>
        <s v="HAYEL SAEED ANAM &amp; Co. C.S.C."/>
        <s v="A. SOULIE AUDIBERT"/>
        <m/>
      </sharedItems>
    </cacheField>
    <cacheField name="country" numFmtId="0">
      <sharedItems containsBlank="1" count="45">
        <s v="Paraguay"/>
        <s v="Serbia"/>
        <s v="Mexico"/>
        <s v="Israel"/>
        <s v="Chile"/>
        <s v="Bosnia and Herzegovina"/>
        <s v="Slovenia"/>
        <s v="Croatia"/>
        <s v="Uruguay"/>
        <s v="Ecuador"/>
        <s v="Cyprus"/>
        <s v="Uzbekistan"/>
        <s v="Philippines"/>
        <s v="Moldova"/>
        <s v="Bolivia"/>
        <s v="El Salvador"/>
        <s v="Bulgaria"/>
        <s v="Curaçao"/>
        <s v="Netherlands"/>
        <s v="Georgia"/>
        <s v="Suriname"/>
        <s v="South-Korea"/>
        <s v="Armenia"/>
        <s v="Malta"/>
        <s v="Kosovo"/>
        <s v="Azerbaijan"/>
        <s v="Guyana"/>
        <s v="Costa Rica"/>
        <s v="Panama"/>
        <s v="Guatemala"/>
        <s v="Dominican Republic"/>
        <s v="Mongolia"/>
        <s v="Jamaica"/>
        <s v="Haiti"/>
        <s v="Sri Lanka"/>
        <s v="Germany"/>
        <s v="Hong Kong"/>
        <s v="Republic of North Macedonia"/>
        <s v="Montenegro"/>
        <s v="Honduras"/>
        <s v="Albania"/>
        <s v="Tajikistan"/>
        <s v="Yemen"/>
        <s v="Gibraltar"/>
        <m/>
      </sharedItems>
    </cacheField>
    <cacheField name="sales_manager" numFmtId="0">
      <sharedItems containsBlank="1"/>
    </cacheField>
    <cacheField name="SP" numFmtId="0">
      <sharedItems containsBlank="1"/>
    </cacheField>
    <cacheField name="note" numFmtId="0">
      <sharedItems containsNonDate="0" containsString="0" containsBlank="1"/>
    </cacheField>
    <cacheField name="k.orddat" numFmtId="14">
      <sharedItems containsNonDate="0" containsDate="1" containsString="0" containsBlank="1" minDate="2025-01-28T00:00:00" maxDate="2025-12-02T00:00:00"/>
    </cacheField>
    <cacheField name="k.afldat" numFmtId="14">
      <sharedItems containsNonDate="0" containsDate="1" containsString="0" containsBlank="1" minDate="2025-03-18T00:00:00" maxDate="2026-03-28T00:00:00"/>
    </cacheField>
    <cacheField name="k.afl_week" numFmtId="1">
      <sharedItems containsString="0" containsBlank="1" containsNumber="1" containsInteger="1" minValue="3" maxValue="52"/>
    </cacheField>
    <cacheField name="Sales_Order" numFmtId="0">
      <sharedItems containsString="0" containsBlank="1" containsNumber="1" containsInteger="1" minValue="110671" maxValue="112468" count="579">
        <n v="110671"/>
        <n v="111011"/>
        <n v="111163"/>
        <n v="111212"/>
        <n v="111245"/>
        <n v="111330"/>
        <n v="111343"/>
        <n v="111373"/>
        <n v="111378"/>
        <n v="111381"/>
        <n v="111391"/>
        <n v="111392"/>
        <n v="111394"/>
        <n v="111395"/>
        <n v="111404"/>
        <n v="111407"/>
        <n v="111408"/>
        <n v="111409"/>
        <n v="111419"/>
        <n v="111437"/>
        <n v="111445"/>
        <n v="111514"/>
        <n v="111516"/>
        <n v="111518"/>
        <n v="111519"/>
        <n v="111522"/>
        <n v="111530"/>
        <n v="111552"/>
        <n v="111553"/>
        <n v="111560"/>
        <n v="111563"/>
        <n v="111565"/>
        <n v="111566"/>
        <n v="111585"/>
        <n v="111588"/>
        <n v="111589"/>
        <n v="111592"/>
        <n v="111594"/>
        <n v="111602"/>
        <n v="111603"/>
        <n v="111605"/>
        <n v="111607"/>
        <n v="111609"/>
        <n v="111612"/>
        <n v="111613"/>
        <n v="111614"/>
        <n v="111622"/>
        <n v="111628"/>
        <n v="111630"/>
        <n v="111631"/>
        <n v="111632"/>
        <n v="111659"/>
        <n v="111663"/>
        <n v="111665"/>
        <n v="111669"/>
        <n v="111675"/>
        <n v="111678"/>
        <n v="111684"/>
        <n v="111690"/>
        <n v="111701"/>
        <n v="111702"/>
        <n v="111703"/>
        <n v="111705"/>
        <n v="111709"/>
        <n v="111715"/>
        <n v="111717"/>
        <n v="111720"/>
        <n v="111723"/>
        <n v="111726"/>
        <n v="111729"/>
        <n v="111730"/>
        <n v="111731"/>
        <n v="111733"/>
        <n v="111734"/>
        <n v="111735"/>
        <n v="111736"/>
        <n v="111737"/>
        <n v="111738"/>
        <n v="111739"/>
        <n v="111741"/>
        <n v="111742"/>
        <n v="111747"/>
        <n v="111754"/>
        <n v="111756"/>
        <n v="111758"/>
        <n v="111759"/>
        <n v="111763"/>
        <n v="111764"/>
        <n v="111766"/>
        <n v="111767"/>
        <n v="111769"/>
        <n v="111777"/>
        <n v="111778"/>
        <n v="111779"/>
        <n v="111781"/>
        <n v="111787"/>
        <n v="111790"/>
        <n v="111793"/>
        <n v="111794"/>
        <n v="111795"/>
        <n v="111796"/>
        <n v="111800"/>
        <n v="111801"/>
        <n v="111804"/>
        <n v="111805"/>
        <n v="111806"/>
        <n v="111807"/>
        <n v="111808"/>
        <n v="111809"/>
        <n v="111810"/>
        <n v="111811"/>
        <n v="111812"/>
        <n v="111813"/>
        <n v="111817"/>
        <n v="111818"/>
        <n v="111819"/>
        <n v="111821"/>
        <n v="111822"/>
        <n v="111823"/>
        <n v="111829"/>
        <n v="111830"/>
        <n v="111833"/>
        <n v="111834"/>
        <n v="111837"/>
        <n v="111852"/>
        <n v="111853"/>
        <n v="111854"/>
        <n v="111857"/>
        <n v="111859"/>
        <n v="111861"/>
        <n v="111862"/>
        <n v="111863"/>
        <n v="111865"/>
        <n v="111866"/>
        <n v="111868"/>
        <n v="111869"/>
        <n v="111870"/>
        <n v="111871"/>
        <n v="111872"/>
        <n v="111873"/>
        <n v="111874"/>
        <n v="111876"/>
        <n v="111878"/>
        <n v="111879"/>
        <n v="111880"/>
        <n v="111882"/>
        <n v="111887"/>
        <n v="111888"/>
        <n v="111889"/>
        <n v="111891"/>
        <n v="111892"/>
        <n v="111893"/>
        <n v="111895"/>
        <n v="111896"/>
        <n v="111897"/>
        <n v="111898"/>
        <n v="111901"/>
        <n v="111903"/>
        <n v="111904"/>
        <n v="111905"/>
        <n v="111906"/>
        <n v="111907"/>
        <n v="111908"/>
        <n v="111909"/>
        <n v="111912"/>
        <n v="111913"/>
        <n v="111915"/>
        <n v="111916"/>
        <n v="111918"/>
        <n v="111919"/>
        <n v="111921"/>
        <n v="111923"/>
        <n v="111924"/>
        <n v="111926"/>
        <n v="111927"/>
        <n v="111928"/>
        <n v="111929"/>
        <n v="111930"/>
        <n v="111931"/>
        <n v="111932"/>
        <n v="111933"/>
        <n v="111934"/>
        <n v="111935"/>
        <n v="111936"/>
        <n v="111937"/>
        <n v="111938"/>
        <n v="111939"/>
        <n v="111940"/>
        <n v="111941"/>
        <n v="111942"/>
        <n v="111943"/>
        <n v="111949"/>
        <n v="111950"/>
        <n v="111951"/>
        <n v="111952"/>
        <n v="111953"/>
        <n v="111954"/>
        <n v="111955"/>
        <n v="111957"/>
        <n v="111958"/>
        <n v="111959"/>
        <n v="111960"/>
        <n v="111961"/>
        <n v="111962"/>
        <n v="111963"/>
        <n v="111965"/>
        <n v="111966"/>
        <n v="111968"/>
        <n v="111969"/>
        <n v="111970"/>
        <n v="111972"/>
        <n v="111973"/>
        <n v="111974"/>
        <n v="111975"/>
        <n v="111976"/>
        <n v="111977"/>
        <n v="111978"/>
        <n v="111979"/>
        <n v="111980"/>
        <n v="111983"/>
        <n v="111984"/>
        <n v="111985"/>
        <n v="111986"/>
        <n v="111987"/>
        <n v="111988"/>
        <n v="111989"/>
        <n v="111990"/>
        <n v="111991"/>
        <n v="111992"/>
        <n v="111993"/>
        <n v="111994"/>
        <n v="111997"/>
        <n v="111998"/>
        <n v="111999"/>
        <n v="112001"/>
        <n v="112002"/>
        <n v="112003"/>
        <n v="112004"/>
        <n v="112005"/>
        <n v="112006"/>
        <n v="112008"/>
        <n v="112009"/>
        <n v="112010"/>
        <n v="112012"/>
        <n v="112013"/>
        <n v="112015"/>
        <n v="112016"/>
        <n v="112017"/>
        <n v="112019"/>
        <n v="112020"/>
        <n v="112021"/>
        <n v="112022"/>
        <n v="112023"/>
        <n v="112024"/>
        <n v="112025"/>
        <n v="112026"/>
        <n v="112027"/>
        <n v="112028"/>
        <n v="112029"/>
        <n v="112030"/>
        <n v="112031"/>
        <n v="112034"/>
        <n v="112038"/>
        <n v="112039"/>
        <n v="112040"/>
        <n v="112041"/>
        <n v="112043"/>
        <n v="112045"/>
        <n v="112046"/>
        <n v="112048"/>
        <n v="112049"/>
        <n v="112050"/>
        <n v="112051"/>
        <n v="112052"/>
        <n v="112053"/>
        <n v="112054"/>
        <n v="112055"/>
        <n v="112056"/>
        <n v="112057"/>
        <n v="112081"/>
        <n v="112082"/>
        <n v="112083"/>
        <n v="112084"/>
        <n v="112085"/>
        <n v="112086"/>
        <n v="112087"/>
        <n v="112088"/>
        <n v="112093"/>
        <n v="112094"/>
        <n v="112096"/>
        <n v="112100"/>
        <n v="112101"/>
        <n v="112102"/>
        <n v="112103"/>
        <n v="112104"/>
        <n v="112105"/>
        <n v="112106"/>
        <n v="112107"/>
        <n v="112108"/>
        <n v="112109"/>
        <n v="112111"/>
        <n v="112112"/>
        <n v="112113"/>
        <n v="112115"/>
        <n v="112117"/>
        <n v="112121"/>
        <n v="112122"/>
        <n v="112123"/>
        <n v="112124"/>
        <n v="112125"/>
        <n v="112126"/>
        <n v="112127"/>
        <n v="112128"/>
        <n v="112129"/>
        <n v="112130"/>
        <n v="112131"/>
        <n v="112132"/>
        <n v="112133"/>
        <n v="112134"/>
        <n v="112135"/>
        <n v="112136"/>
        <n v="112137"/>
        <n v="112138"/>
        <n v="112140"/>
        <n v="112141"/>
        <n v="112142"/>
        <n v="112144"/>
        <n v="112145"/>
        <n v="112146"/>
        <n v="112153"/>
        <n v="112154"/>
        <n v="112156"/>
        <n v="112158"/>
        <n v="112159"/>
        <n v="112160"/>
        <n v="112161"/>
        <n v="112162"/>
        <n v="112163"/>
        <n v="112164"/>
        <n v="112165"/>
        <n v="112166"/>
        <n v="112167"/>
        <n v="112168"/>
        <n v="112169"/>
        <n v="112170"/>
        <n v="112171"/>
        <n v="112172"/>
        <n v="112176"/>
        <n v="112177"/>
        <n v="112178"/>
        <n v="112179"/>
        <n v="112180"/>
        <n v="112181"/>
        <n v="112182"/>
        <n v="112183"/>
        <n v="112184"/>
        <n v="112185"/>
        <n v="112186"/>
        <n v="112193"/>
        <n v="112194"/>
        <n v="112195"/>
        <n v="112196"/>
        <n v="112197"/>
        <n v="112198"/>
        <n v="112209"/>
        <n v="112210"/>
        <n v="112211"/>
        <n v="112212"/>
        <n v="112213"/>
        <n v="112214"/>
        <n v="112215"/>
        <n v="112216"/>
        <n v="112217"/>
        <n v="112218"/>
        <n v="112219"/>
        <n v="112220"/>
        <n v="112221"/>
        <n v="112222"/>
        <n v="112224"/>
        <n v="112225"/>
        <n v="112226"/>
        <n v="112227"/>
        <n v="112230"/>
        <n v="112231"/>
        <n v="112234"/>
        <n v="112235"/>
        <n v="112236"/>
        <n v="112237"/>
        <n v="112238"/>
        <n v="112239"/>
        <n v="112240"/>
        <n v="112241"/>
        <n v="112242"/>
        <n v="112243"/>
        <n v="112244"/>
        <n v="112245"/>
        <n v="112246"/>
        <n v="112247"/>
        <n v="112248"/>
        <n v="112249"/>
        <n v="112250"/>
        <n v="112251"/>
        <n v="112252"/>
        <n v="112253"/>
        <n v="112258"/>
        <n v="112259"/>
        <n v="112260"/>
        <n v="112261"/>
        <n v="112262"/>
        <n v="112263"/>
        <n v="112265"/>
        <n v="112266"/>
        <n v="112267"/>
        <n v="112268"/>
        <n v="112269"/>
        <n v="112270"/>
        <n v="112273"/>
        <n v="112274"/>
        <n v="112275"/>
        <n v="112276"/>
        <n v="112277"/>
        <n v="112278"/>
        <n v="112279"/>
        <n v="112280"/>
        <n v="112281"/>
        <n v="112282"/>
        <n v="112283"/>
        <n v="112284"/>
        <n v="112285"/>
        <n v="112286"/>
        <n v="112287"/>
        <n v="112288"/>
        <n v="112291"/>
        <n v="112292"/>
        <n v="112293"/>
        <n v="112294"/>
        <n v="112295"/>
        <n v="112296"/>
        <n v="112297"/>
        <n v="112300"/>
        <n v="112301"/>
        <n v="112302"/>
        <n v="112303"/>
        <n v="112304"/>
        <n v="112305"/>
        <n v="112307"/>
        <n v="112308"/>
        <n v="112309"/>
        <n v="112310"/>
        <n v="112311"/>
        <n v="112312"/>
        <n v="112313"/>
        <n v="112314"/>
        <n v="112315"/>
        <n v="112316"/>
        <n v="112317"/>
        <n v="112318"/>
        <n v="112319"/>
        <n v="112320"/>
        <n v="112321"/>
        <n v="112324"/>
        <n v="112325"/>
        <n v="112326"/>
        <n v="112327"/>
        <n v="112328"/>
        <n v="112329"/>
        <n v="112330"/>
        <n v="112331"/>
        <n v="112332"/>
        <n v="112333"/>
        <n v="112334"/>
        <n v="112335"/>
        <n v="112336"/>
        <n v="112337"/>
        <n v="112338"/>
        <n v="112339"/>
        <n v="112340"/>
        <n v="112341"/>
        <n v="112343"/>
        <n v="112344"/>
        <n v="112345"/>
        <n v="112346"/>
        <n v="112347"/>
        <n v="112348"/>
        <n v="112349"/>
        <n v="112350"/>
        <n v="112351"/>
        <n v="112352"/>
        <n v="112353"/>
        <n v="112354"/>
        <n v="112355"/>
        <n v="112356"/>
        <n v="112358"/>
        <n v="112359"/>
        <n v="112360"/>
        <n v="112361"/>
        <n v="112362"/>
        <n v="112363"/>
        <n v="112364"/>
        <n v="112365"/>
        <n v="112367"/>
        <n v="112368"/>
        <n v="112369"/>
        <n v="112370"/>
        <n v="112371"/>
        <n v="112372"/>
        <n v="112373"/>
        <n v="112374"/>
        <n v="112375"/>
        <n v="112392"/>
        <n v="112393"/>
        <n v="112394"/>
        <n v="112398"/>
        <n v="112399"/>
        <n v="112400"/>
        <n v="112401"/>
        <n v="112402"/>
        <n v="112403"/>
        <n v="112404"/>
        <n v="112405"/>
        <n v="112406"/>
        <n v="112407"/>
        <n v="112409"/>
        <n v="112410"/>
        <n v="112411"/>
        <n v="112412"/>
        <n v="112413"/>
        <n v="112414"/>
        <n v="112415"/>
        <n v="112416"/>
        <n v="112417"/>
        <n v="112421"/>
        <n v="112422"/>
        <n v="112423"/>
        <n v="112424"/>
        <n v="112426"/>
        <n v="112427"/>
        <n v="112428"/>
        <n v="112429"/>
        <n v="112430"/>
        <n v="112431"/>
        <n v="112432"/>
        <n v="112433"/>
        <n v="112434"/>
        <n v="112435"/>
        <n v="112436"/>
        <n v="112437"/>
        <n v="112438"/>
        <n v="112439"/>
        <n v="112440"/>
        <n v="112441"/>
        <n v="112442"/>
        <n v="112443"/>
        <n v="112444"/>
        <n v="112445"/>
        <n v="112446"/>
        <n v="112447"/>
        <n v="112448"/>
        <n v="112449"/>
        <n v="112450"/>
        <n v="112451"/>
        <n v="112452"/>
        <n v="112453"/>
        <n v="112454"/>
        <n v="112455"/>
        <n v="112456"/>
        <n v="112457"/>
        <n v="112458"/>
        <n v="112459"/>
        <n v="112460"/>
        <n v="112461"/>
        <n v="112462"/>
        <n v="112463"/>
        <n v="112464"/>
        <n v="112465"/>
        <n v="112466"/>
        <n v="112467"/>
        <n v="112468"/>
        <m/>
      </sharedItems>
    </cacheField>
    <cacheField name="r.regel" numFmtId="0">
      <sharedItems containsString="0" containsBlank="1" containsNumber="1" containsInteger="1" minValue="1" maxValue="28"/>
    </cacheField>
    <cacheField name="delivery_date" numFmtId="14">
      <sharedItems containsNonDate="0" containsDate="1" containsString="0" containsBlank="1" minDate="2025-11-20T00:00:00" maxDate="2026-05-30T00:00:00" count="26">
        <d v="2025-11-21T00:00:00"/>
        <d v="2025-11-27T00:00:00"/>
        <d v="2025-12-05T00:00:00"/>
        <d v="2025-11-28T00:00:00"/>
        <d v="2025-12-18T00:00:00"/>
        <d v="2025-12-19T00:00:00"/>
        <d v="2025-12-12T00:00:00"/>
        <d v="2026-01-23T00:00:00"/>
        <d v="2025-12-11T00:00:00"/>
        <d v="2026-01-09T00:00:00"/>
        <d v="2025-12-26T00:00:00"/>
        <d v="2026-01-30T00:00:00"/>
        <d v="2025-11-20T00:00:00"/>
        <d v="2026-01-16T00:00:00"/>
        <d v="2025-12-04T00:00:00"/>
        <d v="2026-02-06T00:00:00"/>
        <d v="2026-03-27T00:00:00"/>
        <d v="2026-01-29T00:00:00"/>
        <d v="2026-02-27T00:00:00"/>
        <d v="2026-01-31T00:00:00"/>
        <d v="2025-11-30T00:00:00"/>
        <d v="2026-04-24T00:00:00"/>
        <d v="2026-02-20T00:00:00"/>
        <d v="2026-01-28T00:00:00"/>
        <d v="2026-05-29T00:00:00"/>
        <m/>
      </sharedItems>
    </cacheField>
    <cacheField name="periode" numFmtId="177">
      <sharedItems containsString="0" containsBlank="1" containsNumber="1" containsInteger="1" minValue="1" maxValue="12"/>
    </cacheField>
    <cacheField name="year" numFmtId="0">
      <sharedItems containsString="0" containsBlank="1" containsNumber="1" containsInteger="1" minValue="2025" maxValue="2026"/>
    </cacheField>
    <cacheField name="r.artcode" numFmtId="0">
      <sharedItems containsBlank="1" containsMixedTypes="1" containsNumber="1" containsInteger="1" minValue="30062" maxValue="712060" count="446">
        <s v="669892P"/>
        <n v="704787"/>
        <n v="704564"/>
        <n v="644544"/>
        <n v="670695"/>
        <n v="589462"/>
        <n v="649499"/>
        <n v="115933"/>
        <n v="704585"/>
        <n v="624261"/>
        <n v="551932"/>
        <n v="696327"/>
        <n v="613299"/>
        <n v="635610"/>
        <n v="607201"/>
        <n v="629765"/>
        <n v="712060"/>
        <n v="669899"/>
        <n v="613290"/>
        <n v="672973"/>
        <n v="65602"/>
        <n v="687622"/>
        <n v="689566"/>
        <n v="646564"/>
        <n v="649695"/>
        <n v="589466"/>
        <n v="589468"/>
        <n v="646561"/>
        <n v="664058"/>
        <n v="614862"/>
        <n v="692220"/>
        <n v="672095"/>
        <n v="569051"/>
        <n v="647386"/>
        <n v="560277"/>
        <n v="692486"/>
        <n v="578865"/>
        <n v="653300"/>
        <n v="653156"/>
        <n v="653002"/>
        <n v="583773"/>
        <n v="672096"/>
        <s v="672359P"/>
        <n v="656004"/>
        <n v="601774"/>
        <n v="646541"/>
        <n v="117555"/>
        <n v="80173"/>
        <s v="672359T2"/>
        <n v="693659"/>
        <n v="701766"/>
        <n v="647740"/>
        <n v="671964"/>
        <n v="673574"/>
        <n v="702116"/>
        <n v="708111"/>
        <n v="65423"/>
        <n v="624263"/>
        <n v="624260"/>
        <n v="669378"/>
        <n v="584422"/>
        <s v="706931T1"/>
        <n v="626402"/>
        <s v="626402T1"/>
        <s v="626402T2"/>
        <s v="626402T3"/>
        <n v="672090"/>
        <n v="694934"/>
        <n v="589467"/>
        <s v="641585T1"/>
        <n v="701775"/>
        <n v="691217"/>
        <n v="116180"/>
        <n v="578785"/>
        <n v="646539"/>
        <n v="596353"/>
        <n v="678133"/>
        <n v="682833"/>
        <n v="690407"/>
        <n v="672555"/>
        <n v="688079"/>
        <n v="65599"/>
        <n v="65217"/>
        <n v="677939"/>
        <n v="65200"/>
        <n v="65236"/>
        <n v="606031"/>
        <n v="629775"/>
        <n v="568987"/>
        <n v="583938"/>
        <n v="669348"/>
        <n v="707762"/>
        <n v="677794"/>
        <n v="708112"/>
        <n v="672557"/>
        <s v="698329P"/>
        <n v="672359"/>
        <n v="601773"/>
        <n v="614865"/>
        <n v="673347"/>
        <n v="664053"/>
        <n v="583772"/>
        <n v="583774"/>
        <n v="589363"/>
        <n v="690685"/>
        <n v="669895"/>
        <n v="586738"/>
        <n v="586751"/>
        <n v="65195"/>
        <s v="578711T1"/>
        <n v="677940"/>
        <s v="707764T1"/>
        <s v="706930T1"/>
        <n v="108633"/>
        <n v="646553"/>
        <n v="560274"/>
        <n v="601781"/>
        <n v="653792"/>
        <n v="30065"/>
        <n v="65284"/>
        <n v="65589"/>
        <n v="649069"/>
        <n v="652284"/>
        <n v="694936"/>
        <n v="694916"/>
        <n v="694919"/>
        <n v="621825"/>
        <n v="112292"/>
        <n v="79846"/>
        <n v="586460"/>
        <n v="704587"/>
        <n v="694906"/>
        <n v="694939"/>
        <n v="694942"/>
        <n v="694944"/>
        <n v="704588"/>
        <n v="694932"/>
        <n v="608923"/>
        <n v="671959"/>
        <n v="671960"/>
        <n v="671963"/>
        <n v="707479"/>
        <n v="707478"/>
        <n v="695311"/>
        <n v="596290"/>
        <n v="669363"/>
        <n v="663227"/>
        <n v="672120"/>
        <n v="65402"/>
        <n v="641585"/>
        <n v="596331"/>
        <n v="596334"/>
        <n v="624823"/>
        <n v="678132"/>
        <n v="113511"/>
        <n v="643182"/>
        <n v="118562"/>
        <n v="694963"/>
        <n v="694961"/>
        <n v="672101"/>
        <n v="671573"/>
        <n v="632207"/>
        <n v="65595"/>
        <n v="698484"/>
        <n v="704792"/>
        <n v="591422"/>
        <n v="678131"/>
        <n v="112296"/>
        <n v="112302"/>
        <n v="112309"/>
        <n v="585616"/>
        <n v="589828"/>
        <n v="594823"/>
        <n v="586514"/>
        <n v="590011"/>
        <n v="594820"/>
        <n v="594822"/>
        <n v="594572"/>
        <n v="652140"/>
        <n v="108631"/>
        <n v="629763"/>
        <n v="694943"/>
        <n v="646542"/>
        <n v="589493"/>
        <n v="589495"/>
        <n v="108644"/>
        <n v="706841"/>
        <n v="663243"/>
        <n v="672129"/>
        <n v="672127"/>
        <n v="671574"/>
        <n v="594825"/>
        <n v="626285"/>
        <s v="678313P"/>
        <n v="657037"/>
        <n v="117771"/>
        <n v="117547"/>
        <n v="646546"/>
        <n v="645380"/>
        <n v="583759"/>
        <n v="704004"/>
        <s v="669902P"/>
        <s v="669901P"/>
        <s v="670933P"/>
        <s v="672095P"/>
        <s v="692220P"/>
        <s v="614865P"/>
        <n v="693722"/>
        <s v="691510P"/>
        <s v="670695P"/>
        <s v="701778P"/>
        <n v="633087"/>
        <n v="633083"/>
        <n v="655459"/>
        <n v="704173"/>
        <n v="704172"/>
        <n v="704170"/>
        <s v="116190T1"/>
        <s v="589462T1"/>
        <n v="671352"/>
        <n v="671413"/>
        <n v="664517"/>
        <n v="671357"/>
        <n v="669890"/>
        <n v="601775"/>
        <n v="614864"/>
        <n v="669902"/>
        <n v="691510"/>
        <n v="691507"/>
        <n v="647739"/>
        <n v="647741"/>
        <n v="691506"/>
        <n v="678313"/>
        <n v="599357"/>
        <n v="653299"/>
        <n v="708113"/>
        <n v="560776"/>
        <s v="691506P"/>
        <n v="675505"/>
        <n v="675508"/>
        <n v="653297"/>
        <n v="672559"/>
        <n v="677044"/>
        <n v="677045"/>
        <n v="677047"/>
        <n v="698408"/>
        <n v="704052"/>
        <n v="704054"/>
        <s v="677211G"/>
        <s v="677200D"/>
        <s v="676366G"/>
        <s v="677200G"/>
        <s v="677281G"/>
        <n v="708117"/>
        <n v="672975"/>
        <n v="649501"/>
        <n v="688075"/>
        <n v="669893"/>
        <n v="669896"/>
        <n v="672552"/>
        <n v="708222"/>
        <n v="708223"/>
        <n v="708373"/>
        <n v="708382"/>
        <n v="708384"/>
        <n v="672967"/>
        <n v="672971"/>
        <n v="673345"/>
        <n v="673346"/>
        <n v="698276"/>
        <n v="698332"/>
        <n v="698334"/>
        <n v="685963"/>
        <n v="685964"/>
        <n v="648966"/>
        <n v="679095"/>
        <n v="679094"/>
        <n v="706838"/>
        <n v="672972"/>
        <n v="675509"/>
        <n v="703819"/>
        <n v="703818"/>
        <n v="672554"/>
        <n v="671412"/>
        <n v="669901"/>
        <n v="669897"/>
        <n v="670933"/>
        <n v="672553"/>
        <n v="708119"/>
        <n v="708122"/>
        <n v="707659"/>
        <n v="691699"/>
        <n v="698325"/>
        <n v="698328"/>
        <n v="698331"/>
        <n v="672092"/>
        <n v="672970"/>
        <n v="664054"/>
        <n v="665433"/>
        <n v="664055"/>
        <s v="691507P"/>
        <n v="698329"/>
        <n v="673059"/>
        <s v="673346P"/>
        <n v="708010"/>
        <n v="708009"/>
        <n v="673060"/>
        <n v="30062"/>
        <n v="675510"/>
        <n v="645470"/>
        <n v="647841"/>
        <n v="676853"/>
        <n v="703471"/>
        <n v="703472"/>
        <n v="706786"/>
        <n v="706787"/>
        <s v="657034T1"/>
        <s v="659745T1"/>
        <s v="589466T1"/>
        <n v="117541"/>
        <n v="630187"/>
        <s v="589496T1"/>
        <n v="589732"/>
        <n v="672969"/>
        <n v="560842"/>
        <n v="704012"/>
        <n v="704013"/>
        <n v="690761"/>
        <s v="704013P"/>
        <n v="579667"/>
        <n v="579668"/>
        <n v="65502"/>
        <n v="655712"/>
        <s v="584529T1"/>
        <n v="584529"/>
        <n v="584527"/>
        <s v="584527T1"/>
        <n v="584528"/>
        <n v="672560"/>
        <n v="672558"/>
        <n v="672556"/>
        <n v="699275"/>
        <n v="699393"/>
        <n v="608889"/>
        <n v="669894"/>
        <n v="633088"/>
        <n v="633084"/>
        <n v="633261"/>
        <n v="633086"/>
        <n v="678129"/>
        <n v="651102"/>
        <n v="646563"/>
        <n v="704636"/>
        <n v="590084"/>
        <n v="690684"/>
        <n v="578711"/>
        <n v="571500"/>
        <n v="702466"/>
        <n v="589464"/>
        <n v="116185"/>
        <n v="699127"/>
        <n v="646567"/>
        <n v="646548"/>
        <n v="695413"/>
        <n v="699883"/>
        <n v="115932"/>
        <n v="121653"/>
        <n v="65192"/>
        <n v="35724"/>
        <n v="693625"/>
        <n v="112301"/>
        <n v="95801"/>
        <n v="585613"/>
        <n v="694941"/>
        <s v="597134T1"/>
        <n v="65508"/>
        <s v="584422T1"/>
        <s v="655712T1"/>
        <n v="627789"/>
        <n v="627781"/>
        <s v="708043T1"/>
        <n v="586752"/>
        <n v="586750"/>
        <s v="693720T1"/>
        <s v="659749T1"/>
        <s v="117541T1"/>
        <s v="629763T1"/>
        <s v="630187T1"/>
        <n v="706930"/>
        <n v="706931"/>
        <n v="707764"/>
        <n v="552896"/>
        <n v="694908"/>
        <n v="108648"/>
        <n v="678134"/>
        <n v="591398"/>
        <n v="708132"/>
        <n v="704637"/>
        <n v="65714"/>
        <n v="662650"/>
        <n v="687934"/>
        <n v="117265"/>
        <n v="552897"/>
        <n v="66039"/>
        <n v="65587"/>
        <n v="112304"/>
        <n v="656555"/>
        <n v="704586"/>
        <n v="108308"/>
        <n v="708120"/>
        <n v="690725"/>
        <n v="707993"/>
        <n v="590900"/>
        <n v="604926"/>
        <n v="694930"/>
        <n v="594569"/>
        <n v="112386"/>
        <n v="704174"/>
        <n v="597134"/>
        <s v="65195T1"/>
        <s v="65205T1"/>
        <s v="701919T1"/>
        <s v="601781T1"/>
        <s v="659743T1"/>
        <n v="688777"/>
        <n v="688772"/>
        <n v="672962"/>
        <n v="675532"/>
        <n v="672965"/>
        <s v="645487T1"/>
        <n v="676366"/>
        <n v="676367"/>
        <n v="677211"/>
        <n v="677200"/>
        <n v="698409"/>
        <n v="554924"/>
        <n v="608932"/>
        <n v="646551"/>
        <n v="629759"/>
        <n v="582852"/>
        <n v="630378"/>
        <n v="672977"/>
        <n v="590070"/>
        <n v="669892"/>
        <n v="703220"/>
        <m/>
      </sharedItems>
    </cacheField>
    <cacheField name="tu_per_cu" numFmtId="0">
      <sharedItems containsString="0" containsBlank="1" containsNumber="1" containsInteger="1" minValue="1" maxValue="48"/>
    </cacheField>
    <cacheField name="content" numFmtId="0">
      <sharedItems containsString="0" containsBlank="1" containsNumber="1" minValue="0" maxValue="1200" count="77">
        <n v="400"/>
        <n v="0.125"/>
        <n v="375"/>
        <n v="1094"/>
        <n v="217"/>
        <n v="1200"/>
        <n v="131"/>
        <n v="350"/>
        <n v="800"/>
        <n v="900"/>
        <n v="280"/>
        <n v="210"/>
        <n v="543"/>
        <n v="300"/>
        <n v="500"/>
        <n v="600"/>
        <n v="219"/>
        <n v="200"/>
        <n v="547"/>
        <n v="535"/>
        <n v="449"/>
        <n v="1000"/>
        <n v="454"/>
        <n v="69"/>
        <n v="125"/>
        <n v="218"/>
        <n v="211"/>
        <n v="531"/>
        <n v="70"/>
        <n v="475"/>
        <n v="228"/>
        <n v="100"/>
        <n v="225"/>
        <n v="28"/>
        <n v="0"/>
        <n v="42"/>
        <n v="1061"/>
        <n v="26"/>
        <n v="66"/>
        <n v="12.5"/>
        <n v="1071"/>
        <n v="1062"/>
        <n v="136"/>
        <n v="12"/>
        <n v="64"/>
        <n v="250"/>
        <n v="137"/>
        <n v="20"/>
        <n v="93"/>
        <n v="41"/>
        <n v="102"/>
        <n v="113"/>
        <n v="25"/>
        <n v="36"/>
        <n v="142"/>
        <n v="90"/>
        <n v="1"/>
        <n v="479"/>
        <n v="504"/>
        <n v="700"/>
        <n v="510"/>
        <n v="175"/>
        <n v="16"/>
        <n v="63"/>
        <n v="59"/>
        <n v="194"/>
        <n v="133"/>
        <n v="10.4"/>
        <n v="527"/>
        <n v="190"/>
        <n v="860"/>
        <n v="1090"/>
        <n v="45"/>
        <n v="450"/>
        <n v="17"/>
        <n v="55"/>
        <m/>
      </sharedItems>
    </cacheField>
    <cacheField name="corporate_code" numFmtId="0">
      <sharedItems containsBlank="1"/>
    </cacheField>
    <cacheField name="product_description" numFmtId="0">
      <sharedItems containsBlank="1" count="418">
        <s v="NUTRILON PREMIUM+ 3 24X400G EC PA UY"/>
        <s v="RENILON 7.5 CAR 6X4X125ML PB NL/FR/DE"/>
        <s v="NEOCATE INFANT SYNEO(2) 6 X 400G DE"/>
        <s v="NEOCATE LCP 3 6X400G IL"/>
        <s v="NEOCATE JNR UNFLAV-PREBIOTIC2 4X400G MX"/>
        <s v="GA1 A/MIX JR UNF 6 X 400G MLL"/>
        <s v="APTAMIL LF ESC 24X400G"/>
        <s v="LP-DRINK CHOCO 2X375G INT"/>
        <s v="NSON EN 1L CB EN/LT/FR/NL"/>
        <s v="NUTRINI DR MF STRAW 24X200ML PB HR/HU"/>
        <s v="NUTRINIDR MF UNFL 24X200ML PB DE"/>
        <s v="NSON EN MF 1L CB FR/NL/EN"/>
        <s v="NUTRILON PRO-EXPERT AR"/>
        <s v="BEBELAC GOLD 3 (2x600g)X3"/>
        <s v="INFATRINI 24X125ML PB IL"/>
        <s v="NEOCATE JUNIOR UNFL 6X400G MEA"/>
        <s v="NUTRILON SOYA X 350G"/>
        <s v="NUTRILON PREMIUM+ 2 12X800G BO PA EC DO"/>
        <s v="NUTRILON P LAC F, E/S 24X400G"/>
        <s v="BEBELAC 1 ENG-SER 24x400G"/>
        <s v="NUTRINI DR MF CHOC 24X200ML PB DE/EN"/>
        <s v="NUTRILON CESARB, NWW 12X400G"/>
        <s v="Neocate Amino Acid Syneo 6 x 400G PH"/>
        <s v="MSUD ANAMIX INFANT 3X400G MLL1 (L)"/>
        <s v="ENERGIVIT EN DE FR NL 6X400G"/>
        <s v="MSUD ANAMIX JR UNF 6 X 400G MLL"/>
        <s v="TYR ANAMIX JR UNF 6 X 400G MLL"/>
        <s v="IVA ANAMIX INFANT 3X400G MLL1 (L)"/>
        <s v="NUTRILON AR PRM, RAUT 24X400G"/>
        <s v="BEBELAC GOLD 2 SPA 12x900g"/>
        <s v="NUT PREM+ C-BIOTIK E/S, 24X400G"/>
        <s v="NUTRILON P COMF, E/S 12X900G"/>
        <s v="FANTOMALT 12X400G"/>
        <s v="APT. ALL. CARE ESC 24X400G"/>
        <s v="FORTIFIT VANILLA 12X280G A"/>
        <s v="INFATRINI 24X200ML PB EN"/>
        <s v="NUTRISON ADV PEPTISORB 12X500ML PB IT/EN"/>
        <s v="APTAMIL COMF 2 ESC 24X400GEXPORT"/>
        <s v="APTAMIL AR 1 ENG 24X400G"/>
        <s v="APTAMIL AR 2 ENG 24X400G"/>
        <s v="COMPLAN VANILLA"/>
        <s v="NUTRILON P COMF, E/S 24X400G"/>
        <s v="NTRLN PJ PREMIUM+, E/S 24x400G"/>
        <s v="MONOGEN 6X400G INT"/>
        <s v="KETOCAL 4:1 VANILLA 6X300G INT"/>
        <s v="PKU ANAMIX INFANT 6X400G MLL 2 (L)"/>
        <s v="XP MAXAMUM UNFL 6X500G MLL1"/>
        <s v="PHLEXY 10 TROPICAL 30X20G SACH"/>
        <s v="NTRLN PJ PREMIUM+, E/S 24x400G - MOH TENDER"/>
        <s v="INFATRINI 24X125ML PB DE/PL/EL/PT"/>
        <s v="NEOCATE LCP UPGRADE3 6X400G HR HU"/>
        <s v="Nutrilon Premium+ 1 ENG-SPA,12x900g"/>
        <s v="NUTRILON 4 DREUMESMELK NL 4X800G CW"/>
        <s v="NUTRILON PEUTERMELK 5 NL 4X800G CW"/>
        <s v="INFATRINI POWDER 12X400G BE / INT"/>
        <s v="APTAMIL 1 6X800G CR/SL"/>
        <s v="NDRINK MF CHOC 6X4X200ML PB DA/NL/FR"/>
        <s v="NUTRINI DR MF CHOC 24X200ML PB HR/HU"/>
        <s v="NUTRINI DR MF VAN 24X200ML PB HR/HU"/>
        <s v="DIASIP STRAW 6X4X200ML PB CZ/PL/HU/DE"/>
        <s v="FORTIMEL ENERGY VANILLA 4X200ML"/>
        <s v="NSON EN 0.5L CB IT/GR"/>
        <s v="NEOCATE LCP UPGRADE2 4X400G LAT AMER LICITACIÓN"/>
        <s v="NEOCATE LCP UPGRADE2 4X400G LAT AMER LICITACIÓN MOH"/>
        <s v="NEOCATE LCP UPGRADE2 4X400G LAT AMER LICITACIÓN Ley Ricarte"/>
        <s v="NEOCATE LCP UPGRADE2 4X400G LAT AMER LICITACIÓN Públicas en"/>
        <s v="NUTRILON P NENA, E/S 24X400G"/>
        <s v="GA 2 PRIMA 2X500G DE_NL_FR_IT_PT_TR"/>
        <s v="PKU ANAMIX JR NEU 6X400G MLL"/>
        <s v="NSON PROT INTENSE 0.5L CB FI/IT/SE - MOH TENDER"/>
        <s v="NEOCATE LCP UPGRADE3 6X400G UK IE"/>
        <s v="NUTRICIA LORENZO'S OIL 12X500ML GB/DE"/>
        <s v="MSUD MAXAMUM UNFLAV 3 X 500"/>
        <s v="ELEMENTAL 028 EXTRA BANANA 10X100G UK"/>
        <s v="UCD ANAMIX INFANT 6X400G MULTI"/>
        <s v="PKU NUTRI 2 ENERGY 6X454G EN"/>
        <s v="G.TUBE 18FR 2W ENFIT"/>
        <s v="NUTRILON PRE, RUS, 24x400G"/>
        <s v="BEBELAC 3 ENG-SER 24x400G"/>
        <s v="APTAMIL 3 6X800G SER-MAC-BOS"/>
        <s v="APTAMIL CESAR BIOTIK 1  6X800G NWW"/>
        <s v="NUTRINI DR MF CHOC 24X200ML PB NL/FR"/>
        <s v="NDRINK STRAW 6X4X200ML PB NL/FR/PL/DA"/>
        <s v="FORTICARE ADV COOL BERRY 6X4X125ML PB"/>
        <s v="NDRINK CHOC 6X4X200ML PB NL/FR/IT/DA"/>
        <s v="NDRINK VAN 6X4X200ML PB NL/FR/IT"/>
        <s v="NEOCATE JR ROW UNF2 6X400G ES HU"/>
        <s v="FANTOMALT 12X400G CZ HU PL."/>
        <s v="NUTRINI 24X200ML PB EN/DE"/>
        <s v="DIASIP VANILLA 6X4X200ML PB CS/PL/HU"/>
        <s v="NSON 0.5L CB PT/EN/CZ"/>
        <s v="APT IMF LIQ FIRST INFANT MILK 24X70ML"/>
        <s v="APTAMIL 2 6X800G CR/SL"/>
        <s v="APTAMIL 2 6X800G SER-MAC-BOS"/>
        <s v="MALYUTKA 2 GOLD AZ+GE+TJ+UZ  7X300G"/>
        <s v="BEBELAC GOLD 1 SPA 24x400g"/>
        <s v="BEBELAC GOLD 1 SPA 12x900g"/>
        <s v="NUTRILON PREMIUM 3 BIB 600G RUS-UZB-TAJ"/>
        <s v="NUTRILON LF PRM, RAUT 24X400G"/>
        <s v="COMPLAN ORIGINAL 12X400G LATAM"/>
        <s v="COMPLAN STRAWBERRY"/>
        <s v="INFATRINI 24X125ML PB EN"/>
        <s v="NUTRICIA MCT OIL 12X500ML PT/ES/HE"/>
        <s v="NUTRILON PREMIUM+ 1 12X800G BO PA EC DO"/>
        <s v="COMPLAN SHAKE ORIGINAL 5X228GR"/>
        <s v="COMPLAN SHAKE STRAWBERRY 5X228GR"/>
        <s v="FORTIMEL ENERGY BANANA 4X200ML"/>
        <s v="NUTRISON ADV DIASON 12X500ML PB DE/TR"/>
        <s v="FORTICARE ADV COOL MAN/PEA 6X4X125ML PB"/>
        <s v="NSON MF 0.5L CB PT/GR/RO"/>
        <s v="NSON 0.5L CB GR/IT"/>
        <s v="L-CITRULLINE/ 10 X 100G/UK/SP"/>
        <s v="MMA/PA ANAMIX INF 3X400G MLL1 (L)"/>
        <s v="FORTIFIT STRAWBERRY 12X280G A"/>
        <s v="KETOCAL 4:1 6X300G INT"/>
        <s v="PKU 1 MIX 6X400G I/CZ/PL/HU"/>
        <s v="PROTIFAR ENG/IT/SP 12X225G"/>
        <s v="NDRINK MF VAN 6X4X200ML PB DA/NL/FR"/>
        <s v="NUTRINI DR MF STRAW 24X200ML PB NL/FR"/>
        <s v="INFATRINI PSORB 6X4X200ML PB PO/IT/NO/ES"/>
        <s v="PKU LOPHLEX UNF 30X28G"/>
        <s v="LYS 2 PRIMA 2X500G EN_DE_NL"/>
        <s v="PKU 2 PRIMA 2X500G PT_PL_TR_CZ_SK_RU"/>
        <s v="PKU 3 ADVANTA 2X500G EN_CZ_DE_PL_PT_SK"/>
        <s v="FLOCARE INFINITY III PUMP"/>
        <s v="LP FUSILLI 6X500 EN/IT/PT/EL"/>
        <s v="LP PKU DR 27X200/UK/PT"/>
        <s v="FLOCARE GRAVITY PACK SET"/>
        <s v="NSON 1L CB EN/ES/SK/CZ"/>
        <s v="UCD 3 ADVANTA 2X500G EN_DE_NL_FR_IT"/>
        <s v="MSUD 2 SECUNDA 2X500G ENDEFRITTRGRCZ"/>
        <s v="PKU 2 SECUNDA 2X500G DE_PT_PL_CZ_SK_HU"/>
        <s v="UCD 2 SECUNDA 2X500G EN_DE_IT_TR"/>
        <s v="NSON EN 0.5L CB DE/ES/EN"/>
        <s v="NSON EN 1L CB EN/LV/FR/NL"/>
        <s v="OS 2 PRIMA 2X500G EN_PT_TR_CZ_SK_HU"/>
        <s v="TYR 2 PRIMA 2X500G EN SL CZ HU PT"/>
        <s v="NUTRILON 1 PRONUTRA NL 6X800G CW"/>
        <s v="NUTRILON 2 PRONUTRA NL 6X800G CW"/>
        <s v="NUTRILON 3 PRONUTRA NL 4X800G CW"/>
        <s v="FORTINI BALANCE NEUTRAL 12X400G MEA"/>
        <s v="CUBITAN CHOC 6X4X200ML PB FR/NL/CZ/HU"/>
        <s v="DIASIP CAP 6X4X200ML PB ES/EN/PT/HU"/>
        <s v="NDR COMPACT PROT MOC 6X4X125ML PB NO/RU"/>
        <s v="NDRINK COMP PROT NEU 6X4X125ML PB NL/NO/"/>
        <s v="NDRINK MF STRAW 6X4X200ML PB DA/NL/FR"/>
        <s v="NSON PROT INTENSE 0.5L CB FI/IT/SE     "/>
        <s v="CUBITAN STRAW 6X4X200ML PB FR/NL/CZ/HU"/>
        <s v="CUBITAN VAN 6X4X200ML PB NL/FR/CZ/HU"/>
        <s v="ENFIT ECCENTRIC SINGLE USE SYRINGE 60ML"/>
        <s v="G.TUBE 16FR 2W ENFIT"/>
        <s v="LP MIX 18X500G EN/TUR/SW/LIET"/>
        <s v="PKU ANAMIX FIRST SPOON 30X12.5G INT"/>
        <s v="STIMULANCE SCAN/MEA 6X400 G"/>
        <s v="PKU NUTRI 3 CONCENTRATED 2X500G EN"/>
        <s v="PKU NUTRI 2 CONC 2X500G EN"/>
        <s v="NDR COMPPROT COOL REDFR 6X4X125ML PB NL/"/>
        <s v="NDR COMPPROT HOTTR GIN 6X4X125ML PB NL/"/>
        <s v="NSON ADV CUBISON 1L CB ES/CZ/HU"/>
        <s v="NUTRINI DR MF BAN 200ML PB NL/FR/EN"/>
        <s v="NUTRISON ADVANCED DIASON 1.0L PK"/>
        <s v="RENILON 7.5 APRI 6X4X125ML PB NL/FR/DE"/>
        <s v="ENFIT SYRINGE 20ML/ SINGLE USE"/>
        <s v="G.TUBE 14FR 2W ENFIT"/>
        <s v="LP MAC ELBOWS 12X250G EN/IT/PT"/>
        <s v="LP RICE 6X500 EN/IT/PT/EL"/>
        <s v="LP SPAGHETTI 6X500G UKESFRNL"/>
        <s v="PKU JUICY 2.0 ORANGE 30X125ML ROW2"/>
        <s v="TRANSITION STEP CONNECTOR TO FUNNEL TUBE"/>
        <s v="FLOCARE BENGMARK PEG/J FOR PEG CH 9"/>
        <s v="FLOCARE INFINITY PACK SET"/>
        <s v="FLOCARE INFINITY TF RES SET 1.3"/>
        <s v="FLOCARE PEG SET CH10"/>
        <s v="FLOCARE PEG SET CH18"/>
        <s v="FLOCARE PUR TUBE CH14-110CM"/>
        <s v="KINDERGEN 6X400G INT"/>
        <s v="L-ARGININE/ 10 X 100G/UK/SP"/>
        <s v="NEOCATE JR ROW VANILLA2 6X400G ES HU GR"/>
        <s v="OS 2 SECUNDA 2X500G EN_DE_FR_IT_TR_CZ"/>
        <s v="PKU ANAMIX INFANT 6X400G MLL 1"/>
        <s v="PKU ANAMIX JR UGV1 30X36G CHOC MLL"/>
        <s v="PKU ANAMIX JR UGV1 30X36G UNF MLL"/>
        <s v="GLYCINE/ 10 X 100G/UK/SP"/>
        <s v="APTAMIL KINDERMILCH 2+ 6X800G CRSL"/>
        <s v="Fortimel Compact Protein Mocha 125 ml"/>
        <s v="Fortimel Compact Protein Neu 125 ml"/>
        <s v="FMEL COMP PROT CL REDFRUITS"/>
        <s v="FMEL COMP PROT HOTTR GINGER"/>
        <s v="FLOCARE BENGMARK NI TUBE CH10-145CM"/>
        <s v="NEOCATE LCP UPGRADE2"/>
        <s v="NUTRILON PREMIUM+ 1 RTF 90ML"/>
        <s v="KETOCAL 4:1 6X300G UK, DK, SE. NO"/>
        <s v="PK AID 4 3X500G UK"/>
        <s v="SS DUOCAL 6X400G MULTI"/>
        <s v="TYR ANAMIX INF+MET 3X400G MLL1 (L)"/>
        <s v="APTAMIL PEPTI SYNEO 1, DE 12X400G"/>
        <s v="COMPLAN CHOCOLATE"/>
        <s v="NSON EN 1L CB DE/ES/PL/IT"/>
        <s v="NUTRILON PREMIUM+ 1 24X400G BO PA EC DO"/>
        <s v="NUTRILON PREMIUM+ 3 12X800G BO"/>
        <s v="NUTRILON PREMIUM+ 3 10X1200G"/>
        <s v="NUTRINIDRINK POWDER NEUTRAL 12X400G INT"/>
        <s v="NUTRILON PREMIUM+ 1, 24x400g"/>
        <s v="NEOCATE LCP 400G MX LCN 23/4046"/>
        <s v="COW &amp; GATE PREM 1 24X200G FB (LK) NR"/>
        <s v="COW &amp; GATE BLUE 2 24X200G FB (LK) NR"/>
        <s v="FB COW &amp; GATE STEP UP 3 200G (LK) ND2"/>
        <s v="COW &amp; GATE BLUE 2 24X300G FB (LK)"/>
        <s v="COW &amp; GATE ST UP 3 24X300G FB (LK)"/>
        <s v="COW &amp; GATE NX ST 4 24X300G FB (LK)"/>
        <s v="XMTVI MAXAMAID 3 X 500G"/>
        <s v="GA1 A/MIX JR UNF 6 X 400G MLL MOH"/>
        <s v="BEBELAC 1  X 375G"/>
        <s v="BEBELAC 2  X 375G"/>
        <s v="NULO PEPTI SYNEO, MEX 24X400G"/>
        <s v="BEBELAC 2 X 800G"/>
        <s v="NUTRILON PREMIUM+ 2 24X400G BO PA EC DO"/>
        <s v="BEBELAC GOLD 2 SPA 24x400g"/>
        <s v="BEBELAC GOLD 3 SPA 12x900g"/>
        <s v="NUTRILON PREMIUM+ 2, 24x400g"/>
        <s v="Nutrilon Premium+ 2 ENG-SPA,12x900g"/>
        <s v="Nutrilon Premium+ 3 ENG-SPA,12x900g"/>
        <s v="NUTRILON PREMIUM+ 3, 24x400g"/>
        <s v="BEBELAC GOLD 3 SPA 24x400g"/>
        <s v="APTAMIL COMF 1 ESC 24X400GEXPORT"/>
        <s v="APTAMIL 3 6X800G CR/SL"/>
        <s v="NUTRILON STANDARD TEAT"/>
        <s v="APTAMIL PRONUTRA 2 ENG, 24X400G"/>
        <s v="APTAMIL PRONUTRA 3 ENG, 24X400G"/>
        <s v="APTAMIL PREM ESC 24X400G"/>
        <s v="APTAMIL 1 6X800G SER-MAC-BOS"/>
        <s v="APTAMIL PF PRE, NWW DE 4x800G"/>
        <s v="APTAMIL PF 1, NWW DE 4x800G"/>
        <s v="APTAMIL PF 2, NWW DE 4x800G"/>
        <s v="APTAMIL PF DUO YCF1+, 4X800G KOR"/>
        <s v="APT TAB IF 4X(105 X4.6G)IT"/>
        <s v="APT TAB FO NWW 4X(105X4.8G) IT"/>
        <s v="APTAMIL PROF 1, KOR 4X800G"/>
        <s v="APTAMIL PROF 2, KOR 4X800G"/>
        <s v="APTAMIL 1 KOR 4X800G"/>
        <s v="APTAMIL PROF 3, KOR 4X800G"/>
        <s v="APTAMIL PRE 6X800G CR/SL"/>
        <s v="BEBELAC 2 ENG-SER 24x400G"/>
        <s v="BEBELAC FL ENG/SER/ARA 24X400G"/>
        <s v="APTAMIL CESAR BIOTIK 2  6X800G NWW"/>
        <s v="NUTRILON PREMIUM+ 1 24X400G UY"/>
        <s v="NUTRILON PREMIUM 2 24X400G UY"/>
        <s v="APTAMIL 3 6X800G MAL-MAC"/>
        <s v="FORTISIP VANILLA 700G"/>
        <s v="FORTISIP NEUTRAL 700G"/>
        <s v="FORTISIP MAX VANILLA 700G"/>
        <s v="FORTISIP MAX NEUTRAL 700G"/>
        <s v="FORTISIP DIASIP VANILLA 700G"/>
        <s v="NUTRILON PREMIUM 1 400G RUS-UZB-TAJ"/>
        <s v="NUTRILON PREMIUM 2 400G RUS-UZB-TAJ"/>
        <s v="NUTRILON PREMIUM 1 BIB 600G RUS-UZB-TAJ"/>
        <s v="NUTRILON PREMIUM 2 BIB 600G RUS-UZB-TAJ"/>
        <s v="MALYUTKA 1 GOLD AZ+GE+TJ+UZ  7X300G"/>
        <s v="MALYUTKA 3 GOLD AZ+GE+TJ+UZ  7X300G"/>
        <s v="MALYUTKA 4 GOLD AZ+GE+TJ+UZ  7X300G"/>
        <s v="MALYUTKA 1 GOLD AZ+GE+TJ+UZ  10x600G"/>
        <s v="MALYUTKA 2 GOLD AZ+GE+TJ+UZ  10x600G"/>
        <s v="APTAMIL PREMA RTF 70ML BK"/>
        <s v="APT IF 12X200ML PB UK"/>
        <s v="APT FOM 12X200ML PB UK"/>
        <s v="APTAMIL KINDERMILCH 1+ 6X800G CRSL"/>
        <s v="APTAMIL PRONUTRA 1 ENG, 24X400G"/>
        <s v="APTAMIL PRONUTRA 4 ENG, 24X400G"/>
        <s v="APTAMIL PRONUTRA 1 3X1200G"/>
        <s v="APTAMIL PRONUTRA 2 3X1200G"/>
        <s v="APTAMIL 4 6X800G BUL"/>
        <s v="BEBELAC 1  X 800G"/>
        <s v="NUTRILON PREMIUM+ 3 24X400G BO"/>
        <s v="APTAMIL 4 6X800G SER-MAC-BOS"/>
        <s v="COW &amp; GATE COMFORT 4X800G MT"/>
        <s v="COW &amp; GATE FOLLOW ON 6X800G MT"/>
        <s v="COW &amp; GATE TODDLER MILK YR1 6X800G MT"/>
        <s v="NUTRILON PREMIUM 1 200G AM-KY-TJ-UZ-GE"/>
        <s v="MALYUTKA 1 GOLD AM KY UZ 7X300G"/>
        <s v="MALYUTKA 2 GOLD AM KY UZ 7X300G"/>
        <s v="MALYUTKA 3 GOLD AM KY UZ 7X300G"/>
        <s v="NUTRILON COMFORT 1, RUS 12x400G"/>
        <s v="NUTRILON PREMIUM 3 400G RUS-UZB-TAJ"/>
        <s v="NUTRILON COM PRM, RAUT 24X400G"/>
        <s v="NULO PRE PEP GAS, RAUT 24X400G"/>
        <s v="NUTRILON PRE PRM, RAUT 24X400G"/>
        <s v="NUTRILON PREMIUM 1 900G RUS-UZB-TAJ"/>
        <s v="MALYUTKA 4 GOLD AZ+GE+TJ+UZ  7X300G"/>
        <s v="NUTRILON PREMIUM 2 900G RUS-UZB-TAJ"/>
        <s v="PROTIFAR 90 ENG-SPA-TUR"/>
        <s v="APTAMIL 2 ENG-GRE24X400G"/>
        <s v="ALMIRON COMFORT, GR 24X400G"/>
        <s v="ALMIRON NUTRIPREM RTF 70ML GR"/>
        <s v="ALMIRON 1 70ML"/>
        <s v="ALMIRON 1 6X800G CY"/>
        <s v="ALMIRON 2 6X800G CY"/>
        <s v="ALMIRON 3 6X800G CY"/>
        <s v="ALMIRON 4 6X800G CY"/>
        <s v="GALACTOMIN 19 6X400G INT - MOH TENDER"/>
        <s v="SCANDI SBRY 6X(6X85G) EN - MOH TENDER"/>
        <s v="MSUD ANAMIX JR UNF 6 X 400G MLL MOH"/>
        <s v="MAXIJUL SS 6X200GR"/>
        <s v="NUTILIS CLEAR 6X175G IDDSI UKIE"/>
        <s v="PKU ANAMIX JUNIOR VANILLA 30X36GR - MOH TENDER"/>
        <s v="TRANSITION CONN TO ENLOCK/FUNNEL TUBE"/>
        <s v="NUTRILON PREMIUM 4 400G RUS-UZB-TAJ"/>
        <s v="NUTRILON PRETERM TEAT"/>
        <s v="Bebelac Nutri 7in1 IF 400g Tin"/>
        <s v="Bebelac Nutri 7in1 FO 400g Tin"/>
        <s v="Bebelac Junior 3 Nutri 7in1 GUM 400g Tin"/>
        <s v="BEBELAC LF, EA 24X400G"/>
        <s v="BEBELAC AR, EA 24X400G"/>
        <s v="CUBITAN VANILLA 6X4X200ML PB ES/IT/PT/EL"/>
        <s v="FORTIJUCE APL 24X200ML PB EN"/>
        <s v="FORTIMEL EXTRA CHOCOLATE 4X200ML- MOH"/>
        <s v="FORTIMEL EXTRA CHOCOLATE 4X200ML"/>
        <s v="FORTIMEL EXTRA VANILLA 4X200ML"/>
        <s v="FORTIMEL EXTRA VANILLA 4X200ML - MOH"/>
        <s v="FORTIMEL EXTRA STRAWBERRY 4X200ML"/>
        <s v="APTAMIL 1 6X800G BUL"/>
        <s v="APTAMIL 2 6X800G BUL"/>
        <s v="APTAMIL 3 6X800G BUL"/>
        <s v="NUTRICIA APTAMIL 4 6X3500G AZ"/>
        <s v="Nutricia Aptamil 1 1200gr (2x600)"/>
        <s v="PKU 2-PRIMA 2X500G PL CZ PT RU SL TR"/>
        <s v="NUTRILON PREMIUM+ 3 12X800G EC PA UY"/>
        <s v="COW &amp; GATE PREM 1 24X400G CN (LK) SR2"/>
        <s v="COW &amp; GATE BLUE 2 24X400G CN (LK) NR"/>
        <s v="COW &amp; GATE ST UP 3 24X400G CN (LK) SR2"/>
        <s v="COW &amp; GATE NX ST 4 24X400G CN (LK) NR"/>
        <s v="G.TUBE 10FR 2W ENFIT"/>
        <s v="PKU NUTRI 1 ENERGY 6X400G EN"/>
        <s v="HCU ANAMIX INFANT 3X400G MLL1"/>
        <s v="PKU 1 MIX 6X400G  IT/PL/CZ/HU"/>
        <s v="FLOCARE INFINITY BOTTLE SET"/>
        <s v="NUTRICIA MCT OIL 12X500ML IT/FR/NL"/>
        <s v="PRE-OP DRINK 6X4X200ML PB EN/CZ/ES/PL"/>
        <s v="FORTIMEL PROTEIN ADVANCE VAN 12X280G KOR"/>
        <s v="IVA A/MIX JR UNF 6 X 400G MLL"/>
        <s v="XMET MAXAMUM UNFLVD 3 X 500G"/>
        <s v="BASIC-P 2X400G INT"/>
        <s v="NKH ANAMIX INFANT 3X400G MLL1"/>
        <s v="GA1 ANAMIX INFANT 3X400G MLL2 (L)"/>
        <s v="LOCASOL 6X400G INT"/>
        <s v="BASIC-F 6X300G INT"/>
        <s v="LP-DRINK 2X400G INT"/>
        <s v="NUTILIS 12X300G UK/NZ/AUS/CZ/H"/>
        <s v="NDRINK BAN 6X4X200ML PB NL/FR/IT"/>
        <s v="FLOC CONT+PACK CONN 1.0 (10X1)"/>
        <s v="LP MIX EN/FR/ES/NL 5X500G"/>
        <s v="LP RICE 6X500 EN/ES/FR/NL/TR"/>
        <s v="LP-RINGLETS 6 X 250G"/>
        <s v="PKU JUICY 2.0 BERRY 30X125ML ROW2"/>
        <s v="HOM 2 SECUNDA 2X500G ENDEFRITCZSKHU"/>
        <s v="CALOGEN NEU 24X200ML PB NL/EN - MOH TENDER"/>
        <s v="CUBITAN STRAWBERRY 6X4X200ML PB FI/NO"/>
        <s v="FORTIMEL ENERGY VANILLA 4X200ML - MOH TENDER"/>
        <s v="FORTIJUCE APL 24X200ML PB EN - MOH TENDER"/>
        <s v="SOUVENAID STRAWBERRY 6X4X125ML PB EN/EL"/>
        <s v="SOUVENAID VANILLA 6X4X125ML PB EN/EL"/>
        <s v="NSON EN MF 0.5L CB IT"/>
        <s v="COMPLAN SHAKE CHOCOLATE 5X228GR"/>
        <s v="COMPLAN SHAKE VANILLA 5X228GR"/>
        <s v="NUTRINIDRINK POWDER VA 12X400G INT"/>
        <s v="SCANDI VAN 6X(6X85G) EN - MOH TENDER"/>
        <s v="MAXIJUL SS 6X200GR - MOH TENDER"/>
        <s v="NEOCATE JR ROW VANILLA2 6X400G ES HU GR - MOH TENDER"/>
        <s v="ELEMENTAL 028 EXTRA 10X100G."/>
        <s v="MSUD 3 ADVANTA 2X500G ENDENLITCZSKHU"/>
        <s v="L-SERINE/ 10 X 100G/UK/SP"/>
        <s v="G.TUBE 20FR 2W ENFIT"/>
        <s v="FLOCARE BUTTON EXTENSION SET"/>
        <s v="NUTRILON PREMIUM 4 400G RUS-UZB-TAJ"/>
        <s v="MONOGEN 6X400G EN/DE/ES/IT/SE/FI"/>
        <s v="NUTRINI 500ML PK"/>
        <s v="FORTISIP COMPACT VAN 24X125ML PB AR"/>
        <s v="PHOSPHATINE HONEY 190G"/>
        <s v="NUTRISON POWDER 860GR"/>
        <s v="ELEMENTAL 028 EXTRA ORANGE 10X100G"/>
        <s v="NUTRISON EN 1.0L PK"/>
        <s v="NUTRINI DR MF VAN 24X200ML PB DE/EN"/>
        <s v="LP TAGLIATELLE 12X250 EN/IT/PT"/>
        <s v="HEPARON JUNIOR 6X400G INT"/>
        <s v="NSON MF 1L CB FR/NL/EN/LT"/>
        <s v="PKU 3 TEMPORA 10 X 45G"/>
        <s v="COW &amp; GATE FIRST 6X800G MT"/>
        <s v="NUTRICIA MCT OIL 12X500ML GB/DK/FI"/>
        <s v="NUTRILON PREMIUM 3 BiB 600G RUS-UZB-TAJ"/>
        <s v="NUTRILON AR, RUS 24x400G"/>
        <s v="NUTRILON PG, RUS, 24X450G"/>
        <s v="TYR 2 PRIMA 2X500G EN_PT_CZ_SK_HU"/>
        <s v="FLOCARE PUR TUBE CH8-110CM"/>
        <s v="LP-DRINK 2X400G PL/H"/>
        <s v="COW &amp; GATE PREM 1 24X300G FB (LK)"/>
        <s v="CALOGEN NEU 24X200ML PB NL/EN"/>
        <s v="FORTIMEL ENERGY BANANA 4X200ML - MOH TENDER"/>
        <s v="FORTIMEL ENERGY CHOCO 4X200ML - MOH TENDER"/>
        <s v="FORTIMEL ENERGY STRAWBERRY 6X4X200ML"/>
        <s v="KETOCAL 4:1 6X300G INT - MOH TENDER"/>
        <s v="SCANDI CHOC 6X(6X85G) EN - MOH TENDER"/>
        <s v="APTAMIL 3 ENG-GRE,24X400G"/>
        <s v="Aptamil 4 ENG-GRE, 24x400g"/>
        <s v="ALMIRON 1 ENG-GRE,24X400G"/>
        <s v="ALMIRON 3 ENG-GRE,24X400G"/>
        <s v="ALMIRON 4 ENG-GRE,24X400G"/>
        <s v="ALMIRON PEPTI MCT GR 24X400G - MOH TENDER"/>
        <s v="APTAMIL 2 KOR  4X800G"/>
        <s v="APTAMIL PF DUO YCF2+, 4X800G KOR"/>
        <s v="UCD ANAMIX JR UNFL. 6X400G MLL"/>
        <s v="LYS 2 PRIMA 2X500G EN DE"/>
        <s v="HYPERLYS ANAMIX INF 3X400G MLL"/>
        <s v="NEOCATE JR ROW VANILLA2 6X400G EN FR"/>
        <s v="NUTRICIA MCT OIL 12X500ML DE"/>
        <s v="NEOCATE HIGH MCT (GOLD) 2 4X400G AR."/>
        <s v="BEBELAC 1 ALB 24x400G"/>
        <s v="FLOCARE GRAVITY BOTTLE SET"/>
        <s v="NEOCATE MCT GOLD(2) 400G AR LCN 3822/22"/>
        <m/>
      </sharedItems>
    </cacheField>
    <cacheField name="r.magcode" numFmtId="0">
      <sharedItems containsString="0" containsBlank="1" containsNumber="1" containsInteger="1" minValue="1" maxValue="9999"/>
    </cacheField>
    <cacheField name="r.afl_week" numFmtId="0">
      <sharedItems containsString="0" containsBlank="1" containsNumber="1" containsInteger="1" minValue="2" maxValue="52"/>
    </cacheField>
    <cacheField name="r.uitgifte" numFmtId="0">
      <sharedItems containsString="0" containsBlank="1" containsNumber="1" containsInteger="1" minValue="0" maxValue="0"/>
    </cacheField>
    <cacheField name="ordered_tu" numFmtId="0">
      <sharedItems containsString="0" containsBlank="1" containsNumber="1" containsInteger="1" minValue="1" maxValue="13248" count="435">
        <n v="21"/>
        <n v="20"/>
        <n v="375"/>
        <n v="215"/>
        <n v="150"/>
        <n v="266"/>
        <n v="4"/>
        <n v="200"/>
        <n v="139"/>
        <n v="317"/>
        <n v="120"/>
        <n v="10"/>
        <n v="25"/>
        <n v="90"/>
        <n v="774"/>
        <n v="1392"/>
        <n v="864"/>
        <n v="45"/>
        <n v="30"/>
        <n v="28"/>
        <n v="29"/>
        <n v="530"/>
        <n v="64"/>
        <n v="130"/>
        <n v="615"/>
        <n v="44"/>
        <n v="12"/>
        <n v="136"/>
        <n v="37"/>
        <n v="11"/>
        <n v="114"/>
        <n v="5"/>
        <n v="17"/>
        <n v="13"/>
        <n v="24"/>
        <n v="60"/>
        <n v="36"/>
        <n v="226"/>
        <n v="70"/>
        <n v="80"/>
        <n v="71"/>
        <n v="198"/>
        <n v="84"/>
        <n v="252"/>
        <n v="210"/>
        <n v="6"/>
        <n v="280"/>
        <n v="35"/>
        <n v="288"/>
        <n v="132"/>
        <n v="528"/>
        <n v="1390"/>
        <n v="108"/>
        <n v="135"/>
        <n v="315"/>
        <n v="1561"/>
        <n v="85"/>
        <n v="48"/>
        <n v="3"/>
        <n v="14"/>
        <n v="34"/>
        <n v="144"/>
        <n v="42"/>
        <n v="314"/>
        <n v="174"/>
        <n v="110"/>
        <n v="95"/>
        <n v="940"/>
        <n v="688"/>
        <n v="480"/>
        <n v="182"/>
        <n v="2705"/>
        <n v="259"/>
        <n v="140"/>
        <n v="19"/>
        <n v="756"/>
        <n v="67"/>
        <n v="74"/>
        <n v="335"/>
        <n v="1003"/>
        <n v="8"/>
        <n v="168"/>
        <n v="58"/>
        <n v="900"/>
        <n v="720"/>
        <n v="540"/>
        <n v="287"/>
        <n v="584"/>
        <n v="592"/>
        <n v="15"/>
        <n v="432"/>
        <n v="99"/>
        <n v="990"/>
        <n v="495"/>
        <n v="88"/>
        <n v="728"/>
        <n v="262"/>
        <n v="176"/>
        <n v="814"/>
        <n v="270"/>
        <n v="55"/>
        <n v="640"/>
        <n v="50"/>
        <n v="180"/>
        <n v="308"/>
        <n v="360"/>
        <n v="128"/>
        <n v="105"/>
        <n v="224"/>
        <n v="300"/>
        <n v="216"/>
        <n v="1775"/>
        <n v="336"/>
        <n v="26"/>
        <n v="78"/>
        <n v="351"/>
        <n v="185"/>
        <n v="59"/>
        <n v="177"/>
        <n v="400"/>
        <n v="81"/>
        <n v="96"/>
        <n v="704"/>
        <n v="518"/>
        <n v="858"/>
        <n v="225"/>
        <n v="100"/>
        <n v="115"/>
        <n v="2"/>
        <n v="7"/>
        <n v="600"/>
        <n v="160"/>
        <n v="22"/>
        <n v="260"/>
        <n v="27"/>
        <n v="250"/>
        <n v="9"/>
        <n v="170"/>
        <n v="167"/>
        <n v="40"/>
        <n v="334"/>
        <n v="1250"/>
        <n v="834"/>
        <n v="47"/>
        <n v="253"/>
        <n v="230"/>
        <n v="240"/>
        <n v="119"/>
        <n v="56"/>
        <n v="247"/>
        <n v="79"/>
        <n v="46"/>
        <n v="390"/>
        <n v="286"/>
        <n v="278"/>
        <n v="693"/>
        <n v="297"/>
        <n v="396"/>
        <n v="652"/>
        <n v="38"/>
        <n v="122"/>
        <n v="16"/>
        <n v="256"/>
        <n v="39"/>
        <n v="129"/>
        <n v="183"/>
        <n v="213"/>
        <n v="243"/>
        <n v="103"/>
        <n v="594"/>
        <n v="218"/>
        <n v="98"/>
        <n v="202"/>
        <n v="715"/>
        <n v="1"/>
        <n v="405"/>
        <n v="52"/>
        <n v="72"/>
        <n v="123"/>
        <n v="18"/>
        <n v="149"/>
        <n v="143"/>
        <n v="723"/>
        <n v="54"/>
        <n v="23"/>
        <n v="191"/>
        <n v="63"/>
        <n v="109"/>
        <n v="154"/>
        <n v="500"/>
        <n v="127"/>
        <n v="104"/>
        <n v="206"/>
        <n v="481"/>
        <n v="648"/>
        <n v="438"/>
        <n v="780"/>
        <n v="147"/>
        <n v="2461"/>
        <n v="624"/>
        <n v="1200"/>
        <n v="83"/>
        <n v="57"/>
        <n v="1264"/>
        <n v="736"/>
        <n v="1226"/>
        <n v="350"/>
        <n v="420"/>
        <n v="1920"/>
        <n v="1080"/>
        <n v="65"/>
        <n v="840"/>
        <n v="277"/>
        <n v="448"/>
        <n v="368"/>
        <n v="245"/>
        <n v="1150"/>
        <n v="32"/>
        <n v="76"/>
        <n v="92"/>
        <n v="2250"/>
        <n v="630"/>
        <n v="384"/>
        <n v="344"/>
        <n v="112"/>
        <n v="190"/>
        <n v="313"/>
        <n v="769"/>
        <n v="958"/>
        <n v="49"/>
        <n v="1020"/>
        <n v="1120"/>
        <n v="126"/>
        <n v="1620"/>
        <n v="1800"/>
        <n v="1260"/>
        <n v="2496"/>
        <n v="3936"/>
        <n v="8928"/>
        <n v="2304"/>
        <n v="6528"/>
        <n v="6720"/>
        <n v="3168"/>
        <n v="576"/>
        <n v="5634"/>
        <n v="635"/>
        <n v="5952"/>
        <n v="672"/>
        <n v="2420"/>
        <n v="2987"/>
        <n v="4430"/>
        <n v="2672"/>
        <n v="1152"/>
        <n v="2976"/>
        <n v="2400"/>
        <n v="450"/>
        <n v="880"/>
        <n v="175"/>
        <n v="982"/>
        <n v="3338"/>
        <n v="2016"/>
        <n v="6240"/>
        <n v="960"/>
        <n v="1170"/>
        <n v="714"/>
        <n v="1344"/>
        <n v="164"/>
        <n v="43"/>
        <n v="251"/>
        <n v="5220"/>
        <n v="504"/>
        <n v="264"/>
        <n v="1208"/>
        <n v="2784"/>
        <n v="2160"/>
        <n v="1426"/>
        <n v="945"/>
        <n v="492"/>
        <n v="411"/>
        <n v="483"/>
        <n v="417"/>
        <n v="82"/>
        <n v="320"/>
        <n v="2025"/>
        <n v="378"/>
        <n v="117"/>
        <n v="94"/>
        <n v="489"/>
        <n v="771"/>
        <n v="509"/>
        <n v="590"/>
        <n v="3234"/>
        <n v="274"/>
        <n v="544"/>
        <n v="392"/>
        <n v="577"/>
        <n v="416"/>
        <n v="955"/>
        <n v="41"/>
        <n v="1035"/>
        <n v="53"/>
        <n v="512"/>
        <n v="192"/>
        <n v="91"/>
        <n v="2432"/>
        <n v="896"/>
        <n v="2368"/>
        <n v="2560"/>
        <n v="832"/>
        <n v="1472"/>
        <n v="284"/>
        <n v="1187"/>
        <n v="197"/>
        <n v="580"/>
        <n v="882"/>
        <n v="279"/>
        <n v="304"/>
        <n v="359"/>
        <n v="186"/>
        <n v="550"/>
        <n v="567"/>
        <n v="33"/>
        <n v="950"/>
        <n v="800"/>
        <n v="1750"/>
        <n v="760"/>
        <n v="570"/>
        <n v="700"/>
        <n v="75"/>
        <n v="1485"/>
        <n v="1980"/>
        <n v="1530"/>
        <n v="702"/>
        <n v="768"/>
        <n v="156"/>
        <n v="657"/>
        <n v="1460"/>
        <n v="292"/>
        <n v="494"/>
        <n v="125"/>
        <n v="330"/>
        <n v="1370"/>
        <n v="1398"/>
        <n v="522"/>
        <n v="667"/>
        <n v="1188"/>
        <n v="1124"/>
        <n v="1000"/>
        <n v="1500"/>
        <n v="924"/>
        <n v="1856"/>
        <n v="324"/>
        <n v="331"/>
        <n v="369"/>
        <n v="188"/>
        <n v="172"/>
        <n v="312"/>
        <n v="616"/>
        <n v="107"/>
        <n v="339"/>
        <n v="399"/>
        <n v="205"/>
        <n v="267"/>
        <n v="665"/>
        <n v="89"/>
        <n v="195"/>
        <n v="429"/>
        <n v="275"/>
        <n v="234"/>
        <n v="1280"/>
        <n v="228"/>
        <n v="385"/>
        <n v="798"/>
        <n v="2280"/>
        <n v="1009"/>
        <n v="1084"/>
        <n v="13248"/>
        <n v="677"/>
        <n v="2720"/>
        <n v="2970"/>
        <n v="1350"/>
        <n v="241"/>
        <n v="560"/>
        <n v="323"/>
        <n v="491"/>
        <n v="294"/>
        <n v="2475"/>
        <n v="3855"/>
        <n v="869"/>
        <n v="462"/>
        <n v="2430"/>
        <n v="2205"/>
        <n v="145"/>
        <n v="1421"/>
        <n v="152"/>
        <n v="51"/>
        <n v="62"/>
        <n v="810"/>
        <n v="675"/>
        <n v="1232"/>
        <n v="217"/>
        <n v="69"/>
        <n v="113"/>
        <n v="178"/>
        <n v="1001"/>
        <n v="146"/>
        <n v="219"/>
        <n v="873"/>
        <n v="352"/>
        <n v="261"/>
        <n v="124"/>
        <n v="295"/>
        <n v="440"/>
        <n v="93"/>
        <n v="7920"/>
        <n v="1584"/>
        <n v="9216"/>
        <n v="68"/>
        <n v="7200"/>
        <n v="2112"/>
        <n v="3552"/>
        <n v="585"/>
        <n v="2880"/>
        <n v="3744"/>
        <n v="7584"/>
        <n v="116"/>
        <n v="61"/>
        <n v="428"/>
        <n v="588"/>
        <n v="468"/>
        <n v="1125"/>
        <n v="546"/>
        <n v="2080"/>
        <n v="660"/>
        <m/>
      </sharedItems>
    </cacheField>
    <cacheField name="delivered_tu" numFmtId="0">
      <sharedItems containsString="0" containsBlank="1" containsNumber="1" containsInteger="1" minValue="0" maxValue="0"/>
    </cacheField>
    <cacheField name="remaining_tu" numFmtId="0">
      <sharedItems containsString="0" containsBlank="1" containsNumber="1" containsInteger="1" minValue="1" maxValue="13248"/>
    </cacheField>
    <cacheField name="r.aant_fakt" numFmtId="0">
      <sharedItems containsString="0" containsBlank="1" containsNumber="1" containsInteger="1" minValue="0" maxValue="0"/>
    </cacheField>
    <cacheField name="r.reeds_fakt" numFmtId="0">
      <sharedItems containsString="0" containsBlank="1" containsNumber="1" containsInteger="1" minValue="0" maxValue="0"/>
    </cacheField>
    <cacheField name="r.projectnr" numFmtId="178">
      <sharedItems containsString="0" containsBlank="1" containsNumber="1" containsInteger="1" minValue="110671" maxValue="112468"/>
    </cacheField>
    <cacheField name="r.purchaseordernr" numFmtId="1">
      <sharedItems containsString="0" containsBlank="1" containsNumber="1" containsInteger="1" minValue="40006812" maxValue="40007946"/>
    </cacheField>
    <cacheField name="k.afgehandld" numFmtId="4">
      <sharedItems containsString="0" containsBlank="1" containsNumber="1" containsInteger="1" minValue="0" maxValue="0"/>
    </cacheField>
    <cacheField name="k.betcond" numFmtId="4">
      <sharedItems containsString="0" containsBlank="1" containsNumber="1" containsInteger="1" minValue="0" maxValue="90"/>
    </cacheField>
    <cacheField name="k.levwijze" numFmtId="4">
      <sharedItems containsBlank="1"/>
    </cacheField>
    <cacheField name="grossprice_EUR" numFmtId="4">
      <sharedItems containsString="0" containsBlank="1" containsNumber="1" minValue="0" maxValue="4686.1499999999996"/>
    </cacheField>
    <cacheField name="netprice_EUR" numFmtId="4">
      <sharedItems containsString="0" containsBlank="1" containsNumber="1" minValue="0" maxValue="4686.1499999999996"/>
    </cacheField>
    <cacheField name="VVP_EUR" numFmtId="0">
      <sharedItems containsString="0" containsBlank="1" containsNumber="1" minValue="0" maxValue="5528.3379999999997"/>
    </cacheField>
    <cacheField name="c.freefield11" numFmtId="0">
      <sharedItems containsString="0" containsBlank="1" containsNumber="1" minValue="0" maxValue="21"/>
    </cacheField>
    <cacheField name="description" numFmtId="0">
      <sharedItems containsString="0" containsBlank="1" containsNumber="1" containsInteger="1" minValue="40006176" maxValue="40007946" count="578">
        <n v="40006176"/>
        <n v="40006501"/>
        <n v="40006645"/>
        <n v="40006693"/>
        <n v="40006721"/>
        <n v="40006800"/>
        <n v="40006812"/>
        <n v="40006840"/>
        <n v="40006845"/>
        <n v="40006848"/>
        <n v="40006858"/>
        <n v="40006859"/>
        <n v="40006861"/>
        <n v="40006862"/>
        <n v="40006872"/>
        <n v="40006991"/>
        <n v="40006877"/>
        <n v="40006878"/>
        <n v="40006889"/>
        <n v="40006905"/>
        <n v="40006912"/>
        <n v="40006977"/>
        <n v="40006979"/>
        <n v="40006981"/>
        <n v="40006982"/>
        <n v="40006985"/>
        <n v="40006995"/>
        <n v="40007017"/>
        <n v="40007018"/>
        <n v="40007025"/>
        <n v="40007028"/>
        <n v="40007030"/>
        <n v="40007031"/>
        <n v="40007050"/>
        <n v="40007053"/>
        <n v="40007055"/>
        <n v="40007058"/>
        <n v="40007060"/>
        <n v="40007068"/>
        <n v="40007069"/>
        <n v="40007070"/>
        <n v="40007072"/>
        <n v="40007074"/>
        <n v="40007077"/>
        <n v="40007078"/>
        <n v="40007079"/>
        <n v="40007087"/>
        <n v="40007093"/>
        <n v="40007095"/>
        <n v="40007096"/>
        <n v="40007097"/>
        <n v="40007126"/>
        <n v="40007130"/>
        <n v="40007132"/>
        <n v="40007136"/>
        <n v="40007142"/>
        <n v="40007145"/>
        <n v="40007151"/>
        <n v="40007157"/>
        <n v="40007168"/>
        <n v="40007169"/>
        <n v="40007170"/>
        <n v="40007172"/>
        <n v="40007175"/>
        <n v="40007180"/>
        <n v="40007182"/>
        <n v="40007187"/>
        <n v="40007190"/>
        <n v="40007193"/>
        <n v="40007197"/>
        <n v="40007198"/>
        <n v="40007199"/>
        <n v="40007201"/>
        <n v="40007202"/>
        <n v="40007203"/>
        <n v="40007204"/>
        <n v="40007205"/>
        <n v="40007206"/>
        <n v="40007207"/>
        <n v="40007209"/>
        <n v="40007210"/>
        <n v="40007215"/>
        <n v="40007222"/>
        <n v="40007224"/>
        <n v="40007226"/>
        <n v="40007227"/>
        <n v="40007232"/>
        <n v="40007233"/>
        <n v="40007235"/>
        <n v="40007236"/>
        <n v="40007238"/>
        <n v="40007248"/>
        <n v="40007249"/>
        <n v="40007250"/>
        <n v="40007251"/>
        <n v="40007257"/>
        <n v="40007260"/>
        <n v="40007263"/>
        <n v="40007264"/>
        <n v="40007265"/>
        <n v="40007266"/>
        <n v="40007270"/>
        <n v="40007271"/>
        <n v="40007274"/>
        <n v="40007275"/>
        <n v="40007276"/>
        <n v="40007277"/>
        <n v="40007278"/>
        <n v="40007279"/>
        <n v="40007280"/>
        <n v="40007282"/>
        <n v="40007283"/>
        <n v="40007284"/>
        <n v="40007288"/>
        <n v="40007289"/>
        <n v="40007290"/>
        <n v="40007292"/>
        <n v="40007293"/>
        <n v="40007294"/>
        <n v="40007300"/>
        <n v="40007301"/>
        <n v="40007304"/>
        <n v="40007305"/>
        <n v="40007308"/>
        <n v="40007323"/>
        <n v="40007324"/>
        <n v="40007325"/>
        <n v="40007329"/>
        <n v="40007380"/>
        <n v="40007335"/>
        <n v="40007336"/>
        <n v="40007337"/>
        <n v="40007339"/>
        <n v="40007340"/>
        <n v="40007342"/>
        <n v="40007343"/>
        <n v="40007344"/>
        <n v="40007345"/>
        <n v="40007346"/>
        <n v="40007347"/>
        <n v="40007348"/>
        <n v="40007350"/>
        <n v="40007352"/>
        <n v="40007353"/>
        <n v="40007354"/>
        <n v="40007356"/>
        <n v="40007361"/>
        <n v="40007362"/>
        <n v="40007363"/>
        <n v="40007365"/>
        <n v="40007366"/>
        <n v="40007367"/>
        <n v="40007369"/>
        <n v="40007370"/>
        <n v="40007371"/>
        <n v="40007372"/>
        <n v="40007375"/>
        <n v="40007378"/>
        <n v="40007379"/>
        <n v="40007381"/>
        <n v="40007382"/>
        <n v="40007383"/>
        <n v="40007384"/>
        <n v="40007385"/>
        <n v="40007388"/>
        <n v="40007389"/>
        <n v="40007391"/>
        <n v="40007392"/>
        <n v="40007394"/>
        <n v="40007395"/>
        <n v="40007397"/>
        <n v="40007399"/>
        <n v="40007400"/>
        <n v="40007403"/>
        <n v="40007404"/>
        <n v="40007405"/>
        <n v="40007578"/>
        <n v="40007408"/>
        <n v="40007409"/>
        <n v="40007410"/>
        <n v="40007411"/>
        <n v="40007412"/>
        <n v="40007413"/>
        <n v="40007414"/>
        <n v="40007415"/>
        <n v="40007416"/>
        <n v="40007417"/>
        <n v="40007418"/>
        <n v="40007419"/>
        <n v="40007420"/>
        <n v="40007421"/>
        <n v="40007427"/>
        <n v="40007428"/>
        <n v="40007429"/>
        <n v="40007430"/>
        <n v="40007431"/>
        <n v="40007432"/>
        <n v="40007433"/>
        <n v="40007435"/>
        <n v="40007436"/>
        <n v="40007437"/>
        <n v="40007438"/>
        <n v="40007439"/>
        <n v="40007440"/>
        <n v="40007441"/>
        <n v="40007443"/>
        <n v="40007444"/>
        <n v="40007446"/>
        <n v="40007447"/>
        <n v="40007448"/>
        <n v="40007450"/>
        <n v="40007451"/>
        <n v="40007452"/>
        <n v="40007453"/>
        <n v="40007454"/>
        <n v="40007455"/>
        <n v="40007456"/>
        <n v="40007457"/>
        <n v="40007458"/>
        <n v="40007461"/>
        <n v="40007462"/>
        <n v="40007463"/>
        <n v="40007464"/>
        <n v="40007465"/>
        <n v="40007466"/>
        <n v="40007467"/>
        <n v="40007468"/>
        <n v="40007469"/>
        <n v="40007470"/>
        <n v="40007471"/>
        <n v="40007472"/>
        <n v="40007474"/>
        <n v="40007475"/>
        <n v="40007476"/>
        <n v="40007478"/>
        <n v="40007479"/>
        <n v="40007480"/>
        <n v="40007481"/>
        <n v="40007482"/>
        <n v="40007483"/>
        <n v="40007485"/>
        <n v="40007486"/>
        <n v="40007487"/>
        <n v="40007489"/>
        <n v="40007490"/>
        <n v="40007492"/>
        <n v="40007493"/>
        <n v="40007494"/>
        <n v="40007496"/>
        <n v="40007497"/>
        <n v="40007498"/>
        <n v="40007499"/>
        <n v="40007500"/>
        <n v="40007502"/>
        <n v="40007503"/>
        <n v="40007504"/>
        <n v="40007505"/>
        <n v="40007506"/>
        <n v="40007507"/>
        <n v="40007508"/>
        <n v="40007509"/>
        <n v="40007512"/>
        <n v="40007516"/>
        <n v="40007517"/>
        <n v="40007518"/>
        <n v="40007519"/>
        <n v="40007520"/>
        <n v="40007522"/>
        <n v="40007523"/>
        <n v="40007524"/>
        <n v="40007525"/>
        <n v="40007526"/>
        <n v="40007527"/>
        <n v="40007528"/>
        <n v="40007529"/>
        <n v="40007530"/>
        <n v="40007571"/>
        <n v="40007531"/>
        <n v="40007532"/>
        <n v="40007556"/>
        <n v="40007557"/>
        <n v="40007558"/>
        <n v="40007559"/>
        <n v="40007560"/>
        <n v="40007561"/>
        <n v="40007562"/>
        <n v="40007563"/>
        <n v="40007567"/>
        <n v="40007568"/>
        <n v="40007569"/>
        <n v="40007575"/>
        <n v="40007576"/>
        <n v="40007577"/>
        <n v="40007579"/>
        <n v="40007580"/>
        <n v="40007581"/>
        <n v="40007582"/>
        <n v="40007583"/>
        <n v="40007584"/>
        <n v="40007585"/>
        <n v="40007586"/>
        <n v="40007587"/>
        <n v="40007588"/>
        <n v="40007590"/>
        <n v="40007593"/>
        <n v="40007597"/>
        <n v="40007598"/>
        <n v="40007599"/>
        <n v="40007601"/>
        <n v="40007602"/>
        <n v="40007603"/>
        <n v="40007604"/>
        <n v="40007605"/>
        <n v="40007606"/>
        <n v="40007607"/>
        <n v="40007608"/>
        <n v="40007609"/>
        <n v="40007610"/>
        <n v="40007611"/>
        <n v="40007612"/>
        <n v="40007613"/>
        <n v="40007614"/>
        <n v="40007615"/>
        <n v="40007617"/>
        <n v="40007618"/>
        <n v="40007619"/>
        <n v="40007621"/>
        <n v="40007622"/>
        <n v="40007623"/>
        <n v="40007630"/>
        <n v="40007631"/>
        <n v="40007633"/>
        <n v="40007635"/>
        <n v="40007636"/>
        <n v="40007637"/>
        <n v="40007638"/>
        <n v="40007639"/>
        <n v="40007640"/>
        <n v="40007641"/>
        <n v="40007642"/>
        <n v="40007643"/>
        <n v="40007644"/>
        <n v="40007645"/>
        <n v="40007646"/>
        <n v="40007647"/>
        <n v="40007648"/>
        <n v="40007649"/>
        <n v="40007659"/>
        <n v="40007651"/>
        <n v="40007652"/>
        <n v="40007653"/>
        <n v="40007654"/>
        <n v="40007655"/>
        <n v="40007656"/>
        <n v="40007657"/>
        <n v="40007660"/>
        <n v="40007661"/>
        <n v="40007662"/>
        <n v="40007666"/>
        <n v="40007667"/>
        <n v="40007668"/>
        <n v="40007669"/>
        <n v="40007670"/>
        <n v="40007671"/>
        <n v="40007682"/>
        <n v="40007683"/>
        <n v="40007684"/>
        <n v="40007685"/>
        <n v="40007686"/>
        <n v="40007688"/>
        <n v="40007689"/>
        <n v="40007690"/>
        <n v="40007691"/>
        <n v="40007692"/>
        <n v="40007693"/>
        <n v="40007694"/>
        <n v="40007695"/>
        <n v="40007696"/>
        <n v="40007698"/>
        <n v="40007699"/>
        <n v="40007701"/>
        <n v="40007700"/>
        <n v="40007704"/>
        <n v="40007705"/>
        <n v="40007708"/>
        <n v="40007709"/>
        <n v="40007710"/>
        <n v="40007711"/>
        <n v="40007712"/>
        <n v="40007713"/>
        <n v="40007714"/>
        <n v="40007715"/>
        <n v="40007716"/>
        <n v="40007717"/>
        <n v="40007718"/>
        <n v="40007719"/>
        <n v="40007720"/>
        <n v="40007721"/>
        <n v="40007722"/>
        <n v="40007723"/>
        <n v="40007724"/>
        <n v="40007725"/>
        <n v="40007726"/>
        <n v="40007727"/>
        <n v="40007732"/>
        <n v="40007733"/>
        <n v="40007734"/>
        <n v="40007735"/>
        <n v="40007736"/>
        <n v="40007737"/>
        <n v="40007739"/>
        <n v="40007740"/>
        <n v="40007741"/>
        <n v="40007742"/>
        <n v="40007743"/>
        <n v="40007744"/>
        <n v="40007747"/>
        <n v="40007748"/>
        <n v="40007749"/>
        <n v="40007750"/>
        <n v="40007751"/>
        <m/>
        <n v="40007753"/>
        <n v="40007754"/>
        <n v="40007755"/>
        <n v="40007756"/>
        <n v="40007757"/>
        <n v="40007758"/>
        <n v="40007759"/>
        <n v="40007760"/>
        <n v="40007761"/>
        <n v="40007762"/>
        <n v="40007765"/>
        <n v="40007766"/>
        <n v="40007767"/>
        <n v="40007768"/>
        <n v="40007769"/>
        <n v="40007770"/>
        <n v="40007771"/>
        <n v="40007774"/>
        <n v="40007775"/>
        <n v="40007776"/>
        <n v="40007777"/>
        <n v="40007778"/>
        <n v="40007779"/>
        <n v="40007781"/>
        <n v="40007782"/>
        <n v="40007783"/>
        <n v="40007784"/>
        <n v="40007785"/>
        <n v="40007786"/>
        <n v="40007787"/>
        <n v="40007788"/>
        <n v="40007789"/>
        <n v="40007790"/>
        <n v="40007791"/>
        <n v="40007792"/>
        <n v="40007793"/>
        <n v="40007794"/>
        <n v="40007795"/>
        <n v="40007797"/>
        <n v="40007798"/>
        <n v="40007799"/>
        <n v="40007800"/>
        <n v="40007801"/>
        <n v="40007802"/>
        <n v="40007803"/>
        <n v="40007804"/>
        <n v="40007805"/>
        <n v="40007806"/>
        <n v="40007807"/>
        <n v="40007808"/>
        <n v="40007810"/>
        <n v="40007811"/>
        <n v="40007812"/>
        <n v="40007813"/>
        <n v="40007814"/>
        <n v="40007815"/>
        <n v="40007817"/>
        <n v="40007818"/>
        <n v="40007819"/>
        <n v="40007820"/>
        <n v="40007821"/>
        <n v="40007822"/>
        <n v="40007823"/>
        <n v="40007824"/>
        <n v="40007825"/>
        <n v="40007826"/>
        <n v="40007827"/>
        <n v="40007828"/>
        <n v="40007829"/>
        <n v="40007830"/>
        <n v="40007832"/>
        <n v="40007833"/>
        <n v="40007834"/>
        <n v="40007835"/>
        <n v="40007836"/>
        <n v="40007837"/>
        <n v="40007838"/>
        <n v="40007839"/>
        <n v="40007846"/>
        <n v="40007847"/>
        <n v="40007848"/>
        <n v="40007849"/>
        <n v="40007850"/>
        <n v="40007851"/>
        <n v="40007852"/>
        <n v="40007853"/>
        <n v="40007854"/>
        <n v="40007871"/>
        <n v="40007872"/>
        <n v="40007873"/>
        <n v="40007877"/>
        <n v="40007878"/>
        <n v="40007879"/>
        <n v="40007880"/>
        <n v="40007881"/>
        <n v="40007882"/>
        <n v="40007883"/>
        <n v="40007884"/>
        <n v="40007885"/>
        <n v="40007886"/>
        <n v="40007888"/>
        <n v="40007889"/>
        <n v="40007890"/>
        <n v="40007891"/>
        <n v="40007892"/>
        <n v="40007893"/>
        <n v="40007894"/>
        <n v="40007895"/>
        <n v="40007896"/>
        <n v="40007899"/>
        <n v="40007900"/>
        <n v="40007901"/>
        <n v="40007902"/>
        <n v="40007904"/>
        <n v="40007905"/>
        <n v="40007906"/>
        <n v="40007907"/>
        <n v="40007908"/>
        <n v="40007909"/>
        <n v="40007910"/>
        <n v="40007911"/>
        <n v="40007912"/>
        <n v="40007913"/>
        <n v="40007914"/>
        <n v="40007915"/>
        <n v="40007916"/>
        <n v="40007917"/>
        <n v="40007918"/>
        <n v="40007922"/>
        <n v="40007919"/>
        <n v="40007920"/>
        <n v="40007921"/>
        <n v="40007923"/>
        <n v="40007924"/>
        <n v="40007925"/>
        <n v="40007926"/>
        <n v="40007927"/>
        <n v="40007928"/>
        <n v="40007929"/>
        <n v="40007930"/>
        <n v="40007931"/>
        <n v="40007932"/>
        <n v="40007933"/>
        <n v="40007934"/>
        <n v="40007935"/>
        <n v="40007936"/>
        <n v="40007937"/>
        <n v="40007938"/>
        <n v="40007939"/>
        <n v="40007940"/>
        <n v="40007941"/>
        <n v="40007942"/>
        <n v="40007943"/>
        <n v="40007944"/>
        <n v="40007945"/>
        <n v="40007946"/>
      </sharedItems>
    </cacheField>
    <cacheField name="k.docnumber" numFmtId="0">
      <sharedItems containsBlank="1" count="123">
        <s v="K/04/2025"/>
        <s v="Z/07/2025"/>
        <s v="L/08/2025"/>
        <s v="L/09/2025;6.25"/>
        <s v="L/09/2025"/>
        <s v="C/07/2025"/>
        <s v="F/09/2025"/>
        <s v="O/09/2025"/>
        <s v="Z/09/2025"/>
        <s v="C/08/2025"/>
        <s v="O/08/2025"/>
        <s v="Z/09/2025; PO25000018"/>
        <s v="L/09/2025; PO25000018"/>
        <s v="K/08/2025"/>
        <s v="K/08/2025 - # F10/25/AR"/>
        <s v="C/09/2025 - 6657"/>
        <s v="L/10/2025 - 6657"/>
        <s v="C/09/2025"/>
        <s v="F/10/2025"/>
        <s v="S/10/2025"/>
        <s v="Z/10/2025"/>
        <s v="K/09/2025 - # F11/25/AR"/>
        <s v="C/09/2025 - # F11/25/HO"/>
        <s v=" F/10/2025 - # F11/25/HO/a"/>
        <s v="F/11/2025; PO25000021"/>
        <s v="L/11/2025; PO25000021"/>
        <s v="L/10/2025"/>
        <s v="O/10/2025"/>
        <s v="W/09/2025"/>
        <s v="L/11/2025"/>
        <s v="K/09/2025"/>
        <s v="3P/10/2025"/>
        <s v="3P/12/2025"/>
        <s v="C/10/2025"/>
        <s v="W/10/2025"/>
        <s v="Z/11/2025"/>
        <s v="S/11/2025"/>
        <s v="F/12/2025"/>
        <s v="L/12/2025"/>
        <s v="Z/12/2025"/>
        <s v="S/12/2025"/>
        <s v="F/11/2025 - COM 2025-04"/>
        <s v="L/11/2025-PO -14457"/>
        <s v="3P/11/2025"/>
        <s v="Kasdorf/10/2025"/>
        <s v="Haps/10/2025"/>
        <s v="Opole/10/2025"/>
        <s v="F/11/2025"/>
        <s v="O/11/2025"/>
        <s v="F/12/2025; PO25000055"/>
        <s v="Z/12/2025; PO25000055"/>
        <s v="L/12/2025; PO25000055"/>
        <s v="WX/11/2025"/>
        <s v="L/10/2025 - AG3901"/>
        <s v="L/11/2025 - 4400002969"/>
        <s v="C/10/2025 - 4400002969"/>
        <s v="K/10/2025"/>
        <s v="C/11/2025"/>
        <s v="Haps/11/2025"/>
        <s v="L/01/2026"/>
        <s v="F/01/2026"/>
        <s v="P/11/2025"/>
        <s v="K/11/2025"/>
        <s v="W/11/2025"/>
        <s v="O/12/2025"/>
        <s v="C/12/2025"/>
        <s v="F/11/2025 - COUP539119"/>
        <s v="W/11/2025 - COUP539118"/>
        <s v="S/11/2025 - 4400003000"/>
        <s v="C/11/2025 - 4400003000"/>
        <s v="O/11/2025 - 4400003000"/>
        <s v=" S/12/2025 - 4400003001"/>
        <s v="C/12/2025 - 4400003001"/>
        <s v="O/12/2025 - 4400003001"/>
        <s v="C/11/2025-14684"/>
        <s v="F/01/2026; PO25000079"/>
        <s v="Z/01/2026; PO25000079"/>
        <s v="L/01/2026; PO25000079"/>
        <s v="Kasdorf/11/2025"/>
        <s v="Opole/11/2025"/>
        <s v="WX/12/2025"/>
        <s v="W/12/2025"/>
        <s v="O/01/2026"/>
        <s v="P/12/2025"/>
        <s v="WX/01/2026"/>
        <s v="3P/01/2026"/>
        <s v="Z/01/2026"/>
        <s v="S/01/2026"/>
        <s v="Z/02/2026; PO25000125"/>
        <s v="L/02/2026; PO25000125"/>
        <s v="C/01/2026"/>
        <s v="L/02/2026"/>
        <s v="L/09/2025 - PO 8820"/>
        <s v="3P/02/2026"/>
        <s v="K/12/2025"/>
        <s v="K/01/2026"/>
        <s v="Z/02/2026"/>
        <s v="F/02/2026"/>
        <s v="W/01/2026"/>
        <s v="V/01/2026"/>
        <s v="C/02/2026"/>
        <s v="S/02/2026"/>
        <s v="WX/02/2026"/>
        <s v="O/02/2026"/>
        <s v="O/01/2025"/>
        <s v="L/03/2026"/>
        <s v="F/03/2026; PO25000140"/>
        <s v="Z/03/2026; PO25000140"/>
        <s v="L/03/2026; PO25000140"/>
        <s v="3P/03/2026; PO25000140"/>
        <s v="P/01/2026"/>
        <s v="Kasdorf/01/2026"/>
        <s v="Haps/01/2026"/>
        <s v="O/03/2026"/>
        <s v="C/03/2026"/>
        <s v="W/02/2026"/>
        <s v="F/03/2026"/>
        <s v="Z/03/2026"/>
        <s v="S/03/2026"/>
        <s v="Z/12/2025; PO25000151"/>
        <s v="P/02/2026"/>
        <s v="K/02/2026"/>
        <m/>
      </sharedItems>
    </cacheField>
    <cacheField name="STATUS" numFmtId="0">
      <sharedItems containsBlank="1"/>
    </cacheField>
    <cacheField name="r.prijs_n" numFmtId="0">
      <sharedItems containsString="0" containsBlank="1" containsNumber="1" minValue="0" maxValue="4686.1499999999996"/>
    </cacheField>
    <cacheField name="r.prijs83" numFmtId="0">
      <sharedItems containsString="0" containsBlank="1" containsNumber="1" minValue="0" maxValue="4686.1499999999996"/>
    </cacheField>
    <cacheField name="Orange" numFmtId="0">
      <sharedItems containsNonDate="0" containsString="0" containsBlank="1"/>
    </cacheField>
    <cacheField name="paymentterm" numFmtId="0">
      <sharedItems containsBlank="1"/>
    </cacheField>
    <cacheField name="r.koers" numFmtId="0">
      <sharedItems containsString="0" containsBlank="1" containsNumber="1" minValue="0.85470085470085477" maxValue="1"/>
    </cacheField>
    <cacheField name="PO num" numFmtId="0">
      <sharedItems containsBlank="1" containsMixedTypes="1" containsNumber="1" containsInteger="1" minValue="4000" maxValue="4000"/>
    </cacheField>
    <cacheField name="Del wk 2" numFmtId="0">
      <sharedItems containsString="0" containsBlank="1" containsNumber="1" containsInteger="1" minValue="2" maxValue="52"/>
    </cacheField>
    <cacheField name="PO num2" numFmtId="0">
      <sharedItems containsBlank="1" containsMixedTypes="1" containsNumber="1" containsInteger="1" minValue="4000" maxValue="4000"/>
    </cacheField>
    <cacheField name="SO num and CC" numFmtId="0">
      <sharedItems containsBlank="1"/>
    </cacheField>
    <cacheField name="Quantity delivered" numFmtId="0">
      <sharedItems containsString="0" containsBlank="1" containsNumber="1" containsInteger="1" minValue="0" maxValue="0"/>
    </cacheField>
    <cacheField name="count" numFmtId="0">
      <sharedItems containsString="0" containsBlank="1" containsNumber="1" containsInteger="1" minValue="1" maxValue="6"/>
    </cacheField>
    <cacheField name="SO num and CC3" numFmtId="0">
      <sharedItems containsBlank="1"/>
    </cacheField>
    <cacheField name="SO num, CC, count" numFmtId="0">
      <sharedItems containsBlank="1"/>
    </cacheField>
    <cacheField name="copy status" numFmtId="0">
      <sharedItems containsBlank="1"/>
    </cacheField>
    <cacheField name="Loading DATE" numFmtId="14">
      <sharedItems containsNonDate="0" containsDate="1" containsString="0" containsBlank="1" minDate="2025-11-20T00:00:00" maxDate="2026-05-30T00:00:00" count="26">
        <d v="2025-11-21T00:00:00"/>
        <d v="2025-11-27T00:00:00"/>
        <d v="2025-12-05T00:00:00"/>
        <d v="2025-11-28T00:00:00"/>
        <d v="2025-12-18T00:00:00"/>
        <d v="2025-12-19T00:00:00"/>
        <d v="2025-12-12T00:00:00"/>
        <d v="2026-01-23T00:00:00"/>
        <d v="2025-12-11T00:00:00"/>
        <d v="2026-01-09T00:00:00"/>
        <d v="2025-12-26T00:00:00"/>
        <d v="2026-01-30T00:00:00"/>
        <d v="2025-11-20T00:00:00"/>
        <d v="2026-01-16T00:00:00"/>
        <d v="2025-12-04T00:00:00"/>
        <d v="2026-02-06T00:00:00"/>
        <d v="2026-03-27T00:00:00"/>
        <d v="2026-01-29T00:00:00"/>
        <d v="2026-02-27T00:00:00"/>
        <d v="2026-01-31T00:00:00"/>
        <d v="2025-11-30T00:00:00"/>
        <d v="2026-04-24T00:00:00"/>
        <d v="2026-02-20T00:00:00"/>
        <d v="2026-01-28T00:00:00"/>
        <d v="2026-05-29T00:00:00"/>
        <m/>
      </sharedItems>
    </cacheField>
    <cacheField name="GSV" numFmtId="0">
      <sharedItems containsString="0" containsBlank="1" containsNumber="1" minValue="0" maxValue="786309.11999999988"/>
    </cacheField>
    <cacheField name="Performance bonus" numFmtId="0">
      <sharedItems containsString="0" containsBlank="1" containsNumber="1" minValue="0" maxValue="3.0999999999999934"/>
    </cacheField>
    <cacheField name="Trade support" numFmtId="0">
      <sharedItems containsString="0" containsBlank="1" containsNumber="1" minValue="0" maxValue="13.830499999999999"/>
    </cacheField>
    <cacheField name="CANN_per_tu" numFmtId="0">
      <sharedItems containsString="0" containsBlank="1" containsNumber="1" minValue="0" maxValue="4686.1499999999996"/>
    </cacheField>
    <cacheField name="CANN_tot" numFmtId="0">
      <sharedItems containsString="0" containsBlank="1" containsNumber="1" minValue="0" maxValue="786309.11999999988"/>
    </cacheField>
    <cacheField name="CS" numFmtId="0">
      <sharedItems containsBlank="1" count="9">
        <s v="luiza.maffini@danone.com"/>
        <s v="yuen.wei@danone.com"/>
        <s v="ecem.esen@danone.com"/>
        <s v="Igor.Ponomarev@danone.com"/>
        <s v="marisol.goncalves@danone.com"/>
        <s v="ziyad.bouchachia@danone.com"/>
        <s v="marisol.goncalves@danone.com "/>
        <s v="ankit.Karwa@danone.com"/>
        <m/>
      </sharedItems>
    </cacheField>
    <cacheField name="PL" numFmtId="0">
      <sharedItems containsBlank="1" count="7">
        <s v="Fiorella.KROL-ESTELA@danone.com"/>
        <s v="Stefano.GIRARDI@danone.com"/>
        <s v="Daniela.GARCIA@danone.com"/>
        <s v="peter.amthor@danone.com"/>
        <s v="Irina.ARIG@danone.com"/>
        <s v="Olena.DIDKIVSKA@danone.com"/>
        <m/>
      </sharedItems>
    </cacheField>
    <cacheField name="Email to" numFmtId="0">
      <sharedItems containsBlank="1" count="50" longText="1">
        <s v="sussyroman@lqf.com.py; fretesl@lqf.com.py; bernalb@lqf.com.py"/>
        <s v="miroslav.stisovic@kibid.rs; aleksandar.popovic@kibid.rs"/>
        <s v="alejandro.orozco@stendhalpharma.com; raul.avila@stendhalpharma.com; eduardo.alanis@stendhalpharma.com; barbara.mendez@stendhalpharma.com"/>
        <s v="Cgaoni@megapharm.co.il; shirleys@megapharm.co.il; sigalitr@megapharm.co.il"/>
        <s v="ysuwalsky@generalbiotec.cl;vanessa@generalbiotec.cl"/>
        <s v="mario.mandic@euromand.com"/>
        <s v="petra.spelic@kefo.si; tatjana.bucar@kefo.si"/>
        <s v="maja.pavkovic@g-m-pharma.hr"/>
        <s v="agarcia@novophar.com.uy; calen@novophar.com.uy"/>
        <s v="jvzambrano@ecuaquimica.com.ec"/>
        <s v="glafkos.georgiades@msjgroup.com; Christina.jacovides@msjgroup.com; Birgit.Terezopoullos@msjgroup.com ; Eleni.Stavrinou@msjgroup.com"/>
        <s v="albina.sheralieva@ayvengroup.com "/>
        <s v="r_estrada@gbdist.com.ph; cathy_sison@gbdist.com.ph; mark_ramos@gbdist.com.ph"/>
        <s v="Olena.DIDKIVSKA@danone.com; ecem.esen@danone.com; JHHernandez@zuelligpharma.com; rocky.vasquez1988@gmail.com; RACustodio@zuelligpharma.com"/>
        <s v="diana.raspopa@felicia.md; Olesea.Onea@felicia.md"/>
        <s v="andres.tedesqui@inti.com.bo ; andrea.fruchter@inti.com.bo; celeste.perez@inti.com.bo; jhimmy.rios@inti.com.bo"/>
        <s v="aduanascoin@cimberton.com, esthercastrosv70@gmail.com, agencia.betania@gmail.com, gvelasco@cimberton.com, logisticacoin@cimberton.com"/>
        <s v="tstanoykova@axxon-bg.com; ekostadinova@axxon-bg.com"/>
        <s v="maarten.deurloo@sekat-curacao.com"/>
        <s v="mziuri@mziuri.com.ge ; a.chkhaidze@mziuri.com.ge ; E.Kurtanidze@mziuri.com.ge ; M.Javakhia@mziuri.com.ge ; L.Kibabidze@mziuri.com.ge; d.tsagareishvili@mziuri.com.ge"/>
        <s v="nutrisur@live.com"/>
        <s v="anamarija.medizevec@merit-hp.si;vika.pucko@merit-international.si;pia.kozinc@merit-international.si;ksenija.vucko@merit-international.si"/>
        <s v="mattwk03@eibe.co.kr; yh.kim@eibe.co.kr; leejh9@eibe.co.kr; jong1357@eibe.co.kr"/>
        <s v="karen.avetiqyan1@slavgroup.am;"/>
        <s v="logistics@pemix.com.mt"/>
        <s v="v.mazoor@stgroup.az"/>
        <s v="importaciones@elitebrands.com.sv; auxiliarimport2@elitebrands.com.sv; compras@elitebrands.com.sv"/>
        <s v="Emili Santbeharry &lt;esantbeharry@beepats.com&gt; "/>
        <s v="fmarin@nutricare.co.cr; scm@nutricare.co.cr; planificacion@nutricare.co.cr; "/>
        <s v="bpuga@scienza.com.uy"/>
        <s v="a.regulatorios@drogueriasaro.com;  e.colon@drogueriasaro.com; gerencia.logistica@drogueriasaro.com; jsaval@drogueriasaro.com; fvelasquez@drogueriasaro.com; importaciones.trafico@drogueriasaro.com"/>
        <s v="administracion@agefinsa.com.gt; importaciones2@agefinsa.com.gt ; m.estrada@agefinsa.com.gt ; m.flores@agefinsa.com.gt"/>
        <s v="crisleidy.crucey@empresasnajri.com;yahyra.polanco@empresasnajri.com;giselle.quinones@empresasnajri.com;adriana.gonzalez@empresasnajri.com "/>
        <s v="tulga.e@nanointernational.mn; ariunzaya.ba@nanointernational.mn "/>
        <s v="pharmanutrition.cpalacios@gmail.com"/>
        <s v="logistics.jm@massydistribution.com"/>
        <s v="Stock Maison Apollon &lt;stock@maisonapollon.com&gt;"/>
        <s v="Williams@darley.lk"/>
        <s v="pljubas@awt.hr ; dpejak@awt.hr"/>
        <s v="bylee@malltail.de ; kmkwak@malltail.de "/>
        <s v="rorenstudio@gmail.com; rorenstudioj@gmail.com; rorenstudioh@gmail.com; rorenstudiolgr@gmail.com; rorenstudiolsg@gmail.com ; rorenstudiohye@gmail.com"/>
        <s v="lewang1@coupang.com ; hkjikguIM@coupang.com ; jokwok@coupang.com; cazhang2@coupang.com; wewei2@coupang.com"/>
        <s v="logistic@axxon.mk"/>
        <s v="Leonardo Larramendi &lt;llarramendi@scienza.com.uy&gt;;Belen Puga &lt;bpuga@scienza.com.uy&gt;; "/>
        <s v="llicona@farinter.hn; planning@farinter.hn; rfigueroa@farinter.hn; kservellon@farinter.hn"/>
        <s v="mireladisho@outlook.com; m_ariabal11@hotmail.com "/>
        <s v="Andrey.z@rosellagroup.com"/>
        <s v="Rasha Mousaed [HSA Trading] &lt;rasha.mousaed@hsa.com.ye&gt;; Talal Nageeb [HSA Trading] &lt;Talal.Nageeb@HSA.com.ye&gt;; Nasrien Thabet [HSA Trading] &lt;Nasrien.Thabet@HSA.com.ye&gt;; Yasmin Ahmed [HSA Trading] &lt;Yasmin.Ahmed@HSA.com.ye&gt;; Tawfik Derhem [HSA Trading] &lt;tawfik.derhem@HSA.com.ye&gt;; KOVAL Volodymyr &lt;Volodymyr.KOVAL@danone.com&gt;; Abdulaleem Hasn [HSA Trading] &lt;Abdulaleem.hasn@HSA.com.ye&gt;"/>
        <s v="saudibert@gibtelecom.net"/>
        <m/>
      </sharedItems>
    </cacheField>
    <cacheField name="Email cc" numFmtId="0">
      <sharedItems containsBlank="1" count="23">
        <s v="luiza.maffini@danone.com;luiza.maffini@danone.com ; Fiorella.KROL-ESTELA@danone.com"/>
        <s v="yuen.wei@danone.com;milos.stoiljkovic@danone.com;drasko.pekovic@kibid.rs;asli.kocabasoglu@danone.com"/>
        <s v="ecem.esen@danone.com;Daniela.GARCIA@danone.com"/>
        <s v="Igor.Ponomarev@danone.com;peter.amthor@danone.com"/>
        <s v="marisol.goncalves@danone.com;danieladukes@generalbiotec.cl; fiorella.krol-estela@danone.com"/>
        <s v="yuen.wei@danone.com;milos.stoiljkovic@danone.com;asli.kocabasoglu@danone.com"/>
        <s v="ziyad.bouchachia@danone.com;milos.stoiljkovic@danone.com"/>
        <s v="marisol.goncalves@danone.com;fiorella.krol-estela@danone.com"/>
        <s v="marisol.goncalves@danone.com ;mmorales@ecuaquimica.com.ec; sespinoza@ecuaquimica.com.ec"/>
        <s v="ziyad.bouchachia@danone.com;Michael.VON-SPRINGER@danone.com"/>
        <s v="Igor.Ponomarev@danone.com;Irina.ARIG@danone.com"/>
        <s v="ecem.esen@danone.com;Geffrey.TIU@danone.com ; Olena.DIDKIVSKA@danone.com"/>
        <s v="luiza.maffini@danone.com;luiza.maffini@danone.com  ; Fiorella.KROL-ESTELA@danone.com"/>
        <s v="luiza.maffini@danone.com;luiza.maffini@danone.com ; daniela.garcia@danone.com"/>
        <s v="ecem.esen@danone.com;Nam-Ku.PARK@danone.com; Kelly.HWANG@danone.com; Olena.DIDKIVSKA@danone.com"/>
        <s v="ziyad.bouchachia@danone.com;Asli.KOCABASOGLU@danone.com"/>
        <s v="marisol.goncalves@danone.com;Daniela.GARCIA@danone.com"/>
        <s v="marisol.goncalves@danone.com;llarramendi@scienza.com.uy; calbera@scienza.com.ar"/>
        <s v="marisol.goncalves@danone.com;diego.santoliva@danone.com; KROL ESTELA Fiorella &lt;Fiorella.KROL-ESTELA@danone.com&gt;"/>
        <s v="marisol.goncalves@danone.com;masa@maisonapollon.com; mapollon@maisonapollon.com"/>
        <s v="ankit.Karwa@danone.com;Irina.ARIG@danone.com"/>
        <s v="marisol.goncalves@danone.com;mmorales@ecuaquimica.com.ec; sespinoza@ecuaquimica.com.ec"/>
        <m/>
      </sharedItems>
    </cacheField>
    <cacheField name="Auto?" numFmtId="0">
      <sharedItems containsBlank="1"/>
    </cacheField>
  </cacheFields>
  <extLst>
    <ext xmlns:x14="http://schemas.microsoft.com/office/spreadsheetml/2009/9/main" uri="{725AE2AE-9491-48be-B2B4-4EB974FC3084}">
      <x14:pivotCacheDefinition pivotCacheId="1250476092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ibe" refreshedDate="45992.405744444448" createdVersion="8" refreshedVersion="8" minRefreshableVersion="3" recordCount="42" xr:uid="{D9CBA262-9551-4F17-B25E-F48E266CF6A1}">
  <cacheSource type="worksheet">
    <worksheetSource ref="A1:O43" sheet="Sheet1"/>
  </cacheSource>
  <cacheFields count="15">
    <cacheField name="Loading Date" numFmtId="0">
      <sharedItems containsSemiMixedTypes="0" containsString="0" containsNumber="1" containsInteger="1" minValue="45989" maxValue="46080"/>
    </cacheField>
    <cacheField name="Distributor" numFmtId="0">
      <sharedItems containsBlank="1"/>
    </cacheField>
    <cacheField name="country" numFmtId="0">
      <sharedItems containsBlank="1"/>
    </cacheField>
    <cacheField name="PL" numFmtId="0">
      <sharedItems containsBlank="1"/>
    </cacheField>
    <cacheField name="CS" numFmtId="0">
      <sharedItems containsBlank="1"/>
    </cacheField>
    <cacheField name="Sales_Order" numFmtId="0">
      <sharedItems containsSemiMixedTypes="0" containsString="0" containsNumber="1" containsInteger="1" minValue="111709" maxValue="112401"/>
    </cacheField>
    <cacheField name="k.docnumber" numFmtId="0">
      <sharedItems/>
    </cacheField>
    <cacheField name="description" numFmtId="0">
      <sharedItems containsSemiMixedTypes="0" containsString="0" containsNumber="1" containsInteger="1" minValue="40007175" maxValue="40007880"/>
    </cacheField>
    <cacheField name="r.artcode" numFmtId="0">
      <sharedItems containsSemiMixedTypes="0" containsString="0" containsNumber="1" containsInteger="1" minValue="116180" maxValue="701775"/>
    </cacheField>
    <cacheField name="product_description" numFmtId="0">
      <sharedItems count="14">
        <s v="NEOCATE LCP UPGRADE3 6X400G UK IE"/>
        <s v="MSUD MAXAMUM UNFLAV 3 X 500"/>
        <s v="ELEMENTAL 028 EXTRA BANANA 10X100G UK"/>
        <s v="SS DUOCAL 6X400G MULTI"/>
        <s v="GA1 A/MIX JR UNF 6 X 400G MLL"/>
        <s v="PK AID 4 3X500G UK"/>
        <s v="TYR ANAMIX INF+MET 3X400G MLL1 (L)"/>
        <s v="APTAMIL PEPTI SYNEO 1, DE 12X400G"/>
        <s v="NUTRICIA LORENZO'S OIL 12X500ML GB/DE"/>
        <s v="NKH ANAMIX INFANT 3X400G MLL1"/>
        <s v="MSUD ANAMIX JR UNF 6 X 400G MLL"/>
        <s v="GA1 ANAMIX INFANT 3X400G MLL2 (L)"/>
        <s v="LOCASOL 6X400G INT"/>
        <s v="BASIC-F 6X300G INT"/>
      </sharedItems>
    </cacheField>
    <cacheField name="ordered_tu" numFmtId="0">
      <sharedItems containsSemiMixedTypes="0" containsString="0" containsNumber="1" containsInteger="1" minValue="4" maxValue="756"/>
    </cacheField>
    <cacheField name="CU" numFmtId="0">
      <sharedItems containsSemiMixedTypes="0" containsString="0" containsNumber="1" containsInteger="1" minValue="3" maxValue="12"/>
    </cacheField>
    <cacheField name="수량" numFmtId="0">
      <sharedItems containsSemiMixedTypes="0" containsString="0" containsNumber="1" containsInteger="1" minValue="48" maxValue="4536"/>
    </cacheField>
    <cacheField name="Loading DATE2" numFmtId="14">
      <sharedItems containsSemiMixedTypes="0" containsNonDate="0" containsDate="1" containsString="0" minDate="2025-11-28T00:00:00" maxDate="2026-02-28T00:00:00"/>
    </cacheField>
    <cacheField name="도착 예정" numFmtId="179">
      <sharedItems containsDate="1" containsMixedTypes="1" minDate="2026-02-26T00:00:00" maxDate="2026-05-29T00:00:00" count="10">
        <s v="2월"/>
        <s v="1월"/>
        <s v="3월"/>
        <s v="4월"/>
        <s v="5월"/>
        <d v="2026-02-26T00:00:00" u="1"/>
        <d v="2026-03-11T00:00:00" u="1"/>
        <d v="2026-03-12T00:00:00" u="1"/>
        <d v="2026-04-30T00:00:00" u="1"/>
        <d v="2026-05-28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n v="45989"/>
    <s v="EIBE Co., Ltd."/>
    <s v="South-Korea"/>
    <s v="Olena.DIDKIVSKA@danone.com"/>
    <s v="ecem.esen@danone.com"/>
    <n v="111709"/>
    <s v="L/11/2025"/>
    <n v="40007175"/>
    <n v="701775"/>
    <x v="0"/>
    <n v="756"/>
    <n v="6"/>
    <n v="4536"/>
    <d v="2025-11-28T00:00:00"/>
    <x v="0"/>
  </r>
  <r>
    <n v="45989"/>
    <m/>
    <m/>
    <m/>
    <m/>
    <n v="111717"/>
    <s v="L/10/2025"/>
    <n v="40007182"/>
    <n v="116180"/>
    <x v="1"/>
    <n v="29"/>
    <n v="3"/>
    <n v="87"/>
    <d v="2025-11-28T00:00:00"/>
    <x v="1"/>
  </r>
  <r>
    <n v="45989"/>
    <m/>
    <m/>
    <m/>
    <m/>
    <n v="111717"/>
    <s v="L/10/2025"/>
    <n v="40007182"/>
    <n v="116180"/>
    <x v="1"/>
    <n v="67"/>
    <n v="3"/>
    <n v="201"/>
    <d v="2025-11-28T00:00:00"/>
    <x v="1"/>
  </r>
  <r>
    <n v="45989"/>
    <m/>
    <m/>
    <m/>
    <m/>
    <n v="111717"/>
    <s v="L/10/2025"/>
    <n v="40007182"/>
    <n v="578785"/>
    <x v="2"/>
    <n v="74"/>
    <n v="10"/>
    <n v="74"/>
    <d v="2025-11-28T00:00:00"/>
    <x v="1"/>
  </r>
  <r>
    <n v="45989"/>
    <m/>
    <m/>
    <m/>
    <m/>
    <n v="111896"/>
    <s v="L/12/2025"/>
    <n v="40007370"/>
    <n v="116180"/>
    <x v="1"/>
    <n v="20"/>
    <n v="3"/>
    <n v="60"/>
    <d v="2025-11-28T00:00:00"/>
    <x v="2"/>
  </r>
  <r>
    <n v="45989"/>
    <m/>
    <m/>
    <m/>
    <m/>
    <n v="111896"/>
    <s v="L/12/2025"/>
    <n v="40007370"/>
    <n v="117547"/>
    <x v="3"/>
    <n v="54"/>
    <n v="6"/>
    <n v="324"/>
    <d v="2025-11-28T00:00:00"/>
    <x v="2"/>
  </r>
  <r>
    <n v="45989"/>
    <m/>
    <m/>
    <m/>
    <m/>
    <n v="111896"/>
    <s v="L/12/2025"/>
    <n v="40007370"/>
    <n v="589462"/>
    <x v="4"/>
    <n v="11"/>
    <n v="6"/>
    <n v="66"/>
    <d v="2025-11-28T00:00:00"/>
    <x v="2"/>
  </r>
  <r>
    <n v="45989"/>
    <m/>
    <m/>
    <m/>
    <m/>
    <n v="111896"/>
    <s v="L/12/2025"/>
    <n v="40007370"/>
    <n v="117771"/>
    <x v="5"/>
    <n v="20"/>
    <n v="3"/>
    <n v="60"/>
    <d v="2025-11-28T00:00:00"/>
    <x v="2"/>
  </r>
  <r>
    <n v="45989"/>
    <m/>
    <m/>
    <m/>
    <m/>
    <n v="111897"/>
    <s v="L/11/2025"/>
    <n v="40007371"/>
    <n v="646546"/>
    <x v="6"/>
    <n v="23"/>
    <n v="3"/>
    <n v="69"/>
    <d v="2025-11-28T00:00:00"/>
    <x v="0"/>
  </r>
  <r>
    <n v="45989"/>
    <m/>
    <m/>
    <m/>
    <m/>
    <n v="111897"/>
    <s v="L/11/2025"/>
    <n v="40007371"/>
    <n v="116180"/>
    <x v="1"/>
    <n v="20"/>
    <n v="3"/>
    <n v="60"/>
    <d v="2025-11-28T00:00:00"/>
    <x v="0"/>
  </r>
  <r>
    <n v="45989"/>
    <m/>
    <m/>
    <m/>
    <m/>
    <n v="111897"/>
    <s v="L/11/2025"/>
    <n v="40007371"/>
    <n v="117547"/>
    <x v="3"/>
    <n v="54"/>
    <n v="6"/>
    <n v="324"/>
    <d v="2025-11-28T00:00:00"/>
    <x v="0"/>
  </r>
  <r>
    <n v="45989"/>
    <m/>
    <m/>
    <m/>
    <m/>
    <n v="111897"/>
    <s v="L/11/2025"/>
    <n v="40007371"/>
    <n v="117771"/>
    <x v="5"/>
    <n v="20"/>
    <n v="3"/>
    <n v="60"/>
    <d v="2025-11-28T00:00:00"/>
    <x v="0"/>
  </r>
  <r>
    <n v="45989"/>
    <m/>
    <m/>
    <m/>
    <m/>
    <n v="111898"/>
    <s v="C/11/2025"/>
    <n v="40007372"/>
    <n v="645380"/>
    <x v="7"/>
    <n v="72"/>
    <n v="12"/>
    <n v="864"/>
    <d v="2025-11-28T00:00:00"/>
    <x v="0"/>
  </r>
  <r>
    <n v="46002"/>
    <s v="EIBE Co., Ltd."/>
    <s v="South-Korea"/>
    <s v="Olena.DIDKIVSKA@danone.com"/>
    <s v="ecem.esen@danone.com"/>
    <n v="111715"/>
    <s v="3P/10/2025"/>
    <n v="40007180"/>
    <n v="691217"/>
    <x v="8"/>
    <n v="4"/>
    <n v="12"/>
    <n v="48"/>
    <d v="2025-12-11T00:00:00"/>
    <x v="1"/>
  </r>
  <r>
    <n v="46003"/>
    <s v="EIBE Co., Ltd."/>
    <s v="South-Korea"/>
    <s v="Olena.DIDKIVSKA@danone.com"/>
    <s v="ecem.esen@danone.com"/>
    <n v="111896"/>
    <s v="L/12/2025"/>
    <n v="40007370"/>
    <n v="701775"/>
    <x v="0"/>
    <n v="432"/>
    <n v="6"/>
    <n v="2592"/>
    <d v="2025-12-12T00:00:00"/>
    <x v="2"/>
  </r>
  <r>
    <n v="46052"/>
    <s v="EIBE Co., Ltd."/>
    <s v="South-Korea"/>
    <s v="Olena.DIDKIVSKA@danone.com"/>
    <s v="ecem.esen@danone.com"/>
    <n v="112125"/>
    <s v="L/01/2026"/>
    <n v="40007602"/>
    <n v="701775"/>
    <x v="0"/>
    <n v="432"/>
    <n v="6"/>
    <n v="2592"/>
    <d v="2026-01-30T00:00:00"/>
    <x v="3"/>
  </r>
  <r>
    <n v="46052"/>
    <m/>
    <m/>
    <m/>
    <m/>
    <n v="112179"/>
    <s v="L/01/2026"/>
    <n v="40007653"/>
    <n v="646546"/>
    <x v="6"/>
    <n v="45"/>
    <n v="3"/>
    <n v="135"/>
    <d v="2026-01-30T00:00:00"/>
    <x v="3"/>
  </r>
  <r>
    <n v="46052"/>
    <m/>
    <m/>
    <m/>
    <m/>
    <n v="112179"/>
    <s v="L/01/2026"/>
    <n v="40007653"/>
    <n v="646567"/>
    <x v="9"/>
    <n v="23"/>
    <n v="3"/>
    <n v="69"/>
    <d v="2026-01-30T00:00:00"/>
    <x v="3"/>
  </r>
  <r>
    <n v="46052"/>
    <m/>
    <m/>
    <m/>
    <m/>
    <n v="112179"/>
    <s v="L/01/2026"/>
    <n v="40007653"/>
    <n v="116180"/>
    <x v="1"/>
    <n v="30"/>
    <n v="3"/>
    <n v="90"/>
    <d v="2026-01-30T00:00:00"/>
    <x v="3"/>
  </r>
  <r>
    <n v="46052"/>
    <m/>
    <m/>
    <m/>
    <m/>
    <n v="112179"/>
    <s v="L/01/2026"/>
    <n v="40007653"/>
    <n v="589466"/>
    <x v="10"/>
    <n v="30"/>
    <n v="6"/>
    <n v="180"/>
    <d v="2026-01-30T00:00:00"/>
    <x v="3"/>
  </r>
  <r>
    <n v="46052"/>
    <m/>
    <m/>
    <m/>
    <m/>
    <n v="112179"/>
    <s v="L/01/2026"/>
    <n v="40007653"/>
    <n v="117547"/>
    <x v="3"/>
    <n v="60"/>
    <n v="6"/>
    <n v="360"/>
    <d v="2026-01-30T00:00:00"/>
    <x v="3"/>
  </r>
  <r>
    <n v="46052"/>
    <m/>
    <m/>
    <m/>
    <m/>
    <n v="112179"/>
    <s v="L/01/2026"/>
    <n v="40007653"/>
    <n v="646548"/>
    <x v="11"/>
    <n v="20"/>
    <n v="3"/>
    <n v="60"/>
    <d v="2026-01-30T00:00:00"/>
    <x v="3"/>
  </r>
  <r>
    <n v="46052"/>
    <m/>
    <m/>
    <m/>
    <m/>
    <n v="112179"/>
    <s v="L/01/2026"/>
    <n v="40007653"/>
    <n v="589462"/>
    <x v="4"/>
    <n v="10"/>
    <n v="6"/>
    <n v="60"/>
    <d v="2026-01-30T00:00:00"/>
    <x v="3"/>
  </r>
  <r>
    <n v="46052"/>
    <m/>
    <m/>
    <m/>
    <m/>
    <n v="112179"/>
    <s v="L/01/2026"/>
    <n v="40007653"/>
    <n v="117771"/>
    <x v="5"/>
    <n v="40"/>
    <n v="3"/>
    <n v="120"/>
    <d v="2026-01-30T00:00:00"/>
    <x v="3"/>
  </r>
  <r>
    <n v="46052"/>
    <m/>
    <m/>
    <m/>
    <m/>
    <n v="112180"/>
    <s v="3P/01/2026"/>
    <n v="40007654"/>
    <n v="691217"/>
    <x v="8"/>
    <n v="11"/>
    <n v="12"/>
    <n v="132"/>
    <d v="2026-01-30T00:00:00"/>
    <x v="3"/>
  </r>
  <r>
    <n v="46052"/>
    <m/>
    <m/>
    <m/>
    <m/>
    <n v="112181"/>
    <s v="F/01/2026"/>
    <n v="40007655"/>
    <n v="695413"/>
    <x v="12"/>
    <n v="20"/>
    <n v="6"/>
    <n v="120"/>
    <d v="2026-01-30T00:00:00"/>
    <x v="3"/>
  </r>
  <r>
    <n v="46052"/>
    <m/>
    <m/>
    <m/>
    <m/>
    <n v="112181"/>
    <s v="F/01/2026"/>
    <n v="40007655"/>
    <n v="699883"/>
    <x v="13"/>
    <n v="15"/>
    <n v="6"/>
    <n v="90"/>
    <d v="2026-01-30T00:00:00"/>
    <x v="3"/>
  </r>
  <r>
    <n v="46052"/>
    <m/>
    <m/>
    <m/>
    <m/>
    <n v="112182"/>
    <s v="C/01/2026"/>
    <n v="40007656"/>
    <n v="645380"/>
    <x v="7"/>
    <n v="144"/>
    <n v="12"/>
    <n v="1728"/>
    <d v="2026-01-30T00:00:00"/>
    <x v="3"/>
  </r>
  <r>
    <n v="46080"/>
    <s v="EIBE Co., Ltd."/>
    <s v="South-Korea"/>
    <s v="Olena.DIDKIVSKA@danone.com"/>
    <s v="ecem.esen@danone.com"/>
    <n v="112183"/>
    <s v="L/02/2026"/>
    <n v="40007657"/>
    <n v="701775"/>
    <x v="0"/>
    <n v="324"/>
    <n v="6"/>
    <n v="1944"/>
    <d v="2026-02-27T00:00:00"/>
    <x v="4"/>
  </r>
  <r>
    <n v="46080"/>
    <m/>
    <m/>
    <m/>
    <m/>
    <n v="112398"/>
    <s v="L/02/2026"/>
    <n v="40007877"/>
    <n v="646546"/>
    <x v="6"/>
    <n v="55"/>
    <n v="3"/>
    <n v="165"/>
    <d v="2026-02-27T00:00:00"/>
    <x v="4"/>
  </r>
  <r>
    <n v="46080"/>
    <m/>
    <m/>
    <m/>
    <m/>
    <n v="112398"/>
    <s v="L/02/2026"/>
    <n v="40007877"/>
    <n v="646567"/>
    <x v="9"/>
    <n v="53"/>
    <n v="3"/>
    <n v="159"/>
    <d v="2026-02-27T00:00:00"/>
    <x v="4"/>
  </r>
  <r>
    <n v="46080"/>
    <m/>
    <m/>
    <m/>
    <m/>
    <n v="112398"/>
    <s v="L/02/2026"/>
    <n v="40007877"/>
    <n v="116180"/>
    <x v="1"/>
    <n v="245"/>
    <n v="3"/>
    <n v="735"/>
    <d v="2026-02-27T00:00:00"/>
    <x v="4"/>
  </r>
  <r>
    <n v="46080"/>
    <m/>
    <m/>
    <m/>
    <m/>
    <n v="112398"/>
    <s v="L/02/2026"/>
    <n v="40007877"/>
    <n v="589466"/>
    <x v="10"/>
    <n v="55"/>
    <n v="6"/>
    <n v="330"/>
    <d v="2026-02-27T00:00:00"/>
    <x v="4"/>
  </r>
  <r>
    <n v="46080"/>
    <m/>
    <m/>
    <m/>
    <m/>
    <n v="112398"/>
    <s v="L/02/2026"/>
    <n v="40007877"/>
    <n v="117547"/>
    <x v="3"/>
    <n v="40"/>
    <n v="6"/>
    <n v="240"/>
    <d v="2026-02-27T00:00:00"/>
    <x v="4"/>
  </r>
  <r>
    <n v="46080"/>
    <m/>
    <m/>
    <m/>
    <m/>
    <n v="112398"/>
    <s v="L/02/2026"/>
    <n v="40007877"/>
    <n v="646548"/>
    <x v="11"/>
    <n v="46"/>
    <n v="3"/>
    <n v="138"/>
    <d v="2026-02-27T00:00:00"/>
    <x v="4"/>
  </r>
  <r>
    <n v="46080"/>
    <m/>
    <m/>
    <m/>
    <m/>
    <n v="112398"/>
    <s v="L/02/2026"/>
    <n v="40007877"/>
    <n v="589462"/>
    <x v="4"/>
    <n v="22"/>
    <n v="6"/>
    <n v="132"/>
    <d v="2026-02-27T00:00:00"/>
    <x v="4"/>
  </r>
  <r>
    <n v="46080"/>
    <m/>
    <m/>
    <m/>
    <m/>
    <n v="112398"/>
    <s v="L/02/2026"/>
    <n v="40007877"/>
    <n v="578785"/>
    <x v="2"/>
    <n v="331"/>
    <n v="10"/>
    <n v="331"/>
    <d v="2026-02-27T00:00:00"/>
    <x v="4"/>
  </r>
  <r>
    <n v="46080"/>
    <m/>
    <m/>
    <m/>
    <m/>
    <n v="112398"/>
    <s v="L/02/2026"/>
    <n v="40007877"/>
    <n v="117771"/>
    <x v="5"/>
    <n v="68"/>
    <n v="3"/>
    <n v="204"/>
    <d v="2026-02-27T00:00:00"/>
    <x v="4"/>
  </r>
  <r>
    <n v="46080"/>
    <m/>
    <m/>
    <m/>
    <m/>
    <n v="112399"/>
    <s v="3P/02/2026"/>
    <n v="40007878"/>
    <n v="691217"/>
    <x v="8"/>
    <n v="7"/>
    <n v="12"/>
    <n v="84"/>
    <d v="2026-02-27T00:00:00"/>
    <x v="4"/>
  </r>
  <r>
    <n v="46080"/>
    <m/>
    <m/>
    <m/>
    <m/>
    <n v="112400"/>
    <s v="F/02/2026"/>
    <n v="40007879"/>
    <n v="695413"/>
    <x v="12"/>
    <n v="16"/>
    <n v="6"/>
    <n v="96"/>
    <d v="2026-02-27T00:00:00"/>
    <x v="4"/>
  </r>
  <r>
    <n v="46080"/>
    <m/>
    <m/>
    <m/>
    <m/>
    <n v="112400"/>
    <s v="F/02/2026"/>
    <n v="40007879"/>
    <n v="699883"/>
    <x v="13"/>
    <n v="24"/>
    <n v="6"/>
    <n v="144"/>
    <d v="2026-02-27T00:00:00"/>
    <x v="4"/>
  </r>
  <r>
    <n v="46080"/>
    <m/>
    <m/>
    <m/>
    <m/>
    <n v="112401"/>
    <s v="C/02/2026"/>
    <n v="40007880"/>
    <n v="645380"/>
    <x v="7"/>
    <n v="200"/>
    <n v="12"/>
    <n v="2400"/>
    <d v="2026-02-27T00:00:00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A821BA-1D05-4A7B-9E45-707FE04E1E8B}" name="PivotTable61" cacheId="2" applyNumberFormats="0" applyBorderFormats="0" applyFontFormats="0" applyPatternFormats="0" applyAlignmentFormats="0" applyWidthHeightFormats="1" dataCaption="Values" updatedVersion="8" minRefreshableVersion="3" showDrill="0" enableDrill="0" useAutoFormatting="1" rowGrandTotals="0" colGrandTotals="0" itemPrintTitles="1" createdVersion="8" indent="0" compact="0" compactData="0" gridDropZones="1" multipleFieldFilters="0" rowHeaderCaption="Loading Date" fieldListSortAscending="1">
  <location ref="A4:U65" firstHeaderRow="2" firstDataRow="2" firstDataCol="15" rowPageCount="1" colPageCount="1"/>
  <pivotFields count="66">
    <pivotField compact="0" outline="0" showAll="0"/>
    <pivotField compact="0" outline="0" showAll="0"/>
    <pivotField axis="axisPage" compact="0" numFmtId="49" outline="0" showAll="0">
      <items count="57">
        <item x="9"/>
        <item x="7"/>
        <item x="6"/>
        <item x="31"/>
        <item x="22"/>
        <item x="26"/>
        <item x="1"/>
        <item x="17"/>
        <item x="41"/>
        <item x="2"/>
        <item x="34"/>
        <item x="52"/>
        <item x="12"/>
        <item x="33"/>
        <item x="10"/>
        <item x="16"/>
        <item x="38"/>
        <item x="8"/>
        <item x="0"/>
        <item x="51"/>
        <item x="19"/>
        <item x="11"/>
        <item x="3"/>
        <item x="30"/>
        <item x="20"/>
        <item x="36"/>
        <item x="18"/>
        <item x="48"/>
        <item x="24"/>
        <item x="23"/>
        <item x="21"/>
        <item x="27"/>
        <item x="32"/>
        <item x="44"/>
        <item x="45"/>
        <item x="35"/>
        <item x="5"/>
        <item x="53"/>
        <item x="47"/>
        <item x="42"/>
        <item x="37"/>
        <item x="55"/>
        <item x="28"/>
        <item x="13"/>
        <item x="46"/>
        <item x="4"/>
        <item x="25"/>
        <item x="29"/>
        <item x="14"/>
        <item x="43"/>
        <item x="15"/>
        <item x="39"/>
        <item x="40"/>
        <item x="50"/>
        <item x="54"/>
        <item x="49"/>
        <item t="default"/>
      </items>
    </pivotField>
    <pivotField name="Distributor" axis="axisRow" compact="0" outline="0" showAll="0" defaultSubtotal="0">
      <items count="56">
        <item x="9"/>
        <item x="7"/>
        <item x="6"/>
        <item x="31"/>
        <item x="22"/>
        <item x="26"/>
        <item x="1"/>
        <item x="17"/>
        <item x="41"/>
        <item x="2"/>
        <item x="34"/>
        <item x="52"/>
        <item x="12"/>
        <item x="33"/>
        <item x="10"/>
        <item x="16"/>
        <item x="38"/>
        <item x="8"/>
        <item x="0"/>
        <item x="51"/>
        <item x="19"/>
        <item x="11"/>
        <item x="3"/>
        <item x="30"/>
        <item x="20"/>
        <item x="36"/>
        <item x="18"/>
        <item x="48"/>
        <item x="24"/>
        <item x="23"/>
        <item x="21"/>
        <item x="27"/>
        <item x="32"/>
        <item x="45"/>
        <item x="35"/>
        <item x="5"/>
        <item x="53"/>
        <item x="47"/>
        <item x="44"/>
        <item x="42"/>
        <item x="37"/>
        <item x="55"/>
        <item x="28"/>
        <item x="13"/>
        <item x="46"/>
        <item x="4"/>
        <item x="25"/>
        <item x="29"/>
        <item x="14"/>
        <item x="43"/>
        <item x="15"/>
        <item x="39"/>
        <item x="40"/>
        <item x="50"/>
        <item x="54"/>
        <item x="49"/>
      </items>
    </pivotField>
    <pivotField axis="axisRow" compact="0" outline="0" showAll="0" defaultSubtotal="0">
      <items count="45">
        <item x="9"/>
        <item x="7"/>
        <item x="6"/>
        <item x="16"/>
        <item x="27"/>
        <item x="20"/>
        <item x="23"/>
        <item x="1"/>
        <item x="15"/>
        <item x="34"/>
        <item x="10"/>
        <item x="2"/>
        <item x="29"/>
        <item x="41"/>
        <item x="11"/>
        <item x="28"/>
        <item x="25"/>
        <item x="14"/>
        <item x="8"/>
        <item x="0"/>
        <item x="40"/>
        <item x="17"/>
        <item x="21"/>
        <item x="3"/>
        <item x="26"/>
        <item x="18"/>
        <item x="30"/>
        <item x="38"/>
        <item x="19"/>
        <item x="24"/>
        <item x="35"/>
        <item x="5"/>
        <item x="42"/>
        <item x="37"/>
        <item x="31"/>
        <item x="44"/>
        <item x="12"/>
        <item x="36"/>
        <item x="4"/>
        <item x="22"/>
        <item x="13"/>
        <item x="32"/>
        <item x="33"/>
        <item x="39"/>
        <item x="43"/>
      </items>
    </pivotField>
    <pivotField compact="0" outline="0" showAll="0"/>
    <pivotField compact="0" outline="0" showAll="0"/>
    <pivotField compact="0" outline="0" showAll="0"/>
    <pivotField compact="0" numFmtId="49" outline="0" showAll="0"/>
    <pivotField compact="0" numFmtId="49" outline="0" showAll="0"/>
    <pivotField compact="0" numFmtId="49" outline="0" showAll="0"/>
    <pivotField axis="axisRow" numFmtId="49" outline="0" showAll="0" defaultSubtotal="0">
      <items count="579">
        <item x="578"/>
        <item x="1"/>
        <item x="2"/>
        <item x="3"/>
        <item x="4"/>
        <item x="5"/>
        <item x="6"/>
        <item x="0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243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9" outline="0" showAll="0"/>
    <pivotField axis="axisRow" compact="0" numFmtId="14" outline="0" showAll="0" insertBlankRow="1" sortType="ascending" defaultSubtotal="0">
      <items count="26">
        <item x="12"/>
        <item x="0"/>
        <item x="1"/>
        <item x="3"/>
        <item x="20"/>
        <item x="14"/>
        <item x="2"/>
        <item x="8"/>
        <item x="6"/>
        <item x="4"/>
        <item x="5"/>
        <item x="10"/>
        <item x="9"/>
        <item x="13"/>
        <item x="7"/>
        <item x="23"/>
        <item x="17"/>
        <item x="11"/>
        <item x="19"/>
        <item x="15"/>
        <item x="22"/>
        <item x="18"/>
        <item x="16"/>
        <item x="21"/>
        <item x="24"/>
        <item x="2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9" outline="0" showAll="0"/>
    <pivotField compact="0" numFmtId="49" outline="0" showAll="0"/>
    <pivotField axis="axisRow" compact="0" outline="0" showAll="0" defaultSubtotal="0">
      <items count="446">
        <item x="236"/>
        <item x="166"/>
        <item x="9"/>
        <item x="180"/>
        <item x="159"/>
        <item x="199"/>
        <item x="139"/>
        <item x="57"/>
        <item x="148"/>
        <item x="150"/>
        <item x="40"/>
        <item x="102"/>
        <item x="170"/>
        <item x="372"/>
        <item x="87"/>
        <item x="355"/>
        <item x="85"/>
        <item x="81"/>
        <item x="272"/>
        <item x="273"/>
        <item x="28"/>
        <item x="51"/>
        <item x="230"/>
        <item x="12"/>
        <item x="240"/>
        <item x="241"/>
        <item x="224"/>
        <item x="233"/>
        <item x="225"/>
        <item x="62"/>
        <item x="184"/>
        <item x="66"/>
        <item x="232"/>
        <item x="13"/>
        <item x="98"/>
        <item x="29"/>
        <item x="307"/>
        <item x="229"/>
        <item x="238"/>
        <item x="239"/>
        <item x="278"/>
        <item x="183"/>
        <item x="34"/>
        <item x="404"/>
        <item x="379"/>
        <item x="197"/>
        <item x="43"/>
        <item x="3"/>
        <item x="32"/>
        <item x="221"/>
        <item x="18"/>
        <item x="96"/>
        <item x="31"/>
        <item x="138"/>
        <item x="192"/>
        <item x="361"/>
        <item x="115"/>
        <item x="151"/>
        <item x="147"/>
        <item x="119"/>
        <item x="198"/>
        <item x="109"/>
        <item x="90"/>
        <item x="162"/>
        <item x="58"/>
        <item x="416"/>
        <item x="234"/>
        <item x="38"/>
        <item x="338"/>
        <item x="19"/>
        <item x="37"/>
        <item x="80"/>
        <item x="287"/>
        <item x="39"/>
        <item x="84"/>
        <item x="82"/>
        <item x="365"/>
        <item x="59"/>
        <item x="20"/>
        <item x="174"/>
        <item x="299"/>
        <item x="100"/>
        <item x="99"/>
        <item x="97"/>
        <item x="14"/>
        <item x="283"/>
        <item x="41"/>
        <item x="116"/>
        <item x="160"/>
        <item x="367"/>
        <item x="56"/>
        <item x="10"/>
        <item x="127"/>
        <item x="167"/>
        <item x="128"/>
        <item x="169"/>
        <item x="371"/>
        <item x="171"/>
        <item x="129"/>
        <item x="173"/>
        <item x="4"/>
        <item x="145"/>
        <item x="182"/>
        <item x="86"/>
        <item x="161"/>
        <item x="149"/>
        <item x="179"/>
        <item x="122"/>
        <item x="152"/>
        <item x="168"/>
        <item x="177"/>
        <item x="245"/>
        <item x="432"/>
        <item x="242"/>
        <item x="243"/>
        <item x="244"/>
        <item x="265"/>
        <item x="266"/>
        <item x="296"/>
        <item x="267"/>
        <item x="268"/>
        <item x="297"/>
        <item x="323"/>
        <item x="302"/>
        <item x="306"/>
        <item x="6"/>
        <item x="275"/>
        <item x="88"/>
        <item x="254"/>
        <item x="78"/>
        <item x="33"/>
        <item x="255"/>
        <item x="94"/>
        <item x="79"/>
        <item x="339"/>
        <item x="223"/>
        <item x="222"/>
        <item x="381"/>
        <item x="107"/>
        <item x="320"/>
        <item x="105"/>
        <item x="17"/>
        <item x="72"/>
        <item x="25"/>
        <item x="276"/>
        <item x="274"/>
        <item x="52"/>
        <item x="68"/>
        <item x="196"/>
        <item x="226"/>
        <item x="344"/>
        <item x="430"/>
        <item x="92"/>
        <item x="259"/>
        <item x="269"/>
        <item x="301"/>
        <item x="270"/>
        <item x="298"/>
        <item x="332"/>
        <item x="378"/>
        <item x="194"/>
        <item x="271"/>
        <item x="21"/>
        <item x="48"/>
        <item x="340"/>
        <item x="256"/>
        <item x="23"/>
        <item x="30"/>
        <item x="428"/>
        <item x="375"/>
        <item x="118"/>
        <item x="83"/>
        <item x="110"/>
        <item x="362"/>
        <item x="308"/>
        <item x="386"/>
        <item x="324"/>
        <item x="363"/>
        <item x="311"/>
        <item x="310"/>
        <item x="15"/>
        <item x="49"/>
        <item x="391"/>
        <item x="36"/>
        <item x="309"/>
        <item x="106"/>
        <item x="35"/>
        <item x="366"/>
        <item x="155"/>
        <item x="228"/>
        <item x="231"/>
        <item x="89"/>
        <item x="178"/>
        <item x="5"/>
        <item x="227"/>
        <item x="337"/>
        <item x="335"/>
        <item x="291"/>
        <item x="440"/>
        <item x="156"/>
        <item x="44"/>
        <item x="445"/>
        <item x="143"/>
        <item x="54"/>
        <item x="53"/>
        <item x="341"/>
        <item x="443"/>
        <item x="163"/>
        <item x="176"/>
        <item x="392"/>
        <item x="394"/>
        <item x="181"/>
        <item x="246"/>
        <item x="247"/>
        <item x="133"/>
        <item x="125"/>
        <item x="63"/>
        <item x="24"/>
        <item x="50"/>
        <item x="11"/>
        <item x="134"/>
        <item x="121"/>
        <item x="370"/>
        <item x="153"/>
        <item x="76"/>
        <item x="157"/>
        <item x="400"/>
        <item x="120"/>
        <item x="131"/>
        <item x="406"/>
        <item x="373"/>
        <item x="140"/>
        <item x="74"/>
        <item x="219"/>
        <item x="220"/>
        <item x="45"/>
        <item x="114"/>
        <item x="126"/>
        <item x="207"/>
        <item x="1"/>
        <item x="64"/>
        <item x="65"/>
        <item x="193"/>
        <item x="208"/>
        <item x="358"/>
        <item x="399"/>
        <item x="280"/>
        <item x="281"/>
        <item x="164"/>
        <item x="2"/>
        <item x="436"/>
        <item x="7"/>
        <item x="47"/>
        <item x="130"/>
        <item x="417"/>
        <item x="214"/>
        <item x="215"/>
        <item x="216"/>
        <item x="279"/>
        <item x="356"/>
        <item x="410"/>
        <item x="191"/>
        <item x="395"/>
        <item x="343"/>
        <item x="331"/>
        <item x="71"/>
        <item x="205"/>
        <item x="292"/>
        <item x="369"/>
        <item x="354"/>
        <item x="8"/>
        <item x="144"/>
        <item x="113"/>
        <item x="257"/>
        <item x="258"/>
        <item x="427"/>
        <item x="334"/>
        <item x="135"/>
        <item x="433"/>
        <item x="294"/>
        <item x="295"/>
        <item x="77"/>
        <item x="75"/>
        <item x="293"/>
        <item x="22"/>
        <item x="351"/>
        <item x="27"/>
        <item x="26"/>
        <item x="329"/>
        <item x="364"/>
        <item x="42"/>
        <item x="70"/>
        <item x="282"/>
        <item x="55"/>
        <item x="93"/>
        <item x="235"/>
        <item x="46"/>
        <item x="368"/>
        <item x="124"/>
        <item x="253"/>
        <item x="277"/>
        <item x="0"/>
        <item x="172"/>
        <item x="158"/>
        <item x="67"/>
        <item x="60"/>
        <item x="322"/>
        <item x="424"/>
        <item x="425"/>
        <item x="426"/>
        <item x="312"/>
        <item x="313"/>
        <item x="314"/>
        <item x="315"/>
        <item x="284"/>
        <item x="398"/>
        <item x="69"/>
        <item x="187"/>
        <item x="188"/>
        <item x="189"/>
        <item x="190"/>
        <item x="357"/>
        <item x="73"/>
        <item x="206"/>
        <item x="237"/>
        <item x="204"/>
        <item x="300"/>
        <item x="289"/>
        <item x="342"/>
        <item x="101"/>
        <item x="91"/>
        <item x="103"/>
        <item x="382"/>
        <item x="108"/>
        <item x="319"/>
        <item x="360"/>
        <item x="117"/>
        <item x="123"/>
        <item x="132"/>
        <item x="136"/>
        <item x="137"/>
        <item x="141"/>
        <item x="142"/>
        <item x="146"/>
        <item x="165"/>
        <item x="175"/>
        <item x="393"/>
        <item x="185"/>
        <item x="186"/>
        <item x="195"/>
        <item x="201"/>
        <item x="202"/>
        <item x="203"/>
        <item x="217"/>
        <item x="325"/>
        <item x="326"/>
        <item x="209"/>
        <item x="211"/>
        <item x="212"/>
        <item x="213"/>
        <item x="104"/>
        <item x="248"/>
        <item x="61"/>
        <item x="95"/>
        <item x="303"/>
        <item x="388"/>
        <item x="111"/>
        <item x="250"/>
        <item x="200"/>
        <item x="210"/>
        <item x="285"/>
        <item x="286"/>
        <item x="288"/>
        <item x="290"/>
        <item x="413"/>
        <item x="316"/>
        <item x="317"/>
        <item x="318"/>
        <item x="321"/>
        <item x="327"/>
        <item x="330"/>
        <item x="333"/>
        <item x="345"/>
        <item x="346"/>
        <item x="347"/>
        <item x="348"/>
        <item x="349"/>
        <item x="260"/>
        <item x="261"/>
        <item x="262"/>
        <item x="263"/>
        <item x="264"/>
        <item x="16"/>
        <item x="112"/>
        <item x="154"/>
        <item x="218"/>
        <item x="249"/>
        <item x="251"/>
        <item x="252"/>
        <item x="304"/>
        <item x="305"/>
        <item x="328"/>
        <item x="336"/>
        <item x="350"/>
        <item x="352"/>
        <item x="353"/>
        <item x="359"/>
        <item x="374"/>
        <item x="376"/>
        <item x="377"/>
        <item x="380"/>
        <item x="383"/>
        <item x="384"/>
        <item x="385"/>
        <item x="387"/>
        <item x="389"/>
        <item x="390"/>
        <item x="396"/>
        <item x="397"/>
        <item x="401"/>
        <item x="402"/>
        <item x="403"/>
        <item x="405"/>
        <item x="407"/>
        <item x="408"/>
        <item x="409"/>
        <item x="411"/>
        <item x="412"/>
        <item x="414"/>
        <item x="415"/>
        <item x="418"/>
        <item x="419"/>
        <item x="420"/>
        <item x="421"/>
        <item x="422"/>
        <item x="423"/>
        <item x="429"/>
        <item x="431"/>
        <item x="434"/>
        <item x="435"/>
        <item x="437"/>
        <item x="438"/>
        <item x="439"/>
        <item x="441"/>
        <item x="442"/>
        <item x="44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9" outline="0" showAll="0"/>
    <pivotField axis="axisRow" compact="0" numFmtId="49" outline="0" showAll="0" defaultSubtotal="0">
      <items count="77">
        <item x="0"/>
        <item x="42"/>
        <item x="44"/>
        <item x="4"/>
        <item x="14"/>
        <item x="24"/>
        <item x="27"/>
        <item x="8"/>
        <item x="16"/>
        <item x="11"/>
        <item x="46"/>
        <item x="17"/>
        <item x="2"/>
        <item x="7"/>
        <item x="15"/>
        <item x="5"/>
        <item x="9"/>
        <item x="53"/>
        <item x="55"/>
        <item x="32"/>
        <item x="10"/>
        <item x="66"/>
        <item x="19"/>
        <item x="13"/>
        <item x="6"/>
        <item x="30"/>
        <item x="61"/>
        <item x="25"/>
        <item x="28"/>
        <item x="50"/>
        <item x="41"/>
        <item x="45"/>
        <item x="47"/>
        <item x="35"/>
        <item x="49"/>
        <item x="31"/>
        <item x="29"/>
        <item x="40"/>
        <item x="33"/>
        <item x="37"/>
        <item x="52"/>
        <item x="21"/>
        <item x="12"/>
        <item x="39"/>
        <item x="26"/>
        <item x="76"/>
        <item x="57"/>
        <item x="58"/>
        <item x="3"/>
        <item x="38"/>
        <item x="23"/>
        <item x="69"/>
        <item x="34"/>
        <item x="1"/>
        <item x="62"/>
        <item x="36"/>
        <item x="67"/>
        <item x="20"/>
        <item x="18"/>
        <item x="22"/>
        <item x="48"/>
        <item x="68"/>
        <item x="54"/>
        <item x="43"/>
        <item x="51"/>
        <item x="73"/>
        <item x="60"/>
        <item x="63"/>
        <item x="59"/>
        <item x="56"/>
        <item x="64"/>
        <item x="65"/>
        <item x="70"/>
        <item x="71"/>
        <item x="72"/>
        <item x="74"/>
        <item x="7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/>
    <pivotField axis="axisRow" compact="0" outline="0" showAll="0" defaultSubtotal="0">
      <items count="418">
        <item x="226"/>
        <item x="50"/>
        <item x="1"/>
        <item x="163"/>
        <item x="9"/>
        <item x="177"/>
        <item x="156"/>
        <item x="196"/>
        <item x="138"/>
        <item x="57"/>
        <item x="145"/>
        <item x="147"/>
        <item x="40"/>
        <item x="100"/>
        <item x="35"/>
        <item x="167"/>
        <item x="352"/>
        <item x="86"/>
        <item x="107"/>
        <item x="85"/>
        <item x="81"/>
        <item x="260"/>
        <item x="261"/>
        <item x="28"/>
        <item x="70"/>
        <item x="51"/>
        <item x="221"/>
        <item x="12"/>
        <item x="229"/>
        <item x="230"/>
        <item x="62"/>
        <item x="181"/>
        <item x="66"/>
        <item x="190"/>
        <item x="289"/>
        <item x="220"/>
        <item x="227"/>
        <item x="228"/>
        <item x="266"/>
        <item x="180"/>
        <item x="34"/>
        <item x="318"/>
        <item x="380"/>
        <item x="43"/>
        <item x="3"/>
        <item x="32"/>
        <item x="214"/>
        <item x="148"/>
        <item x="18"/>
        <item x="42"/>
        <item x="31"/>
        <item x="137"/>
        <item x="189"/>
        <item x="341"/>
        <item x="113"/>
        <item x="144"/>
        <item x="117"/>
        <item x="2"/>
        <item x="195"/>
        <item x="361"/>
        <item x="302"/>
        <item x="89"/>
        <item x="159"/>
        <item x="58"/>
        <item x="161"/>
        <item x="392"/>
        <item x="224"/>
        <item x="38"/>
        <item x="319"/>
        <item x="19"/>
        <item x="37"/>
        <item x="80"/>
        <item x="273"/>
        <item x="39"/>
        <item x="84"/>
        <item x="82"/>
        <item x="345"/>
        <item x="225"/>
        <item x="59"/>
        <item x="20"/>
        <item x="171"/>
        <item x="285"/>
        <item x="98"/>
        <item x="97"/>
        <item x="14"/>
        <item x="271"/>
        <item x="41"/>
        <item x="344"/>
        <item x="114"/>
        <item x="346"/>
        <item x="157"/>
        <item x="347"/>
        <item x="56"/>
        <item x="10"/>
        <item x="160"/>
        <item x="125"/>
        <item x="164"/>
        <item x="126"/>
        <item x="166"/>
        <item x="351"/>
        <item x="168"/>
        <item x="127"/>
        <item x="170"/>
        <item x="4"/>
        <item x="142"/>
        <item x="179"/>
        <item x="158"/>
        <item x="146"/>
        <item x="176"/>
        <item x="120"/>
        <item x="149"/>
        <item x="165"/>
        <item x="174"/>
        <item x="343"/>
        <item x="234"/>
        <item x="406"/>
        <item x="237"/>
        <item x="231"/>
        <item x="232"/>
        <item x="233"/>
        <item x="253"/>
        <item x="254"/>
        <item x="282"/>
        <item x="255"/>
        <item x="256"/>
        <item x="283"/>
        <item x="55"/>
        <item x="305"/>
        <item x="286"/>
        <item x="288"/>
        <item x="6"/>
        <item x="263"/>
        <item x="87"/>
        <item x="242"/>
        <item x="78"/>
        <item x="33"/>
        <item x="243"/>
        <item x="93"/>
        <item x="79"/>
        <item x="241"/>
        <item x="92"/>
        <item x="320"/>
        <item x="216"/>
        <item x="215"/>
        <item x="105"/>
        <item x="103"/>
        <item x="17"/>
        <item x="72"/>
        <item x="25"/>
        <item x="355"/>
        <item x="264"/>
        <item x="262"/>
        <item x="52"/>
        <item x="68"/>
        <item x="193"/>
        <item x="198"/>
        <item x="325"/>
        <item x="239"/>
        <item x="91"/>
        <item x="247"/>
        <item x="257"/>
        <item x="94"/>
        <item x="258"/>
        <item x="284"/>
        <item x="313"/>
        <item x="191"/>
        <item x="259"/>
        <item x="21"/>
        <item x="48"/>
        <item x="321"/>
        <item x="270"/>
        <item x="244"/>
        <item x="23"/>
        <item x="30"/>
        <item x="44"/>
        <item x="404"/>
        <item x="116"/>
        <item x="83"/>
        <item x="108"/>
        <item x="342"/>
        <item x="290"/>
        <item x="358"/>
        <item x="359"/>
        <item x="366"/>
        <item x="102"/>
        <item x="218"/>
        <item x="306"/>
        <item x="95"/>
        <item x="96"/>
        <item x="217"/>
        <item x="29"/>
        <item x="223"/>
        <item x="13"/>
        <item x="293"/>
        <item x="194"/>
        <item x="292"/>
        <item x="15"/>
        <item x="49"/>
        <item x="367"/>
        <item x="36"/>
        <item x="291"/>
        <item x="104"/>
        <item x="152"/>
        <item x="363"/>
        <item x="219"/>
        <item x="222"/>
        <item x="88"/>
        <item x="175"/>
        <item x="5"/>
        <item x="202"/>
        <item x="316"/>
        <item x="277"/>
        <item x="413"/>
        <item x="153"/>
        <item x="417"/>
        <item x="140"/>
        <item x="54"/>
        <item x="53"/>
        <item x="322"/>
        <item x="0"/>
        <item x="173"/>
        <item x="71"/>
        <item x="368"/>
        <item x="370"/>
        <item x="178"/>
        <item x="235"/>
        <item x="236"/>
        <item x="131"/>
        <item x="123"/>
        <item x="307"/>
        <item x="308"/>
        <item x="63"/>
        <item x="24"/>
        <item x="274"/>
        <item x="11"/>
        <item x="132"/>
        <item x="119"/>
        <item x="350"/>
        <item x="150"/>
        <item x="76"/>
        <item x="154"/>
        <item x="376"/>
        <item x="118"/>
        <item x="129"/>
        <item x="382"/>
        <item x="353"/>
        <item x="139"/>
        <item x="74"/>
        <item x="212"/>
        <item x="213"/>
        <item x="45"/>
        <item x="112"/>
        <item x="124"/>
        <item x="201"/>
        <item x="64"/>
        <item x="65"/>
        <item x="338"/>
        <item x="375"/>
        <item x="268"/>
        <item x="269"/>
        <item x="409"/>
        <item x="7"/>
        <item x="47"/>
        <item x="128"/>
        <item x="393"/>
        <item x="207"/>
        <item x="208"/>
        <item x="209"/>
        <item x="267"/>
        <item x="336"/>
        <item x="386"/>
        <item x="188"/>
        <item x="371"/>
        <item x="324"/>
        <item x="312"/>
        <item x="200"/>
        <item x="278"/>
        <item x="349"/>
        <item x="335"/>
        <item x="8"/>
        <item x="141"/>
        <item x="111"/>
        <item x="245"/>
        <item x="246"/>
        <item x="403"/>
        <item x="315"/>
        <item x="133"/>
        <item x="238"/>
        <item x="240"/>
        <item x="280"/>
        <item x="281"/>
        <item x="77"/>
        <item x="75"/>
        <item x="279"/>
        <item x="22"/>
        <item x="332"/>
        <item x="27"/>
        <item x="26"/>
        <item x="310"/>
        <item x="275"/>
        <item x="46"/>
        <item x="348"/>
        <item x="122"/>
        <item x="265"/>
        <item x="169"/>
        <item x="155"/>
        <item x="67"/>
        <item x="60"/>
        <item x="304"/>
        <item x="400"/>
        <item x="401"/>
        <item x="402"/>
        <item x="294"/>
        <item x="295"/>
        <item x="296"/>
        <item x="297"/>
        <item x="199"/>
        <item x="374"/>
        <item x="69"/>
        <item x="184"/>
        <item x="185"/>
        <item x="186"/>
        <item x="187"/>
        <item x="337"/>
        <item x="73"/>
        <item x="323"/>
        <item x="99"/>
        <item x="90"/>
        <item x="101"/>
        <item x="362"/>
        <item x="106"/>
        <item x="301"/>
        <item x="340"/>
        <item x="115"/>
        <item x="121"/>
        <item x="130"/>
        <item x="134"/>
        <item x="135"/>
        <item x="136"/>
        <item x="143"/>
        <item x="162"/>
        <item x="172"/>
        <item x="369"/>
        <item x="182"/>
        <item x="183"/>
        <item x="203"/>
        <item x="192"/>
        <item x="210"/>
        <item x="204"/>
        <item x="205"/>
        <item x="206"/>
        <item x="61"/>
        <item x="110"/>
        <item x="109"/>
        <item x="197"/>
        <item x="272"/>
        <item x="276"/>
        <item x="389"/>
        <item x="298"/>
        <item x="299"/>
        <item x="300"/>
        <item x="303"/>
        <item x="309"/>
        <item x="311"/>
        <item x="314"/>
        <item x="326"/>
        <item x="327"/>
        <item x="328"/>
        <item x="329"/>
        <item x="330"/>
        <item x="248"/>
        <item x="249"/>
        <item x="250"/>
        <item x="251"/>
        <item x="252"/>
        <item x="16"/>
        <item x="151"/>
        <item x="211"/>
        <item x="287"/>
        <item x="317"/>
        <item x="331"/>
        <item x="333"/>
        <item x="334"/>
        <item x="339"/>
        <item x="354"/>
        <item x="356"/>
        <item x="357"/>
        <item x="360"/>
        <item x="364"/>
        <item x="365"/>
        <item x="372"/>
        <item x="373"/>
        <item x="377"/>
        <item x="378"/>
        <item x="379"/>
        <item x="381"/>
        <item x="383"/>
        <item x="384"/>
        <item x="385"/>
        <item x="387"/>
        <item x="388"/>
        <item x="390"/>
        <item x="391"/>
        <item x="394"/>
        <item x="395"/>
        <item x="396"/>
        <item x="397"/>
        <item x="398"/>
        <item x="399"/>
        <item x="405"/>
        <item x="407"/>
        <item x="408"/>
        <item x="410"/>
        <item x="411"/>
        <item x="412"/>
        <item x="414"/>
        <item x="415"/>
        <item x="4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9" outline="0" showAll="0"/>
    <pivotField compact="0" numFmtId="49" outline="0" showAll="0"/>
    <pivotField compact="0" numFmtId="49" outline="0" showAll="0"/>
    <pivotField axis="axisRow" compact="0" numFmtId="49" outline="0" showAll="0" defaultSubtotal="0">
      <items count="435">
        <item x="105"/>
        <item x="85"/>
        <item x="11"/>
        <item x="128"/>
        <item x="31"/>
        <item x="18"/>
        <item x="174"/>
        <item x="181"/>
        <item x="134"/>
        <item x="6"/>
        <item x="81"/>
        <item x="13"/>
        <item x="156"/>
        <item x="80"/>
        <item x="59"/>
        <item x="45"/>
        <item x="35"/>
        <item x="17"/>
        <item x="91"/>
        <item x="41"/>
        <item x="1"/>
        <item x="159"/>
        <item x="33"/>
        <item x="89"/>
        <item x="12"/>
        <item x="7"/>
        <item x="102"/>
        <item x="148"/>
        <item x="47"/>
        <item x="136"/>
        <item x="146"/>
        <item x="132"/>
        <item x="252"/>
        <item x="162"/>
        <item x="38"/>
        <item x="184"/>
        <item x="90"/>
        <item x="42"/>
        <item x="93"/>
        <item x="92"/>
        <item x="19"/>
        <item x="109"/>
        <item x="108"/>
        <item x="4"/>
        <item x="232"/>
        <item x="302"/>
        <item x="61"/>
        <item x="106"/>
        <item x="395"/>
        <item x="39"/>
        <item x="135"/>
        <item x="58"/>
        <item x="26"/>
        <item x="54"/>
        <item x="62"/>
        <item x="100"/>
        <item x="271"/>
        <item x="126"/>
        <item x="57"/>
        <item x="52"/>
        <item x="10"/>
        <item x="103"/>
        <item x="22"/>
        <item x="139"/>
        <item x="34"/>
        <item x="282"/>
        <item x="194"/>
        <item x="43"/>
        <item x="179"/>
        <item x="36"/>
        <item x="177"/>
        <item x="83"/>
        <item x="44"/>
        <item x="112"/>
        <item x="255"/>
        <item x="129"/>
        <item x="328"/>
        <item x="333"/>
        <item x="301"/>
        <item x="0"/>
        <item x="101"/>
        <item x="222"/>
        <item x="110"/>
        <item x="213"/>
        <item x="107"/>
        <item x="130"/>
        <item x="224"/>
        <item x="73"/>
        <item x="215"/>
        <item x="161"/>
        <item x="84"/>
        <item x="206"/>
        <item x="131"/>
        <item x="29"/>
        <item x="368"/>
        <item x="121"/>
        <item x="69"/>
        <item x="210"/>
        <item x="125"/>
        <item x="99"/>
        <item x="207"/>
        <item x="380"/>
        <item x="397"/>
        <item x="53"/>
        <item x="49"/>
        <item x="298"/>
        <item x="32"/>
        <item x="147"/>
        <item x="334"/>
        <item x="82"/>
        <item x="243"/>
        <item x="46"/>
        <item x="152"/>
        <item x="221"/>
        <item x="16"/>
        <item x="339"/>
        <item x="168"/>
        <item x="401"/>
        <item x="65"/>
        <item x="196"/>
        <item x="385"/>
        <item x="433"/>
        <item x="294"/>
        <item x="20"/>
        <item x="127"/>
        <item x="270"/>
        <item x="351"/>
        <item x="74"/>
        <item x="150"/>
        <item x="434"/>
        <item x="8"/>
        <item x="56"/>
        <item x="211"/>
        <item x="262"/>
        <item x="267"/>
        <item x="217"/>
        <item x="142"/>
        <item x="356"/>
        <item x="66"/>
        <item x="175"/>
        <item x="23"/>
        <item x="115"/>
        <item x="421"/>
        <item x="348"/>
        <item x="151"/>
        <item x="323"/>
        <item x="117"/>
        <item x="396"/>
        <item x="164"/>
        <item x="272"/>
        <item x="124"/>
        <item x="257"/>
        <item x="120"/>
        <item x="119"/>
        <item x="296"/>
        <item x="430"/>
        <item x="137"/>
        <item x="94"/>
        <item x="70"/>
        <item x="176"/>
        <item x="347"/>
        <item x="122"/>
        <item x="349"/>
        <item x="153"/>
        <item x="382"/>
        <item x="50"/>
        <item x="225"/>
        <item x="220"/>
        <item x="169"/>
        <item x="256"/>
        <item x="202"/>
        <item x="145"/>
        <item x="369"/>
        <item x="226"/>
        <item x="426"/>
        <item x="2"/>
        <item x="407"/>
        <item x="113"/>
        <item x="392"/>
        <item x="157"/>
        <item x="167"/>
        <item x="219"/>
        <item x="212"/>
        <item x="186"/>
        <item x="171"/>
        <item x="48"/>
        <item x="371"/>
        <item x="138"/>
        <item x="284"/>
        <item x="183"/>
        <item x="265"/>
        <item x="200"/>
        <item x="321"/>
        <item x="75"/>
        <item x="15"/>
        <item x="350"/>
        <item x="190"/>
        <item x="40"/>
        <item x="290"/>
        <item x="329"/>
        <item x="337"/>
        <item x="235"/>
        <item x="360"/>
        <item x="28"/>
        <item x="201"/>
        <item x="209"/>
        <item x="366"/>
        <item x="276"/>
        <item x="78"/>
        <item x="308"/>
        <item x="154"/>
        <item x="229"/>
        <item x="384"/>
        <item x="76"/>
        <item x="403"/>
        <item x="247"/>
        <item x="72"/>
        <item x="237"/>
        <item x="79"/>
        <item x="163"/>
        <item x="160"/>
        <item x="285"/>
        <item x="165"/>
        <item x="71"/>
        <item x="305"/>
        <item x="236"/>
        <item x="379"/>
        <item x="307"/>
        <item x="254"/>
        <item x="104"/>
        <item x="230"/>
        <item x="111"/>
        <item x="192"/>
        <item x="178"/>
        <item x="118"/>
        <item x="116"/>
        <item x="114"/>
        <item x="300"/>
        <item x="133"/>
        <item x="420"/>
        <item x="141"/>
        <item x="140"/>
        <item x="234"/>
        <item x="283"/>
        <item x="188"/>
        <item x="155"/>
        <item x="408"/>
        <item x="158"/>
        <item x="166"/>
        <item x="30"/>
        <item x="170"/>
        <item x="173"/>
        <item x="242"/>
        <item x="182"/>
        <item x="432"/>
        <item x="189"/>
        <item x="191"/>
        <item x="273"/>
        <item x="195"/>
        <item x="199"/>
        <item x="263"/>
        <item x="327"/>
        <item x="357"/>
        <item x="208"/>
        <item x="60"/>
        <item x="218"/>
        <item x="233"/>
        <item x="223"/>
        <item x="238"/>
        <item x="239"/>
        <item x="240"/>
        <item x="246"/>
        <item x="253"/>
        <item x="417"/>
        <item x="340"/>
        <item x="21"/>
        <item x="187"/>
        <item x="5"/>
        <item x="25"/>
        <item x="405"/>
        <item x="299"/>
        <item x="355"/>
        <item x="400"/>
        <item x="394"/>
        <item x="193"/>
        <item x="261"/>
        <item x="422"/>
        <item x="241"/>
        <item x="269"/>
        <item x="319"/>
        <item x="274"/>
        <item x="331"/>
        <item x="295"/>
        <item x="303"/>
        <item x="304"/>
        <item x="95"/>
        <item x="309"/>
        <item x="310"/>
        <item x="320"/>
        <item x="312"/>
        <item x="260"/>
        <item x="330"/>
        <item x="332"/>
        <item x="335"/>
        <item x="87"/>
        <item x="336"/>
        <item x="68"/>
        <item x="412"/>
        <item x="279"/>
        <item x="280"/>
        <item x="3"/>
        <item x="9"/>
        <item x="14"/>
        <item x="24"/>
        <item x="27"/>
        <item x="37"/>
        <item x="51"/>
        <item x="55"/>
        <item x="63"/>
        <item x="64"/>
        <item x="67"/>
        <item x="77"/>
        <item x="86"/>
        <item x="88"/>
        <item x="96"/>
        <item x="97"/>
        <item x="98"/>
        <item x="123"/>
        <item x="143"/>
        <item x="144"/>
        <item x="149"/>
        <item x="172"/>
        <item x="180"/>
        <item x="185"/>
        <item x="197"/>
        <item x="198"/>
        <item x="203"/>
        <item x="204"/>
        <item x="205"/>
        <item x="214"/>
        <item x="216"/>
        <item x="227"/>
        <item x="228"/>
        <item x="231"/>
        <item x="244"/>
        <item x="245"/>
        <item x="248"/>
        <item x="249"/>
        <item x="250"/>
        <item x="251"/>
        <item x="258"/>
        <item x="259"/>
        <item x="264"/>
        <item x="266"/>
        <item x="268"/>
        <item x="275"/>
        <item x="277"/>
        <item x="278"/>
        <item x="281"/>
        <item x="286"/>
        <item x="287"/>
        <item x="288"/>
        <item x="289"/>
        <item x="291"/>
        <item x="292"/>
        <item x="293"/>
        <item x="297"/>
        <item x="306"/>
        <item x="311"/>
        <item x="313"/>
        <item x="314"/>
        <item x="315"/>
        <item x="316"/>
        <item x="317"/>
        <item x="318"/>
        <item x="322"/>
        <item x="324"/>
        <item x="325"/>
        <item x="326"/>
        <item x="338"/>
        <item x="341"/>
        <item x="342"/>
        <item x="343"/>
        <item x="344"/>
        <item x="345"/>
        <item x="346"/>
        <item x="352"/>
        <item x="353"/>
        <item x="354"/>
        <item x="358"/>
        <item x="359"/>
        <item x="361"/>
        <item x="362"/>
        <item x="363"/>
        <item x="364"/>
        <item x="365"/>
        <item x="367"/>
        <item x="370"/>
        <item x="372"/>
        <item x="373"/>
        <item x="374"/>
        <item x="375"/>
        <item x="376"/>
        <item x="377"/>
        <item x="378"/>
        <item x="381"/>
        <item x="383"/>
        <item x="386"/>
        <item x="387"/>
        <item x="388"/>
        <item x="389"/>
        <item x="390"/>
        <item x="391"/>
        <item x="393"/>
        <item x="398"/>
        <item x="399"/>
        <item x="402"/>
        <item x="404"/>
        <item x="406"/>
        <item x="409"/>
        <item x="410"/>
        <item x="411"/>
        <item x="413"/>
        <item x="414"/>
        <item x="415"/>
        <item x="416"/>
        <item x="418"/>
        <item x="419"/>
        <item x="423"/>
        <item x="424"/>
        <item x="425"/>
        <item x="427"/>
        <item x="428"/>
        <item x="429"/>
        <item x="431"/>
      </items>
    </pivotField>
    <pivotField compact="0" numFmtId="49" outline="0" showAll="0"/>
    <pivotField compact="0" numFmtId="49" outline="0" showAll="0"/>
    <pivotField compact="0" numFmtId="49" outline="0" showAll="0"/>
    <pivotField compact="0" numFmtId="49" outline="0" showAll="0"/>
    <pivotField compact="0" numFmtId="49" outline="0" showAll="0"/>
    <pivotField compact="0" outline="0" showAll="0"/>
    <pivotField compact="0" numFmtId="49" outline="0" showAll="0"/>
    <pivotField compact="0" numFmtId="49" outline="0" showAll="0"/>
    <pivotField compact="0" outline="0" showAll="0"/>
    <pivotField compact="0" numFmtId="49" outline="0" showAll="0"/>
    <pivotField compact="0" numFmtId="49" outline="0" showAll="0"/>
    <pivotField compact="0" numFmtId="49" outline="0" showAll="0"/>
    <pivotField compact="0" numFmtId="49" outline="0" showAll="0"/>
    <pivotField axis="axisRow" compact="0" numFmtId="49" outline="0" showAll="0" defaultSubtotal="0">
      <items count="578">
        <item x="421"/>
        <item x="1"/>
        <item x="2"/>
        <item x="3"/>
        <item x="4"/>
        <item x="5"/>
        <item x="6"/>
        <item x="0"/>
        <item x="7"/>
        <item x="8"/>
        <item x="9"/>
        <item x="10"/>
        <item x="11"/>
        <item x="12"/>
        <item x="13"/>
        <item x="14"/>
        <item x="16"/>
        <item x="17"/>
        <item x="18"/>
        <item x="19"/>
        <item x="20"/>
        <item x="15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17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9"/>
        <item x="330"/>
        <item x="243"/>
        <item x="190"/>
        <item x="328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3">
        <item x="122"/>
        <item x="0"/>
        <item x="2"/>
        <item x="1"/>
        <item x="5"/>
        <item x="10"/>
        <item x="8"/>
        <item x="3"/>
        <item x="4"/>
        <item x="13"/>
        <item x="9"/>
        <item x="6"/>
        <item x="7"/>
        <item x="11"/>
        <item x="12"/>
        <item x="26"/>
        <item x="18"/>
        <item x="17"/>
        <item x="28"/>
        <item x="19"/>
        <item x="20"/>
        <item x="30"/>
        <item x="47"/>
        <item x="29"/>
        <item x="31"/>
        <item x="27"/>
        <item x="14"/>
        <item x="21"/>
        <item x="22"/>
        <item x="23"/>
        <item x="33"/>
        <item x="32"/>
        <item x="15"/>
        <item x="16"/>
        <item x="24"/>
        <item x="25"/>
        <item x="34"/>
        <item x="35"/>
        <item x="36"/>
        <item x="37"/>
        <item x="38"/>
        <item x="39"/>
        <item x="40"/>
        <item x="56"/>
        <item x="41"/>
        <item x="42"/>
        <item x="43"/>
        <item x="44"/>
        <item x="45"/>
        <item x="46"/>
        <item x="52"/>
        <item x="48"/>
        <item x="49"/>
        <item x="50"/>
        <item x="51"/>
        <item x="57"/>
        <item x="58"/>
        <item x="59"/>
        <item x="60"/>
        <item x="61"/>
        <item x="53"/>
        <item x="54"/>
        <item x="55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86"/>
        <item x="78"/>
        <item x="79"/>
        <item x="80"/>
        <item x="81"/>
        <item x="82"/>
        <item x="83"/>
        <item x="75"/>
        <item x="76"/>
        <item x="77"/>
        <item x="84"/>
        <item x="85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/>
    <pivotField compact="0" numFmtId="49" outline="0" showAll="0"/>
    <pivotField compact="0" numFmtId="49" outline="0" showAll="0"/>
    <pivotField compact="0" outline="0" showAll="0"/>
    <pivotField compact="0" outline="0" showAll="0"/>
    <pivotField compact="0" numFmtId="49" outline="0" showAll="0"/>
    <pivotField compact="0" numFmtId="49" outline="0" showAll="0"/>
    <pivotField compact="0" numFmtId="49" outline="0" showAll="0"/>
    <pivotField compact="0" numFmtId="49" outline="0" showAll="0"/>
    <pivotField compact="0" outline="0" showAll="0"/>
    <pivotField compact="0" numFmtId="49" outline="0" showAll="0"/>
    <pivotField compact="0" numFmtId="49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26">
        <item x="25"/>
        <item x="3"/>
        <item x="10"/>
        <item x="5"/>
        <item x="18"/>
        <item x="7"/>
        <item x="6"/>
        <item x="11"/>
        <item x="17"/>
        <item x="0"/>
        <item x="15"/>
        <item x="20"/>
        <item x="12"/>
        <item x="19"/>
        <item x="1"/>
        <item x="2"/>
        <item x="4"/>
        <item x="8"/>
        <item x="9"/>
        <item x="13"/>
        <item x="14"/>
        <item x="16"/>
        <item x="21"/>
        <item x="22"/>
        <item x="23"/>
        <item x="24"/>
      </items>
    </pivotField>
    <pivotField compact="0" numFmtId="49" outline="0" showAll="0"/>
    <pivotField compact="0" numFmtId="49" outline="0" showAll="0"/>
    <pivotField compact="0" numFmtId="49" outline="0" showAll="0"/>
    <pivotField compact="0" numFmtId="49" outline="0" showAll="0"/>
    <pivotField compact="0" numFmtId="49" outline="0" showAll="0"/>
    <pivotField axis="axisRow" compact="0" outline="0" showAll="0" defaultSubtotal="0">
      <items count="9">
        <item x="4"/>
        <item x="1"/>
        <item x="7"/>
        <item x="2"/>
        <item x="3"/>
        <item x="8"/>
        <item x="0"/>
        <item x="6"/>
        <item x="5"/>
      </items>
    </pivotField>
    <pivotField axis="axisRow" compact="0" outline="0" showAll="0" defaultSubtotal="0">
      <items count="7">
        <item x="5"/>
        <item x="4"/>
        <item x="3"/>
        <item x="6"/>
        <item x="2"/>
        <item x="0"/>
        <item x="1"/>
      </items>
    </pivotField>
    <pivotField axis="axisRow" compact="0" outline="0" showAll="0" defaultSubtotal="0">
      <items count="50">
        <item x="9"/>
        <item x="7"/>
        <item x="6"/>
        <item x="20"/>
        <item x="24"/>
        <item x="1"/>
        <item x="46"/>
        <item x="11"/>
        <item x="30"/>
        <item x="8"/>
        <item x="0"/>
        <item x="45"/>
        <item x="18"/>
        <item x="3"/>
        <item x="40"/>
        <item x="42"/>
        <item x="37"/>
        <item x="39"/>
        <item x="34"/>
        <item x="10"/>
        <item x="17"/>
        <item x="33"/>
        <item x="49"/>
        <item x="29"/>
        <item x="21"/>
        <item x="47"/>
        <item x="12"/>
        <item x="27"/>
        <item x="32"/>
        <item x="5"/>
        <item x="38"/>
        <item x="13"/>
        <item x="25"/>
        <item x="35"/>
        <item x="36"/>
        <item x="41"/>
        <item x="44"/>
        <item x="48"/>
        <item x="2"/>
        <item x="4"/>
        <item x="14"/>
        <item x="15"/>
        <item x="16"/>
        <item x="19"/>
        <item x="22"/>
        <item x="23"/>
        <item x="26"/>
        <item x="28"/>
        <item x="31"/>
        <item x="43"/>
      </items>
    </pivotField>
    <pivotField axis="axisRow" compact="0" outline="0" showAll="0" defaultSubtotal="0">
      <items count="23">
        <item x="22"/>
        <item x="3"/>
        <item x="10"/>
        <item x="17"/>
        <item x="20"/>
        <item x="1"/>
        <item x="5"/>
        <item x="14"/>
        <item x="13"/>
        <item x="2"/>
        <item x="11"/>
        <item x="16"/>
        <item x="12"/>
        <item x="0"/>
        <item x="18"/>
        <item x="8"/>
        <item x="7"/>
        <item x="19"/>
        <item x="21"/>
        <item x="4"/>
        <item x="6"/>
        <item x="9"/>
        <item x="15"/>
      </items>
    </pivotField>
    <pivotField compact="0" outline="0" showAll="0"/>
  </pivotFields>
  <rowFields count="15">
    <field x="13"/>
    <field x="3"/>
    <field x="4"/>
    <field x="62"/>
    <field x="61"/>
    <field x="11"/>
    <field x="39"/>
    <field x="38"/>
    <field x="16"/>
    <field x="20"/>
    <field x="18"/>
    <field x="24"/>
    <field x="55"/>
    <field x="63"/>
    <field x="64"/>
  </rowFields>
  <rowItems count="60">
    <i>
      <x v="3"/>
      <x v="28"/>
      <x v="22"/>
      <x/>
      <x v="3"/>
      <x v="64"/>
      <x v="23"/>
      <x v="64"/>
      <x v="291"/>
      <x v="24"/>
      <x/>
      <x v="193"/>
      <x v="1"/>
      <x v="44"/>
      <x v="7"/>
    </i>
    <i r="5">
      <x v="66"/>
      <x v="15"/>
      <x v="66"/>
      <x v="142"/>
      <x v="147"/>
      <x v="4"/>
      <x v="123"/>
      <x v="1"/>
      <x v="44"/>
      <x v="7"/>
    </i>
    <i r="11">
      <x v="213"/>
      <x v="1"/>
      <x v="44"/>
      <x v="7"/>
    </i>
    <i r="8">
      <x v="322"/>
      <x v="324"/>
      <x v="41"/>
      <x v="321"/>
      <x v="1"/>
      <x v="44"/>
      <x v="7"/>
    </i>
    <i r="5">
      <x v="154"/>
      <x v="40"/>
      <x v="154"/>
      <x v="142"/>
      <x v="147"/>
      <x v="4"/>
      <x v="20"/>
      <x v="1"/>
      <x v="44"/>
      <x v="7"/>
    </i>
    <i r="8">
      <x v="148"/>
      <x v="154"/>
      <x/>
      <x v="189"/>
      <x v="1"/>
      <x v="44"/>
      <x v="7"/>
    </i>
    <i r="8">
      <x v="193"/>
      <x v="208"/>
      <x/>
      <x v="93"/>
      <x v="1"/>
      <x v="44"/>
      <x v="7"/>
    </i>
    <i r="8">
      <x v="349"/>
      <x v="346"/>
      <x v="4"/>
      <x v="20"/>
      <x v="1"/>
      <x v="44"/>
      <x v="7"/>
    </i>
    <i r="5">
      <x v="155"/>
      <x v="23"/>
      <x v="155"/>
      <x v="45"/>
      <x v="194"/>
      <x/>
      <x v="35"/>
      <x v="1"/>
      <x v="44"/>
      <x v="7"/>
    </i>
    <i r="8">
      <x v="142"/>
      <x v="147"/>
      <x v="4"/>
      <x v="20"/>
      <x v="1"/>
      <x v="44"/>
      <x v="7"/>
    </i>
    <i r="8">
      <x v="148"/>
      <x v="154"/>
      <x/>
      <x v="189"/>
      <x v="1"/>
      <x v="44"/>
      <x v="7"/>
    </i>
    <i r="8">
      <x v="349"/>
      <x v="346"/>
      <x v="4"/>
      <x v="20"/>
      <x v="1"/>
      <x v="44"/>
      <x v="7"/>
    </i>
    <i r="5">
      <x v="156"/>
      <x v="55"/>
      <x v="156"/>
      <x v="60"/>
      <x v="58"/>
      <x/>
      <x v="70"/>
      <x v="1"/>
      <x v="44"/>
      <x v="7"/>
    </i>
    <i r="5">
      <x v="215"/>
      <x v="55"/>
      <x v="213"/>
      <x v="361"/>
      <x v="116"/>
      <x v="7"/>
      <x v="271"/>
      <x v="1"/>
      <x v="44"/>
      <x v="7"/>
    </i>
    <i r="8">
      <x v="396"/>
      <x v="287"/>
      <x v="7"/>
      <x v="215"/>
      <x v="1"/>
      <x v="44"/>
      <x v="7"/>
    </i>
    <i r="5">
      <x v="216"/>
      <x v="64"/>
      <x v="214"/>
      <x v="367"/>
      <x v="157"/>
      <x v="7"/>
      <x v="347"/>
      <x v="1"/>
      <x v="44"/>
      <x v="7"/>
    </i>
    <i t="blank">
      <x v="3"/>
    </i>
    <i>
      <x v="6"/>
      <x v="28"/>
      <x v="22"/>
      <x/>
      <x v="3"/>
      <x v="215"/>
      <x v="55"/>
      <x v="213"/>
      <x v="396"/>
      <x v="287"/>
      <x v="7"/>
      <x v="346"/>
      <x v="15"/>
      <x v="44"/>
      <x v="7"/>
    </i>
    <i r="5">
      <x v="217"/>
      <x v="55"/>
      <x v="215"/>
      <x v="361"/>
      <x v="116"/>
      <x v="7"/>
      <x v="348"/>
      <x v="15"/>
      <x v="44"/>
      <x v="7"/>
    </i>
    <i r="8">
      <x v="397"/>
      <x v="287"/>
      <x v="7"/>
      <x v="269"/>
      <x v="15"/>
      <x v="44"/>
      <x v="7"/>
    </i>
    <i r="8">
      <x v="398"/>
      <x v="288"/>
      <x v="7"/>
      <x v="349"/>
      <x v="15"/>
      <x v="44"/>
      <x v="7"/>
    </i>
    <i t="blank">
      <x v="6"/>
    </i>
    <i>
      <x v="7"/>
      <x v="28"/>
      <x v="22"/>
      <x/>
      <x v="3"/>
      <x v="65"/>
      <x v="24"/>
      <x v="65"/>
      <x v="265"/>
      <x v="221"/>
      <x v="57"/>
      <x v="9"/>
      <x v="17"/>
      <x v="44"/>
      <x v="7"/>
    </i>
    <i t="blank">
      <x v="7"/>
    </i>
    <i>
      <x v="8"/>
      <x v="28"/>
      <x v="22"/>
      <x/>
      <x v="3"/>
      <x v="154"/>
      <x v="40"/>
      <x v="154"/>
      <x v="291"/>
      <x v="24"/>
      <x/>
      <x v="36"/>
      <x v="6"/>
      <x v="44"/>
      <x v="7"/>
    </i>
    <i t="blank">
      <x v="8"/>
    </i>
    <i>
      <x v="17"/>
      <x v="28"/>
      <x v="22"/>
      <x/>
      <x v="3"/>
      <x v="309"/>
      <x v="57"/>
      <x v="308"/>
      <x v="291"/>
      <x v="24"/>
      <x/>
      <x v="36"/>
      <x v="7"/>
      <x v="44"/>
      <x v="7"/>
    </i>
    <i r="5">
      <x v="342"/>
      <x v="58"/>
      <x v="342"/>
      <x v="321"/>
      <x v="323"/>
      <x v="20"/>
      <x v="160"/>
      <x v="7"/>
      <x v="44"/>
      <x v="7"/>
    </i>
    <i r="5">
      <x v="351"/>
      <x v="57"/>
      <x v="351"/>
      <x v="45"/>
      <x v="194"/>
      <x/>
      <x v="17"/>
      <x v="7"/>
      <x v="44"/>
      <x v="7"/>
    </i>
    <i r="8">
      <x v="55"/>
      <x v="53"/>
      <x/>
      <x v="35"/>
      <x v="7"/>
      <x v="44"/>
      <x v="7"/>
    </i>
    <i r="8">
      <x v="142"/>
      <x v="147"/>
      <x v="4"/>
      <x v="5"/>
      <x v="7"/>
      <x v="44"/>
      <x v="7"/>
    </i>
    <i r="8">
      <x v="143"/>
      <x v="148"/>
      <x/>
      <x v="5"/>
      <x v="7"/>
      <x v="44"/>
      <x v="7"/>
    </i>
    <i r="8">
      <x v="148"/>
      <x v="154"/>
      <x/>
      <x v="16"/>
      <x v="7"/>
      <x v="44"/>
      <x v="7"/>
    </i>
    <i r="8">
      <x v="173"/>
      <x v="179"/>
      <x/>
      <x v="20"/>
      <x v="7"/>
      <x v="44"/>
      <x v="7"/>
    </i>
    <i r="8">
      <x v="193"/>
      <x v="208"/>
      <x/>
      <x v="2"/>
      <x v="7"/>
      <x v="44"/>
      <x v="7"/>
    </i>
    <i r="8">
      <x v="349"/>
      <x v="346"/>
      <x v="4"/>
      <x v="63"/>
      <x v="7"/>
      <x v="44"/>
      <x v="7"/>
    </i>
    <i r="5">
      <x v="352"/>
      <x v="87"/>
      <x v="352"/>
      <x v="265"/>
      <x v="221"/>
      <x v="57"/>
      <x v="93"/>
      <x v="7"/>
      <x v="44"/>
      <x v="7"/>
    </i>
    <i r="5">
      <x v="353"/>
      <x v="58"/>
      <x v="353"/>
      <x v="177"/>
      <x v="113"/>
      <x/>
      <x v="20"/>
      <x v="7"/>
      <x v="44"/>
      <x v="7"/>
    </i>
    <i r="8">
      <x v="289"/>
      <x v="87"/>
      <x v="23"/>
      <x v="23"/>
      <x v="7"/>
      <x v="44"/>
      <x v="7"/>
    </i>
    <i r="5">
      <x v="354"/>
      <x v="91"/>
      <x v="354"/>
      <x v="60"/>
      <x v="58"/>
      <x/>
      <x v="46"/>
      <x v="7"/>
      <x v="44"/>
      <x v="7"/>
    </i>
    <i r="5">
      <x v="511"/>
      <x v="99"/>
      <x v="510"/>
      <x v="151"/>
      <x v="157"/>
      <x v="7"/>
      <x v="423"/>
      <x v="7"/>
      <x v="44"/>
      <x v="7"/>
    </i>
    <i r="8">
      <x v="437"/>
      <x v="115"/>
      <x v="7"/>
      <x v="424"/>
      <x v="7"/>
      <x v="44"/>
      <x v="7"/>
    </i>
    <i r="5">
      <x v="512"/>
      <x v="91"/>
      <x v="511"/>
      <x v="112"/>
      <x v="116"/>
      <x v="7"/>
      <x v="425"/>
      <x v="7"/>
      <x v="44"/>
      <x v="7"/>
    </i>
    <i r="8">
      <x v="278"/>
      <x v="287"/>
      <x v="7"/>
      <x v="269"/>
      <x v="7"/>
      <x v="44"/>
      <x v="7"/>
    </i>
    <i t="blank">
      <x v="17"/>
    </i>
    <i>
      <x v="21"/>
      <x v="28"/>
      <x v="22"/>
      <x/>
      <x v="3"/>
      <x v="355"/>
      <x v="92"/>
      <x v="355"/>
      <x v="291"/>
      <x v="24"/>
      <x/>
      <x v="126"/>
      <x v="4"/>
      <x v="44"/>
      <x v="7"/>
    </i>
    <i r="5">
      <x v="513"/>
      <x v="92"/>
      <x v="512"/>
      <x v="45"/>
      <x v="194"/>
      <x/>
      <x v="55"/>
      <x v="4"/>
      <x v="44"/>
      <x v="7"/>
    </i>
    <i r="8">
      <x v="55"/>
      <x v="53"/>
      <x/>
      <x v="237"/>
      <x v="4"/>
      <x v="44"/>
      <x v="7"/>
    </i>
    <i r="8">
      <x v="142"/>
      <x v="147"/>
      <x v="4"/>
      <x v="88"/>
      <x v="4"/>
      <x v="44"/>
      <x v="7"/>
    </i>
    <i r="8">
      <x v="143"/>
      <x v="148"/>
      <x/>
      <x v="55"/>
      <x v="4"/>
      <x v="44"/>
      <x v="7"/>
    </i>
    <i r="8">
      <x v="148"/>
      <x v="154"/>
      <x/>
      <x v="63"/>
      <x v="4"/>
      <x v="44"/>
      <x v="7"/>
    </i>
    <i r="8">
      <x v="173"/>
      <x v="179"/>
      <x/>
      <x v="144"/>
      <x v="4"/>
      <x v="44"/>
      <x v="7"/>
    </i>
    <i r="8">
      <x v="193"/>
      <x v="208"/>
      <x/>
      <x v="31"/>
      <x v="4"/>
      <x v="44"/>
      <x v="7"/>
    </i>
    <i r="8">
      <x v="322"/>
      <x v="324"/>
      <x v="41"/>
      <x v="386"/>
      <x v="4"/>
      <x v="44"/>
      <x v="7"/>
    </i>
    <i r="8">
      <x v="349"/>
      <x v="346"/>
      <x v="4"/>
      <x v="273"/>
      <x v="4"/>
      <x v="44"/>
      <x v="7"/>
    </i>
    <i r="5">
      <x v="514"/>
      <x v="94"/>
      <x v="513"/>
      <x v="265"/>
      <x v="221"/>
      <x v="57"/>
      <x v="75"/>
      <x v="4"/>
      <x v="44"/>
      <x v="7"/>
    </i>
    <i r="5">
      <x v="515"/>
      <x v="98"/>
      <x v="514"/>
      <x v="177"/>
      <x v="113"/>
      <x/>
      <x v="89"/>
      <x v="4"/>
      <x v="44"/>
      <x v="7"/>
    </i>
    <i r="8">
      <x v="289"/>
      <x v="87"/>
      <x v="23"/>
      <x v="64"/>
      <x v="4"/>
      <x v="44"/>
      <x v="7"/>
    </i>
    <i r="5">
      <x v="516"/>
      <x v="101"/>
      <x v="515"/>
      <x v="60"/>
      <x v="58"/>
      <x/>
      <x v="25"/>
      <x v="4"/>
      <x v="44"/>
      <x v="7"/>
    </i>
    <i t="blank">
      <x v="21"/>
    </i>
  </rowItems>
  <colItems count="1">
    <i/>
  </colItems>
  <pageFields count="1">
    <pageField fld="2" item="28" hier="-1"/>
  </pageFields>
  <formats count="2">
    <format dxfId="1">
      <pivotArea dataOnly="0" labelOnly="1" outline="0" fieldPosition="0">
        <references count="1">
          <reference field="13" count="0"/>
        </references>
      </pivotArea>
    </format>
    <format dxfId="0">
      <pivotArea dataOnly="0" labelOnly="1" outline="0" fieldPosition="0">
        <references count="1">
          <reference field="55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CB9987-5F7C-4D97-A66D-E99FD4CBAF43}" name="피벗 테이블3" cacheId="14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G19" firstHeaderRow="1" firstDataRow="2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x="7"/>
        <item x="13"/>
        <item x="2"/>
        <item x="4"/>
        <item x="11"/>
        <item x="12"/>
        <item x="10"/>
        <item x="1"/>
        <item x="0"/>
        <item x="9"/>
        <item x="8"/>
        <item x="5"/>
        <item x="3"/>
        <item x="6"/>
        <item t="default"/>
      </items>
    </pivotField>
    <pivotField showAll="0"/>
    <pivotField showAll="0"/>
    <pivotField dataField="1" showAll="0"/>
    <pivotField numFmtId="14" showAll="0"/>
    <pivotField axis="axisCol" numFmtId="179" showAll="0">
      <items count="11">
        <item m="1" x="5"/>
        <item m="1" x="6"/>
        <item m="1" x="7"/>
        <item m="1" x="8"/>
        <item m="1" x="9"/>
        <item x="0"/>
        <item x="1"/>
        <item x="2"/>
        <item x="3"/>
        <item x="4"/>
        <item t="default"/>
      </items>
    </pivotField>
  </pivotFields>
  <rowFields count="1">
    <field x="9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14"/>
  </colFields>
  <colItems count="6">
    <i>
      <x v="5"/>
    </i>
    <i>
      <x v="6"/>
    </i>
    <i>
      <x v="7"/>
    </i>
    <i>
      <x v="8"/>
    </i>
    <i>
      <x v="9"/>
    </i>
    <i t="grand">
      <x/>
    </i>
  </colItems>
  <dataFields count="1">
    <dataField name="합계 : 수량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.bin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EEF33-FA1E-473B-AE33-3A1966C9B3A5}">
  <sheetPr codeName="Sheet1">
    <pageSetUpPr fitToPage="1"/>
  </sheetPr>
  <dimension ref="A2:O65"/>
  <sheetViews>
    <sheetView topLeftCell="C43" workbookViewId="0">
      <selection activeCell="J50" sqref="J50"/>
    </sheetView>
  </sheetViews>
  <sheetFormatPr defaultRowHeight="16.5" x14ac:dyDescent="0.3"/>
  <cols>
    <col min="1" max="1" width="23.25" hidden="1" customWidth="1"/>
    <col min="2" max="2" width="12.875" bestFit="1" customWidth="1"/>
    <col min="3" max="3" width="12" bestFit="1" customWidth="1"/>
    <col min="4" max="4" width="30" bestFit="1" customWidth="1"/>
    <col min="5" max="5" width="24" bestFit="1" customWidth="1"/>
    <col min="6" max="6" width="14" bestFit="1" customWidth="1"/>
    <col min="7" max="7" width="15" bestFit="1" customWidth="1"/>
    <col min="8" max="8" width="13.25" bestFit="1" customWidth="1"/>
    <col min="9" max="9" width="11.25" bestFit="1" customWidth="1"/>
    <col min="10" max="10" width="44.875" bestFit="1" customWidth="1"/>
    <col min="11" max="11" width="10.125" bestFit="1" customWidth="1"/>
    <col min="12" max="12" width="13.25" bestFit="1" customWidth="1"/>
    <col min="13" max="13" width="27.125" bestFit="1" customWidth="1"/>
    <col min="14" max="14" width="77.25" bestFit="1" customWidth="1"/>
    <col min="15" max="15" width="108" bestFit="1" customWidth="1"/>
    <col min="16" max="23" width="16.375" customWidth="1"/>
    <col min="24" max="25" width="10.875" customWidth="1"/>
    <col min="26" max="479" width="10.875" bestFit="1" customWidth="1"/>
    <col min="480" max="480" width="10.75" bestFit="1" customWidth="1"/>
    <col min="481" max="483" width="55.375" bestFit="1" customWidth="1"/>
    <col min="484" max="484" width="10.75" bestFit="1" customWidth="1"/>
  </cols>
  <sheetData>
    <row r="2" spans="1:15" x14ac:dyDescent="0.3">
      <c r="A2" t="s">
        <v>0</v>
      </c>
      <c r="B2" s="1">
        <v>72851</v>
      </c>
    </row>
    <row r="5" spans="1:15" x14ac:dyDescent="0.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H5" t="s">
        <v>8</v>
      </c>
      <c r="I5" t="s">
        <v>9</v>
      </c>
      <c r="J5" t="s">
        <v>10</v>
      </c>
      <c r="K5" t="s">
        <v>11</v>
      </c>
      <c r="L5" t="s">
        <v>12</v>
      </c>
      <c r="M5" t="s">
        <v>13</v>
      </c>
      <c r="N5" t="s">
        <v>14</v>
      </c>
      <c r="O5" t="s">
        <v>15</v>
      </c>
    </row>
    <row r="6" spans="1:15" x14ac:dyDescent="0.3">
      <c r="A6" s="2">
        <v>45989</v>
      </c>
      <c r="B6" t="s">
        <v>16</v>
      </c>
      <c r="C6" t="s">
        <v>17</v>
      </c>
      <c r="D6" t="s">
        <v>18</v>
      </c>
      <c r="E6" t="s">
        <v>19</v>
      </c>
      <c r="F6" s="3">
        <v>111709</v>
      </c>
      <c r="G6" t="s">
        <v>20</v>
      </c>
      <c r="H6" s="3">
        <v>40007175</v>
      </c>
      <c r="I6">
        <v>701775</v>
      </c>
      <c r="J6" t="s">
        <v>21</v>
      </c>
      <c r="K6" s="3">
        <v>400</v>
      </c>
      <c r="L6" s="3">
        <v>756</v>
      </c>
      <c r="M6" s="2">
        <v>45989</v>
      </c>
      <c r="N6" t="s">
        <v>22</v>
      </c>
      <c r="O6" t="s">
        <v>23</v>
      </c>
    </row>
    <row r="7" spans="1:15" x14ac:dyDescent="0.3">
      <c r="A7" s="2">
        <v>45989</v>
      </c>
      <c r="F7" s="3">
        <v>111717</v>
      </c>
      <c r="G7" t="s">
        <v>24</v>
      </c>
      <c r="H7" s="3">
        <v>40007182</v>
      </c>
      <c r="I7">
        <v>116180</v>
      </c>
      <c r="J7" t="s">
        <v>25</v>
      </c>
      <c r="K7" s="3">
        <v>500</v>
      </c>
      <c r="L7" s="3">
        <v>29</v>
      </c>
      <c r="M7" s="2">
        <v>45989</v>
      </c>
      <c r="N7" t="s">
        <v>22</v>
      </c>
      <c r="O7" t="s">
        <v>23</v>
      </c>
    </row>
    <row r="8" spans="1:15" x14ac:dyDescent="0.3">
      <c r="A8" s="2">
        <v>45989</v>
      </c>
      <c r="F8" s="3">
        <v>111717</v>
      </c>
      <c r="G8" t="s">
        <v>24</v>
      </c>
      <c r="H8" s="3">
        <v>40007182</v>
      </c>
      <c r="I8">
        <v>116180</v>
      </c>
      <c r="J8" t="s">
        <v>25</v>
      </c>
      <c r="K8" s="3">
        <v>500</v>
      </c>
      <c r="L8" s="3">
        <v>67</v>
      </c>
      <c r="M8" s="2">
        <v>45989</v>
      </c>
      <c r="N8" t="s">
        <v>22</v>
      </c>
      <c r="O8" t="s">
        <v>23</v>
      </c>
    </row>
    <row r="9" spans="1:15" x14ac:dyDescent="0.3">
      <c r="A9" s="2">
        <v>45989</v>
      </c>
      <c r="F9" s="3">
        <v>111717</v>
      </c>
      <c r="G9" t="s">
        <v>24</v>
      </c>
      <c r="H9" s="3">
        <v>40007182</v>
      </c>
      <c r="I9">
        <v>578785</v>
      </c>
      <c r="J9" t="s">
        <v>26</v>
      </c>
      <c r="K9" s="3">
        <v>1000</v>
      </c>
      <c r="L9" s="3">
        <v>74</v>
      </c>
      <c r="M9" s="2">
        <v>45989</v>
      </c>
      <c r="N9" t="s">
        <v>22</v>
      </c>
      <c r="O9" t="s">
        <v>23</v>
      </c>
    </row>
    <row r="10" spans="1:15" x14ac:dyDescent="0.3">
      <c r="A10" s="2">
        <v>45989</v>
      </c>
      <c r="F10" s="3">
        <v>111896</v>
      </c>
      <c r="G10" t="s">
        <v>27</v>
      </c>
      <c r="H10" s="3">
        <v>40007370</v>
      </c>
      <c r="I10">
        <v>116180</v>
      </c>
      <c r="J10" t="s">
        <v>25</v>
      </c>
      <c r="K10" s="3">
        <v>500</v>
      </c>
      <c r="L10" s="3">
        <v>20</v>
      </c>
      <c r="M10" s="2">
        <v>45989</v>
      </c>
      <c r="N10" t="s">
        <v>22</v>
      </c>
      <c r="O10" t="s">
        <v>23</v>
      </c>
    </row>
    <row r="11" spans="1:15" x14ac:dyDescent="0.3">
      <c r="A11" s="2">
        <v>45989</v>
      </c>
      <c r="F11" s="3">
        <v>111896</v>
      </c>
      <c r="G11" t="s">
        <v>27</v>
      </c>
      <c r="H11" s="3">
        <v>40007370</v>
      </c>
      <c r="I11">
        <v>117547</v>
      </c>
      <c r="J11" t="s">
        <v>28</v>
      </c>
      <c r="K11" s="3">
        <v>400</v>
      </c>
      <c r="L11" s="3">
        <v>54</v>
      </c>
      <c r="M11" s="2">
        <v>45989</v>
      </c>
      <c r="N11" t="s">
        <v>22</v>
      </c>
      <c r="O11" t="s">
        <v>23</v>
      </c>
    </row>
    <row r="12" spans="1:15" x14ac:dyDescent="0.3">
      <c r="A12" s="2">
        <v>45989</v>
      </c>
      <c r="F12" s="3">
        <v>111896</v>
      </c>
      <c r="G12" t="s">
        <v>27</v>
      </c>
      <c r="H12" s="3">
        <v>40007370</v>
      </c>
      <c r="I12">
        <v>589462</v>
      </c>
      <c r="J12" t="s">
        <v>29</v>
      </c>
      <c r="K12" s="3">
        <v>400</v>
      </c>
      <c r="L12" s="3">
        <v>11</v>
      </c>
      <c r="M12" s="2">
        <v>45989</v>
      </c>
      <c r="N12" t="s">
        <v>22</v>
      </c>
      <c r="O12" t="s">
        <v>23</v>
      </c>
    </row>
    <row r="13" spans="1:15" x14ac:dyDescent="0.3">
      <c r="A13" s="2">
        <v>45989</v>
      </c>
      <c r="F13" s="3">
        <v>111896</v>
      </c>
      <c r="G13" t="s">
        <v>27</v>
      </c>
      <c r="H13" s="3">
        <v>40007370</v>
      </c>
      <c r="I13">
        <v>117771</v>
      </c>
      <c r="J13" t="s">
        <v>30</v>
      </c>
      <c r="K13" s="3">
        <v>500</v>
      </c>
      <c r="L13" s="3">
        <v>20</v>
      </c>
      <c r="M13" s="2">
        <v>45989</v>
      </c>
      <c r="N13" t="s">
        <v>22</v>
      </c>
      <c r="O13" t="s">
        <v>23</v>
      </c>
    </row>
    <row r="14" spans="1:15" x14ac:dyDescent="0.3">
      <c r="A14" s="2">
        <v>45989</v>
      </c>
      <c r="F14" s="3">
        <v>111897</v>
      </c>
      <c r="G14" t="s">
        <v>20</v>
      </c>
      <c r="H14" s="3">
        <v>40007371</v>
      </c>
      <c r="I14">
        <v>646546</v>
      </c>
      <c r="J14" t="s">
        <v>31</v>
      </c>
      <c r="K14" s="3">
        <v>400</v>
      </c>
      <c r="L14" s="3">
        <v>23</v>
      </c>
      <c r="M14" s="2">
        <v>45989</v>
      </c>
      <c r="N14" t="s">
        <v>22</v>
      </c>
      <c r="O14" t="s">
        <v>23</v>
      </c>
    </row>
    <row r="15" spans="1:15" x14ac:dyDescent="0.3">
      <c r="A15" s="2">
        <v>45989</v>
      </c>
      <c r="F15" s="3">
        <v>111897</v>
      </c>
      <c r="G15" t="s">
        <v>20</v>
      </c>
      <c r="H15" s="3">
        <v>40007371</v>
      </c>
      <c r="I15">
        <v>116180</v>
      </c>
      <c r="J15" t="s">
        <v>25</v>
      </c>
      <c r="K15" s="3">
        <v>500</v>
      </c>
      <c r="L15" s="3">
        <v>20</v>
      </c>
      <c r="M15" s="2">
        <v>45989</v>
      </c>
      <c r="N15" t="s">
        <v>22</v>
      </c>
      <c r="O15" t="s">
        <v>23</v>
      </c>
    </row>
    <row r="16" spans="1:15" x14ac:dyDescent="0.3">
      <c r="A16" s="2">
        <v>45989</v>
      </c>
      <c r="F16" s="3">
        <v>111897</v>
      </c>
      <c r="G16" t="s">
        <v>20</v>
      </c>
      <c r="H16" s="3">
        <v>40007371</v>
      </c>
      <c r="I16">
        <v>117547</v>
      </c>
      <c r="J16" t="s">
        <v>28</v>
      </c>
      <c r="K16" s="3">
        <v>400</v>
      </c>
      <c r="L16" s="3">
        <v>54</v>
      </c>
      <c r="M16" s="2">
        <v>45989</v>
      </c>
      <c r="N16" t="s">
        <v>22</v>
      </c>
      <c r="O16" t="s">
        <v>23</v>
      </c>
    </row>
    <row r="17" spans="1:15" x14ac:dyDescent="0.3">
      <c r="A17" s="2">
        <v>45989</v>
      </c>
      <c r="F17" s="3">
        <v>111897</v>
      </c>
      <c r="G17" t="s">
        <v>20</v>
      </c>
      <c r="H17" s="3">
        <v>40007371</v>
      </c>
      <c r="I17">
        <v>117771</v>
      </c>
      <c r="J17" t="s">
        <v>30</v>
      </c>
      <c r="K17" s="3">
        <v>500</v>
      </c>
      <c r="L17" s="3">
        <v>20</v>
      </c>
      <c r="M17" s="2">
        <v>45989</v>
      </c>
      <c r="N17" t="s">
        <v>22</v>
      </c>
      <c r="O17" t="s">
        <v>23</v>
      </c>
    </row>
    <row r="18" spans="1:15" x14ac:dyDescent="0.3">
      <c r="A18" s="2">
        <v>45989</v>
      </c>
      <c r="F18" s="3">
        <v>111898</v>
      </c>
      <c r="G18" t="s">
        <v>32</v>
      </c>
      <c r="H18" s="3">
        <v>40007372</v>
      </c>
      <c r="I18">
        <v>645380</v>
      </c>
      <c r="J18" t="s">
        <v>33</v>
      </c>
      <c r="K18" s="3">
        <v>400</v>
      </c>
      <c r="L18" s="3">
        <v>72</v>
      </c>
      <c r="M18" s="2">
        <v>45989</v>
      </c>
      <c r="N18" t="s">
        <v>22</v>
      </c>
      <c r="O18" t="s">
        <v>23</v>
      </c>
    </row>
    <row r="19" spans="1:15" x14ac:dyDescent="0.3">
      <c r="A19" s="2">
        <v>45989</v>
      </c>
      <c r="F19" s="3">
        <v>111976</v>
      </c>
      <c r="G19" t="s">
        <v>32</v>
      </c>
      <c r="H19" s="3">
        <v>40007454</v>
      </c>
      <c r="I19" t="s">
        <v>34</v>
      </c>
      <c r="J19" t="s">
        <v>35</v>
      </c>
      <c r="K19" s="3">
        <v>800</v>
      </c>
      <c r="L19" s="3">
        <v>5952</v>
      </c>
      <c r="M19" s="2">
        <v>45989</v>
      </c>
      <c r="N19" t="s">
        <v>22</v>
      </c>
      <c r="O19" t="s">
        <v>23</v>
      </c>
    </row>
    <row r="20" spans="1:15" x14ac:dyDescent="0.3">
      <c r="A20" s="2">
        <v>45989</v>
      </c>
      <c r="F20" s="3">
        <v>111976</v>
      </c>
      <c r="G20" t="s">
        <v>32</v>
      </c>
      <c r="H20" s="3">
        <v>40007454</v>
      </c>
      <c r="I20" t="s">
        <v>36</v>
      </c>
      <c r="J20" t="s">
        <v>37</v>
      </c>
      <c r="K20" s="3">
        <v>800</v>
      </c>
      <c r="L20" s="3">
        <v>672</v>
      </c>
      <c r="M20" s="2">
        <v>45989</v>
      </c>
      <c r="N20" t="s">
        <v>22</v>
      </c>
      <c r="O20" t="s">
        <v>23</v>
      </c>
    </row>
    <row r="21" spans="1:15" x14ac:dyDescent="0.3">
      <c r="A21" s="2">
        <v>45989</v>
      </c>
      <c r="F21" s="3">
        <v>111977</v>
      </c>
      <c r="G21" t="s">
        <v>38</v>
      </c>
      <c r="H21" s="3">
        <v>40007455</v>
      </c>
      <c r="I21" t="s">
        <v>39</v>
      </c>
      <c r="J21" t="s">
        <v>40</v>
      </c>
      <c r="K21" s="3">
        <v>800</v>
      </c>
      <c r="L21" s="3">
        <v>2987</v>
      </c>
      <c r="M21" s="2">
        <v>45989</v>
      </c>
      <c r="N21" t="s">
        <v>22</v>
      </c>
      <c r="O21" t="s">
        <v>23</v>
      </c>
    </row>
    <row r="22" spans="1:15" x14ac:dyDescent="0.3">
      <c r="A22" s="4"/>
    </row>
    <row r="23" spans="1:15" x14ac:dyDescent="0.3">
      <c r="A23" s="2">
        <v>45996</v>
      </c>
      <c r="B23" t="s">
        <v>16</v>
      </c>
      <c r="C23" t="s">
        <v>17</v>
      </c>
      <c r="D23" t="s">
        <v>18</v>
      </c>
      <c r="E23" t="s">
        <v>19</v>
      </c>
      <c r="F23" s="3">
        <v>111976</v>
      </c>
      <c r="G23" t="s">
        <v>32</v>
      </c>
      <c r="H23" s="3">
        <v>40007454</v>
      </c>
      <c r="I23" t="s">
        <v>36</v>
      </c>
      <c r="J23" t="s">
        <v>37</v>
      </c>
      <c r="K23" s="3">
        <v>800</v>
      </c>
      <c r="L23" s="3">
        <v>2420</v>
      </c>
      <c r="M23" s="2">
        <v>45996</v>
      </c>
      <c r="N23" t="s">
        <v>22</v>
      </c>
      <c r="O23" t="s">
        <v>23</v>
      </c>
    </row>
    <row r="24" spans="1:15" x14ac:dyDescent="0.3">
      <c r="A24" s="2">
        <v>45996</v>
      </c>
      <c r="F24" s="3">
        <v>111978</v>
      </c>
      <c r="G24" t="s">
        <v>32</v>
      </c>
      <c r="H24" s="3">
        <v>40007456</v>
      </c>
      <c r="I24" t="s">
        <v>34</v>
      </c>
      <c r="J24" t="s">
        <v>35</v>
      </c>
      <c r="K24" s="3">
        <v>800</v>
      </c>
      <c r="L24" s="3">
        <v>4430</v>
      </c>
      <c r="M24" s="2">
        <v>45996</v>
      </c>
      <c r="N24" t="s">
        <v>22</v>
      </c>
      <c r="O24" t="s">
        <v>23</v>
      </c>
    </row>
    <row r="25" spans="1:15" x14ac:dyDescent="0.3">
      <c r="A25" s="2">
        <v>45996</v>
      </c>
      <c r="F25" s="3">
        <v>111978</v>
      </c>
      <c r="G25" t="s">
        <v>32</v>
      </c>
      <c r="H25" s="3">
        <v>40007456</v>
      </c>
      <c r="I25" t="s">
        <v>41</v>
      </c>
      <c r="J25" t="s">
        <v>37</v>
      </c>
      <c r="K25" s="3">
        <v>800</v>
      </c>
      <c r="L25" s="3">
        <v>2304</v>
      </c>
      <c r="M25" s="2">
        <v>45996</v>
      </c>
      <c r="N25" t="s">
        <v>22</v>
      </c>
      <c r="O25" t="s">
        <v>23</v>
      </c>
    </row>
    <row r="26" spans="1:15" x14ac:dyDescent="0.3">
      <c r="A26" s="2">
        <v>45996</v>
      </c>
      <c r="F26" s="3">
        <v>111978</v>
      </c>
      <c r="G26" t="s">
        <v>32</v>
      </c>
      <c r="H26" s="3">
        <v>40007456</v>
      </c>
      <c r="I26" t="s">
        <v>42</v>
      </c>
      <c r="J26" t="s">
        <v>43</v>
      </c>
      <c r="K26" s="3">
        <v>800</v>
      </c>
      <c r="L26" s="3">
        <v>2672</v>
      </c>
      <c r="M26" s="2">
        <v>45996</v>
      </c>
      <c r="N26" t="s">
        <v>22</v>
      </c>
      <c r="O26" t="s">
        <v>23</v>
      </c>
    </row>
    <row r="27" spans="1:15" x14ac:dyDescent="0.3">
      <c r="A27" s="4"/>
    </row>
    <row r="28" spans="1:15" x14ac:dyDescent="0.3">
      <c r="A28" s="2">
        <v>46002</v>
      </c>
      <c r="B28" t="s">
        <v>16</v>
      </c>
      <c r="C28" t="s">
        <v>17</v>
      </c>
      <c r="D28" t="s">
        <v>18</v>
      </c>
      <c r="E28" t="s">
        <v>19</v>
      </c>
      <c r="F28" s="3">
        <v>111715</v>
      </c>
      <c r="G28" t="s">
        <v>44</v>
      </c>
      <c r="H28" s="3">
        <v>40007180</v>
      </c>
      <c r="I28">
        <v>691217</v>
      </c>
      <c r="J28" t="s">
        <v>45</v>
      </c>
      <c r="K28" s="3">
        <v>449</v>
      </c>
      <c r="L28" s="3">
        <v>4</v>
      </c>
      <c r="M28" s="2">
        <v>46002</v>
      </c>
      <c r="N28" t="s">
        <v>22</v>
      </c>
      <c r="O28" t="s">
        <v>23</v>
      </c>
    </row>
    <row r="29" spans="1:15" x14ac:dyDescent="0.3">
      <c r="A29" s="4"/>
    </row>
    <row r="30" spans="1:15" x14ac:dyDescent="0.3">
      <c r="A30" s="2">
        <v>46003</v>
      </c>
      <c r="B30" t="s">
        <v>16</v>
      </c>
      <c r="C30" t="s">
        <v>17</v>
      </c>
      <c r="D30" t="s">
        <v>18</v>
      </c>
      <c r="E30" t="s">
        <v>19</v>
      </c>
      <c r="F30" s="3">
        <v>111896</v>
      </c>
      <c r="G30" t="s">
        <v>27</v>
      </c>
      <c r="H30" s="3">
        <v>40007370</v>
      </c>
      <c r="I30">
        <v>701775</v>
      </c>
      <c r="J30" t="s">
        <v>21</v>
      </c>
      <c r="K30" s="3">
        <v>400</v>
      </c>
      <c r="L30" s="3">
        <v>432</v>
      </c>
      <c r="M30" s="2">
        <v>46003</v>
      </c>
      <c r="N30" t="s">
        <v>22</v>
      </c>
      <c r="O30" t="s">
        <v>23</v>
      </c>
    </row>
    <row r="31" spans="1:15" x14ac:dyDescent="0.3">
      <c r="A31" s="4"/>
    </row>
    <row r="32" spans="1:15" x14ac:dyDescent="0.3">
      <c r="A32" s="2">
        <v>46052</v>
      </c>
      <c r="B32" t="s">
        <v>16</v>
      </c>
      <c r="C32" t="s">
        <v>17</v>
      </c>
      <c r="D32" t="s">
        <v>18</v>
      </c>
      <c r="E32" t="s">
        <v>19</v>
      </c>
      <c r="F32" s="3">
        <v>112125</v>
      </c>
      <c r="G32" t="s">
        <v>46</v>
      </c>
      <c r="H32" s="3">
        <v>40007602</v>
      </c>
      <c r="I32">
        <v>701775</v>
      </c>
      <c r="J32" t="s">
        <v>21</v>
      </c>
      <c r="K32" s="3">
        <v>400</v>
      </c>
      <c r="L32" s="3">
        <v>432</v>
      </c>
      <c r="M32" s="2">
        <v>46052</v>
      </c>
      <c r="N32" t="s">
        <v>22</v>
      </c>
      <c r="O32" t="s">
        <v>23</v>
      </c>
    </row>
    <row r="33" spans="1:15" x14ac:dyDescent="0.3">
      <c r="A33" s="2">
        <v>46052</v>
      </c>
      <c r="F33" s="3">
        <v>112167</v>
      </c>
      <c r="G33" t="s">
        <v>47</v>
      </c>
      <c r="H33" s="3">
        <v>40007644</v>
      </c>
      <c r="I33">
        <v>702466</v>
      </c>
      <c r="J33" t="s">
        <v>48</v>
      </c>
      <c r="K33" s="3">
        <v>280</v>
      </c>
      <c r="L33" s="3">
        <v>1000</v>
      </c>
      <c r="M33" s="2">
        <v>46052</v>
      </c>
      <c r="N33" t="s">
        <v>22</v>
      </c>
      <c r="O33" t="s">
        <v>23</v>
      </c>
    </row>
    <row r="34" spans="1:15" x14ac:dyDescent="0.3">
      <c r="A34" s="2">
        <v>46052</v>
      </c>
      <c r="F34" s="3">
        <v>112179</v>
      </c>
      <c r="G34" t="s">
        <v>46</v>
      </c>
      <c r="H34" s="3">
        <v>40007653</v>
      </c>
      <c r="I34">
        <v>646546</v>
      </c>
      <c r="J34" t="s">
        <v>31</v>
      </c>
      <c r="K34" s="3">
        <v>400</v>
      </c>
      <c r="L34" s="3">
        <v>45</v>
      </c>
      <c r="M34" s="2">
        <v>46052</v>
      </c>
      <c r="N34" t="s">
        <v>22</v>
      </c>
      <c r="O34" t="s">
        <v>23</v>
      </c>
    </row>
    <row r="35" spans="1:15" x14ac:dyDescent="0.3">
      <c r="A35" s="2">
        <v>46052</v>
      </c>
      <c r="F35" s="3">
        <v>112179</v>
      </c>
      <c r="G35" t="s">
        <v>46</v>
      </c>
      <c r="H35" s="3">
        <v>40007653</v>
      </c>
      <c r="I35">
        <v>646567</v>
      </c>
      <c r="J35" t="s">
        <v>49</v>
      </c>
      <c r="K35" s="3">
        <v>400</v>
      </c>
      <c r="L35" s="3">
        <v>23</v>
      </c>
      <c r="M35" s="2">
        <v>46052</v>
      </c>
      <c r="N35" t="s">
        <v>22</v>
      </c>
      <c r="O35" t="s">
        <v>23</v>
      </c>
    </row>
    <row r="36" spans="1:15" x14ac:dyDescent="0.3">
      <c r="A36" s="2">
        <v>46052</v>
      </c>
      <c r="F36" s="3">
        <v>112179</v>
      </c>
      <c r="G36" t="s">
        <v>46</v>
      </c>
      <c r="H36" s="3">
        <v>40007653</v>
      </c>
      <c r="I36">
        <v>116180</v>
      </c>
      <c r="J36" t="s">
        <v>25</v>
      </c>
      <c r="K36" s="3">
        <v>500</v>
      </c>
      <c r="L36" s="3">
        <v>30</v>
      </c>
      <c r="M36" s="2">
        <v>46052</v>
      </c>
      <c r="N36" t="s">
        <v>22</v>
      </c>
      <c r="O36" t="s">
        <v>23</v>
      </c>
    </row>
    <row r="37" spans="1:15" x14ac:dyDescent="0.3">
      <c r="A37" s="2">
        <v>46052</v>
      </c>
      <c r="F37" s="3">
        <v>112179</v>
      </c>
      <c r="G37" t="s">
        <v>46</v>
      </c>
      <c r="H37" s="3">
        <v>40007653</v>
      </c>
      <c r="I37">
        <v>589466</v>
      </c>
      <c r="J37" t="s">
        <v>50</v>
      </c>
      <c r="K37" s="3">
        <v>400</v>
      </c>
      <c r="L37" s="3">
        <v>30</v>
      </c>
      <c r="M37" s="2">
        <v>46052</v>
      </c>
      <c r="N37" t="s">
        <v>22</v>
      </c>
      <c r="O37" t="s">
        <v>23</v>
      </c>
    </row>
    <row r="38" spans="1:15" x14ac:dyDescent="0.3">
      <c r="A38" s="2">
        <v>46052</v>
      </c>
      <c r="F38" s="3">
        <v>112179</v>
      </c>
      <c r="G38" t="s">
        <v>46</v>
      </c>
      <c r="H38" s="3">
        <v>40007653</v>
      </c>
      <c r="I38">
        <v>117547</v>
      </c>
      <c r="J38" t="s">
        <v>28</v>
      </c>
      <c r="K38" s="3">
        <v>400</v>
      </c>
      <c r="L38" s="3">
        <v>60</v>
      </c>
      <c r="M38" s="2">
        <v>46052</v>
      </c>
      <c r="N38" t="s">
        <v>22</v>
      </c>
      <c r="O38" t="s">
        <v>23</v>
      </c>
    </row>
    <row r="39" spans="1:15" x14ac:dyDescent="0.3">
      <c r="A39" s="2">
        <v>46052</v>
      </c>
      <c r="F39" s="3">
        <v>112179</v>
      </c>
      <c r="G39" t="s">
        <v>46</v>
      </c>
      <c r="H39" s="3">
        <v>40007653</v>
      </c>
      <c r="I39">
        <v>646548</v>
      </c>
      <c r="J39" t="s">
        <v>51</v>
      </c>
      <c r="K39" s="3">
        <v>400</v>
      </c>
      <c r="L39" s="3">
        <v>20</v>
      </c>
      <c r="M39" s="2">
        <v>46052</v>
      </c>
      <c r="N39" t="s">
        <v>22</v>
      </c>
      <c r="O39" t="s">
        <v>23</v>
      </c>
    </row>
    <row r="40" spans="1:15" x14ac:dyDescent="0.3">
      <c r="A40" s="2">
        <v>46052</v>
      </c>
      <c r="F40" s="3">
        <v>112179</v>
      </c>
      <c r="G40" t="s">
        <v>46</v>
      </c>
      <c r="H40" s="3">
        <v>40007653</v>
      </c>
      <c r="I40">
        <v>589462</v>
      </c>
      <c r="J40" t="s">
        <v>29</v>
      </c>
      <c r="K40" s="3">
        <v>400</v>
      </c>
      <c r="L40" s="3">
        <v>10</v>
      </c>
      <c r="M40" s="2">
        <v>46052</v>
      </c>
      <c r="N40" t="s">
        <v>22</v>
      </c>
      <c r="O40" t="s">
        <v>23</v>
      </c>
    </row>
    <row r="41" spans="1:15" x14ac:dyDescent="0.3">
      <c r="A41" s="2">
        <v>46052</v>
      </c>
      <c r="F41" s="3">
        <v>112179</v>
      </c>
      <c r="G41" t="s">
        <v>46</v>
      </c>
      <c r="H41" s="3">
        <v>40007653</v>
      </c>
      <c r="I41">
        <v>117771</v>
      </c>
      <c r="J41" t="s">
        <v>30</v>
      </c>
      <c r="K41" s="3">
        <v>500</v>
      </c>
      <c r="L41" s="3">
        <v>40</v>
      </c>
      <c r="M41" s="2">
        <v>46052</v>
      </c>
      <c r="N41" t="s">
        <v>22</v>
      </c>
      <c r="O41" t="s">
        <v>23</v>
      </c>
    </row>
    <row r="42" spans="1:15" x14ac:dyDescent="0.3">
      <c r="A42" s="2">
        <v>46052</v>
      </c>
      <c r="F42" s="3">
        <v>112180</v>
      </c>
      <c r="G42" t="s">
        <v>52</v>
      </c>
      <c r="H42" s="3">
        <v>40007654</v>
      </c>
      <c r="I42">
        <v>691217</v>
      </c>
      <c r="J42" t="s">
        <v>45</v>
      </c>
      <c r="K42" s="3">
        <v>449</v>
      </c>
      <c r="L42" s="3">
        <v>11</v>
      </c>
      <c r="M42" s="2">
        <v>46052</v>
      </c>
      <c r="N42" t="s">
        <v>22</v>
      </c>
      <c r="O42" t="s">
        <v>23</v>
      </c>
    </row>
    <row r="43" spans="1:15" x14ac:dyDescent="0.3">
      <c r="A43" s="2">
        <v>46052</v>
      </c>
      <c r="F43" s="3">
        <v>112181</v>
      </c>
      <c r="G43" t="s">
        <v>47</v>
      </c>
      <c r="H43" s="3">
        <v>40007655</v>
      </c>
      <c r="I43">
        <v>695413</v>
      </c>
      <c r="J43" t="s">
        <v>53</v>
      </c>
      <c r="K43" s="3">
        <v>400</v>
      </c>
      <c r="L43" s="3">
        <v>20</v>
      </c>
      <c r="M43" s="2">
        <v>46052</v>
      </c>
      <c r="N43" t="s">
        <v>22</v>
      </c>
      <c r="O43" t="s">
        <v>23</v>
      </c>
    </row>
    <row r="44" spans="1:15" x14ac:dyDescent="0.3">
      <c r="A44" s="2">
        <v>46052</v>
      </c>
      <c r="F44" s="3">
        <v>112181</v>
      </c>
      <c r="G44" t="s">
        <v>47</v>
      </c>
      <c r="H44" s="3">
        <v>40007655</v>
      </c>
      <c r="I44">
        <v>699883</v>
      </c>
      <c r="J44" t="s">
        <v>54</v>
      </c>
      <c r="K44" s="3">
        <v>300</v>
      </c>
      <c r="L44" s="3">
        <v>15</v>
      </c>
      <c r="M44" s="2">
        <v>46052</v>
      </c>
      <c r="N44" t="s">
        <v>22</v>
      </c>
      <c r="O44" t="s">
        <v>23</v>
      </c>
    </row>
    <row r="45" spans="1:15" x14ac:dyDescent="0.3">
      <c r="A45" s="2">
        <v>46052</v>
      </c>
      <c r="F45" s="3">
        <v>112182</v>
      </c>
      <c r="G45" t="s">
        <v>55</v>
      </c>
      <c r="H45" s="3">
        <v>40007656</v>
      </c>
      <c r="I45">
        <v>645380</v>
      </c>
      <c r="J45" t="s">
        <v>33</v>
      </c>
      <c r="K45" s="3">
        <v>400</v>
      </c>
      <c r="L45" s="3">
        <v>144</v>
      </c>
      <c r="M45" s="2">
        <v>46052</v>
      </c>
      <c r="N45" t="s">
        <v>22</v>
      </c>
      <c r="O45" t="s">
        <v>23</v>
      </c>
    </row>
    <row r="46" spans="1:15" x14ac:dyDescent="0.3">
      <c r="A46" s="2">
        <v>46052</v>
      </c>
      <c r="F46" s="3">
        <v>112393</v>
      </c>
      <c r="G46" t="s">
        <v>56</v>
      </c>
      <c r="H46" s="3">
        <v>40007872</v>
      </c>
      <c r="I46">
        <v>676366</v>
      </c>
      <c r="J46" t="s">
        <v>40</v>
      </c>
      <c r="K46" s="3">
        <v>800</v>
      </c>
      <c r="L46" s="3">
        <v>7920</v>
      </c>
      <c r="M46" s="2">
        <v>46052</v>
      </c>
      <c r="N46" t="s">
        <v>22</v>
      </c>
      <c r="O46" t="s">
        <v>23</v>
      </c>
    </row>
    <row r="47" spans="1:15" x14ac:dyDescent="0.3">
      <c r="A47" s="2">
        <v>46052</v>
      </c>
      <c r="F47" s="3">
        <v>112393</v>
      </c>
      <c r="G47" t="s">
        <v>56</v>
      </c>
      <c r="H47" s="3">
        <v>40007872</v>
      </c>
      <c r="I47">
        <v>676367</v>
      </c>
      <c r="J47" t="s">
        <v>57</v>
      </c>
      <c r="K47" s="3">
        <v>800</v>
      </c>
      <c r="L47" s="3">
        <v>1584</v>
      </c>
      <c r="M47" s="2">
        <v>46052</v>
      </c>
      <c r="N47" t="s">
        <v>22</v>
      </c>
      <c r="O47" t="s">
        <v>23</v>
      </c>
    </row>
    <row r="48" spans="1:15" x14ac:dyDescent="0.3">
      <c r="A48" s="2">
        <v>46052</v>
      </c>
      <c r="F48" s="3">
        <v>112394</v>
      </c>
      <c r="G48" t="s">
        <v>55</v>
      </c>
      <c r="H48" s="3">
        <v>40007873</v>
      </c>
      <c r="I48">
        <v>677211</v>
      </c>
      <c r="J48" t="s">
        <v>35</v>
      </c>
      <c r="K48" s="3">
        <v>800</v>
      </c>
      <c r="L48" s="3">
        <v>9216</v>
      </c>
      <c r="M48" s="2">
        <v>46052</v>
      </c>
      <c r="N48" t="s">
        <v>22</v>
      </c>
      <c r="O48" t="s">
        <v>23</v>
      </c>
    </row>
    <row r="49" spans="1:15" x14ac:dyDescent="0.3">
      <c r="A49" s="2">
        <v>46052</v>
      </c>
      <c r="F49" s="3">
        <v>112394</v>
      </c>
      <c r="G49" t="s">
        <v>55</v>
      </c>
      <c r="H49" s="3">
        <v>40007873</v>
      </c>
      <c r="I49">
        <v>677200</v>
      </c>
      <c r="J49" t="s">
        <v>37</v>
      </c>
      <c r="K49" s="3">
        <v>800</v>
      </c>
      <c r="L49" s="3">
        <v>2304</v>
      </c>
      <c r="M49" s="2">
        <v>46052</v>
      </c>
      <c r="N49" t="s">
        <v>22</v>
      </c>
      <c r="O49" t="s">
        <v>23</v>
      </c>
    </row>
    <row r="50" spans="1:15" x14ac:dyDescent="0.3">
      <c r="A50" s="4"/>
    </row>
    <row r="51" spans="1:15" x14ac:dyDescent="0.3">
      <c r="A51" s="2">
        <v>46080</v>
      </c>
      <c r="B51" t="s">
        <v>16</v>
      </c>
      <c r="C51" t="s">
        <v>17</v>
      </c>
      <c r="D51" t="s">
        <v>18</v>
      </c>
      <c r="E51" t="s">
        <v>19</v>
      </c>
      <c r="F51" s="3">
        <v>112183</v>
      </c>
      <c r="G51" t="s">
        <v>58</v>
      </c>
      <c r="H51" s="3">
        <v>40007657</v>
      </c>
      <c r="I51">
        <v>701775</v>
      </c>
      <c r="J51" t="s">
        <v>21</v>
      </c>
      <c r="K51" s="3">
        <v>400</v>
      </c>
      <c r="L51" s="3">
        <v>324</v>
      </c>
      <c r="M51" s="2">
        <v>46080</v>
      </c>
      <c r="N51" t="s">
        <v>22</v>
      </c>
      <c r="O51" t="s">
        <v>23</v>
      </c>
    </row>
    <row r="52" spans="1:15" x14ac:dyDescent="0.3">
      <c r="A52" s="2">
        <v>46080</v>
      </c>
      <c r="F52" s="3">
        <v>112398</v>
      </c>
      <c r="G52" t="s">
        <v>58</v>
      </c>
      <c r="H52" s="3">
        <v>40007877</v>
      </c>
      <c r="I52">
        <v>646546</v>
      </c>
      <c r="J52" t="s">
        <v>31</v>
      </c>
      <c r="K52" s="3">
        <v>400</v>
      </c>
      <c r="L52" s="3">
        <v>55</v>
      </c>
      <c r="M52" s="2">
        <v>46080</v>
      </c>
      <c r="N52" t="s">
        <v>22</v>
      </c>
      <c r="O52" t="s">
        <v>23</v>
      </c>
    </row>
    <row r="53" spans="1:15" x14ac:dyDescent="0.3">
      <c r="A53" s="2">
        <v>46080</v>
      </c>
      <c r="F53" s="3">
        <v>112398</v>
      </c>
      <c r="G53" t="s">
        <v>58</v>
      </c>
      <c r="H53" s="3">
        <v>40007877</v>
      </c>
      <c r="I53">
        <v>646567</v>
      </c>
      <c r="J53" t="s">
        <v>49</v>
      </c>
      <c r="K53" s="3">
        <v>400</v>
      </c>
      <c r="L53" s="3">
        <v>53</v>
      </c>
      <c r="M53" s="2">
        <v>46080</v>
      </c>
      <c r="N53" t="s">
        <v>22</v>
      </c>
      <c r="O53" t="s">
        <v>23</v>
      </c>
    </row>
    <row r="54" spans="1:15" x14ac:dyDescent="0.3">
      <c r="A54" s="2">
        <v>46080</v>
      </c>
      <c r="F54" s="3">
        <v>112398</v>
      </c>
      <c r="G54" t="s">
        <v>58</v>
      </c>
      <c r="H54" s="3">
        <v>40007877</v>
      </c>
      <c r="I54">
        <v>116180</v>
      </c>
      <c r="J54" t="s">
        <v>25</v>
      </c>
      <c r="K54" s="3">
        <v>500</v>
      </c>
      <c r="L54" s="3">
        <v>245</v>
      </c>
      <c r="M54" s="2">
        <v>46080</v>
      </c>
      <c r="N54" t="s">
        <v>22</v>
      </c>
      <c r="O54" t="s">
        <v>23</v>
      </c>
    </row>
    <row r="55" spans="1:15" x14ac:dyDescent="0.3">
      <c r="A55" s="2">
        <v>46080</v>
      </c>
      <c r="F55" s="3">
        <v>112398</v>
      </c>
      <c r="G55" t="s">
        <v>58</v>
      </c>
      <c r="H55" s="3">
        <v>40007877</v>
      </c>
      <c r="I55">
        <v>589466</v>
      </c>
      <c r="J55" t="s">
        <v>50</v>
      </c>
      <c r="K55" s="3">
        <v>400</v>
      </c>
      <c r="L55" s="3">
        <v>55</v>
      </c>
      <c r="M55" s="2">
        <v>46080</v>
      </c>
      <c r="N55" t="s">
        <v>22</v>
      </c>
      <c r="O55" t="s">
        <v>23</v>
      </c>
    </row>
    <row r="56" spans="1:15" x14ac:dyDescent="0.3">
      <c r="A56" s="2">
        <v>46080</v>
      </c>
      <c r="F56" s="3">
        <v>112398</v>
      </c>
      <c r="G56" t="s">
        <v>58</v>
      </c>
      <c r="H56" s="3">
        <v>40007877</v>
      </c>
      <c r="I56">
        <v>117547</v>
      </c>
      <c r="J56" t="s">
        <v>28</v>
      </c>
      <c r="K56" s="3">
        <v>400</v>
      </c>
      <c r="L56" s="3">
        <v>40</v>
      </c>
      <c r="M56" s="2">
        <v>46080</v>
      </c>
      <c r="N56" t="s">
        <v>22</v>
      </c>
      <c r="O56" t="s">
        <v>23</v>
      </c>
    </row>
    <row r="57" spans="1:15" x14ac:dyDescent="0.3">
      <c r="A57" s="2">
        <v>46080</v>
      </c>
      <c r="F57" s="3">
        <v>112398</v>
      </c>
      <c r="G57" t="s">
        <v>58</v>
      </c>
      <c r="H57" s="3">
        <v>40007877</v>
      </c>
      <c r="I57">
        <v>646548</v>
      </c>
      <c r="J57" t="s">
        <v>51</v>
      </c>
      <c r="K57" s="3">
        <v>400</v>
      </c>
      <c r="L57" s="3">
        <v>46</v>
      </c>
      <c r="M57" s="2">
        <v>46080</v>
      </c>
      <c r="N57" t="s">
        <v>22</v>
      </c>
      <c r="O57" t="s">
        <v>23</v>
      </c>
    </row>
    <row r="58" spans="1:15" x14ac:dyDescent="0.3">
      <c r="A58" s="2">
        <v>46080</v>
      </c>
      <c r="F58" s="3">
        <v>112398</v>
      </c>
      <c r="G58" t="s">
        <v>58</v>
      </c>
      <c r="H58" s="3">
        <v>40007877</v>
      </c>
      <c r="I58">
        <v>589462</v>
      </c>
      <c r="J58" t="s">
        <v>29</v>
      </c>
      <c r="K58" s="3">
        <v>400</v>
      </c>
      <c r="L58" s="3">
        <v>22</v>
      </c>
      <c r="M58" s="2">
        <v>46080</v>
      </c>
      <c r="N58" t="s">
        <v>22</v>
      </c>
      <c r="O58" t="s">
        <v>23</v>
      </c>
    </row>
    <row r="59" spans="1:15" x14ac:dyDescent="0.3">
      <c r="A59" s="2">
        <v>46080</v>
      </c>
      <c r="F59" s="3">
        <v>112398</v>
      </c>
      <c r="G59" t="s">
        <v>58</v>
      </c>
      <c r="H59" s="3">
        <v>40007877</v>
      </c>
      <c r="I59">
        <v>578785</v>
      </c>
      <c r="J59" t="s">
        <v>26</v>
      </c>
      <c r="K59" s="3">
        <v>1000</v>
      </c>
      <c r="L59" s="3">
        <v>331</v>
      </c>
      <c r="M59" s="2">
        <v>46080</v>
      </c>
      <c r="N59" t="s">
        <v>22</v>
      </c>
      <c r="O59" t="s">
        <v>23</v>
      </c>
    </row>
    <row r="60" spans="1:15" x14ac:dyDescent="0.3">
      <c r="A60" s="2">
        <v>46080</v>
      </c>
      <c r="F60" s="3">
        <v>112398</v>
      </c>
      <c r="G60" t="s">
        <v>58</v>
      </c>
      <c r="H60" s="3">
        <v>40007877</v>
      </c>
      <c r="I60">
        <v>117771</v>
      </c>
      <c r="J60" t="s">
        <v>30</v>
      </c>
      <c r="K60" s="3">
        <v>500</v>
      </c>
      <c r="L60" s="3">
        <v>68</v>
      </c>
      <c r="M60" s="2">
        <v>46080</v>
      </c>
      <c r="N60" t="s">
        <v>22</v>
      </c>
      <c r="O60" t="s">
        <v>23</v>
      </c>
    </row>
    <row r="61" spans="1:15" x14ac:dyDescent="0.3">
      <c r="A61" s="2">
        <v>46080</v>
      </c>
      <c r="F61" s="3">
        <v>112399</v>
      </c>
      <c r="G61" t="s">
        <v>59</v>
      </c>
      <c r="H61" s="3">
        <v>40007878</v>
      </c>
      <c r="I61">
        <v>691217</v>
      </c>
      <c r="J61" t="s">
        <v>45</v>
      </c>
      <c r="K61" s="3">
        <v>449</v>
      </c>
      <c r="L61" s="3">
        <v>7</v>
      </c>
      <c r="M61" s="2">
        <v>46080</v>
      </c>
      <c r="N61" t="s">
        <v>22</v>
      </c>
      <c r="O61" t="s">
        <v>23</v>
      </c>
    </row>
    <row r="62" spans="1:15" x14ac:dyDescent="0.3">
      <c r="A62" s="2">
        <v>46080</v>
      </c>
      <c r="F62" s="3">
        <v>112400</v>
      </c>
      <c r="G62" t="s">
        <v>60</v>
      </c>
      <c r="H62" s="3">
        <v>40007879</v>
      </c>
      <c r="I62">
        <v>695413</v>
      </c>
      <c r="J62" t="s">
        <v>53</v>
      </c>
      <c r="K62" s="3">
        <v>400</v>
      </c>
      <c r="L62" s="3">
        <v>16</v>
      </c>
      <c r="M62" s="2">
        <v>46080</v>
      </c>
      <c r="N62" t="s">
        <v>22</v>
      </c>
      <c r="O62" t="s">
        <v>23</v>
      </c>
    </row>
    <row r="63" spans="1:15" x14ac:dyDescent="0.3">
      <c r="A63" s="2">
        <v>46080</v>
      </c>
      <c r="F63" s="3">
        <v>112400</v>
      </c>
      <c r="G63" t="s">
        <v>60</v>
      </c>
      <c r="H63" s="3">
        <v>40007879</v>
      </c>
      <c r="I63">
        <v>699883</v>
      </c>
      <c r="J63" t="s">
        <v>54</v>
      </c>
      <c r="K63" s="3">
        <v>300</v>
      </c>
      <c r="L63" s="3">
        <v>24</v>
      </c>
      <c r="M63" s="2">
        <v>46080</v>
      </c>
      <c r="N63" t="s">
        <v>22</v>
      </c>
      <c r="O63" t="s">
        <v>23</v>
      </c>
    </row>
    <row r="64" spans="1:15" x14ac:dyDescent="0.3">
      <c r="A64" s="2">
        <v>46080</v>
      </c>
      <c r="F64" s="3">
        <v>112401</v>
      </c>
      <c r="G64" t="s">
        <v>61</v>
      </c>
      <c r="H64" s="3">
        <v>40007880</v>
      </c>
      <c r="I64">
        <v>645380</v>
      </c>
      <c r="J64" t="s">
        <v>33</v>
      </c>
      <c r="K64" s="3">
        <v>400</v>
      </c>
      <c r="L64" s="3">
        <v>200</v>
      </c>
      <c r="M64" s="2">
        <v>46080</v>
      </c>
      <c r="N64" t="s">
        <v>22</v>
      </c>
      <c r="O64" t="s">
        <v>23</v>
      </c>
    </row>
    <row r="65" spans="1:1" x14ac:dyDescent="0.3">
      <c r="A65" s="4"/>
    </row>
  </sheetData>
  <phoneticPr fontId="1" type="noConversion"/>
  <pageMargins left="0.7" right="0.7" top="0.75" bottom="0.75" header="0.3" footer="0.3"/>
  <pageSetup paperSize="9" scale="31" orientation="landscape" r:id="rId2"/>
  <customProperties>
    <customPr name="IbpWorksheetKeyString_GUID" r:id="rId3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4D270-6ECC-4DE2-857E-D544E23C85F6}">
  <dimension ref="A3:G19"/>
  <sheetViews>
    <sheetView tabSelected="1" workbookViewId="0">
      <selection activeCell="L13" sqref="L13"/>
    </sheetView>
  </sheetViews>
  <sheetFormatPr defaultRowHeight="16.5" x14ac:dyDescent="0.3"/>
  <cols>
    <col min="1" max="1" width="44.25" bestFit="1" customWidth="1"/>
    <col min="2" max="2" width="11.875" bestFit="1" customWidth="1"/>
    <col min="3" max="3" width="5.125" bestFit="1" customWidth="1"/>
    <col min="4" max="6" width="6.25" bestFit="1" customWidth="1"/>
    <col min="7" max="7" width="7.375" bestFit="1" customWidth="1"/>
  </cols>
  <sheetData>
    <row r="3" spans="1:7" x14ac:dyDescent="0.3">
      <c r="A3" s="5" t="s">
        <v>67</v>
      </c>
      <c r="B3" s="5" t="s">
        <v>68</v>
      </c>
    </row>
    <row r="4" spans="1:7" x14ac:dyDescent="0.3">
      <c r="A4" s="5" t="s">
        <v>65</v>
      </c>
      <c r="B4" s="6" t="s">
        <v>69</v>
      </c>
      <c r="C4" s="6" t="s">
        <v>75</v>
      </c>
      <c r="D4" s="6" t="s">
        <v>70</v>
      </c>
      <c r="E4" s="6" t="s">
        <v>71</v>
      </c>
      <c r="F4" s="6" t="s">
        <v>72</v>
      </c>
      <c r="G4" s="6" t="s">
        <v>66</v>
      </c>
    </row>
    <row r="5" spans="1:7" x14ac:dyDescent="0.3">
      <c r="A5" s="7" t="s">
        <v>33</v>
      </c>
      <c r="B5" s="8">
        <v>864</v>
      </c>
      <c r="C5" s="8"/>
      <c r="D5" s="8"/>
      <c r="E5" s="8">
        <v>1728</v>
      </c>
      <c r="F5" s="8">
        <v>2400</v>
      </c>
      <c r="G5" s="8">
        <v>4992</v>
      </c>
    </row>
    <row r="6" spans="1:7" x14ac:dyDescent="0.3">
      <c r="A6" s="7" t="s">
        <v>54</v>
      </c>
      <c r="B6" s="8"/>
      <c r="C6" s="8"/>
      <c r="D6" s="8"/>
      <c r="E6" s="8">
        <v>90</v>
      </c>
      <c r="F6" s="8">
        <v>144</v>
      </c>
      <c r="G6" s="8">
        <v>234</v>
      </c>
    </row>
    <row r="7" spans="1:7" x14ac:dyDescent="0.3">
      <c r="A7" s="7" t="s">
        <v>26</v>
      </c>
      <c r="B7" s="8"/>
      <c r="C7" s="8">
        <v>74</v>
      </c>
      <c r="D7" s="8"/>
      <c r="E7" s="8"/>
      <c r="F7" s="8">
        <v>331</v>
      </c>
      <c r="G7" s="8">
        <v>405</v>
      </c>
    </row>
    <row r="8" spans="1:7" x14ac:dyDescent="0.3">
      <c r="A8" s="7" t="s">
        <v>29</v>
      </c>
      <c r="B8" s="8"/>
      <c r="C8" s="8"/>
      <c r="D8" s="8">
        <v>66</v>
      </c>
      <c r="E8" s="8">
        <v>60</v>
      </c>
      <c r="F8" s="8">
        <v>132</v>
      </c>
      <c r="G8" s="8">
        <v>258</v>
      </c>
    </row>
    <row r="9" spans="1:7" x14ac:dyDescent="0.3">
      <c r="A9" s="7" t="s">
        <v>51</v>
      </c>
      <c r="B9" s="8"/>
      <c r="C9" s="8"/>
      <c r="D9" s="8"/>
      <c r="E9" s="8">
        <v>60</v>
      </c>
      <c r="F9" s="8">
        <v>138</v>
      </c>
      <c r="G9" s="8">
        <v>198</v>
      </c>
    </row>
    <row r="10" spans="1:7" x14ac:dyDescent="0.3">
      <c r="A10" s="7" t="s">
        <v>53</v>
      </c>
      <c r="B10" s="8"/>
      <c r="C10" s="8"/>
      <c r="D10" s="8"/>
      <c r="E10" s="8">
        <v>120</v>
      </c>
      <c r="F10" s="8">
        <v>96</v>
      </c>
      <c r="G10" s="8">
        <v>216</v>
      </c>
    </row>
    <row r="11" spans="1:7" x14ac:dyDescent="0.3">
      <c r="A11" s="7" t="s">
        <v>50</v>
      </c>
      <c r="B11" s="8"/>
      <c r="C11" s="8"/>
      <c r="D11" s="8"/>
      <c r="E11" s="8">
        <v>180</v>
      </c>
      <c r="F11" s="8">
        <v>330</v>
      </c>
      <c r="G11" s="8">
        <v>510</v>
      </c>
    </row>
    <row r="12" spans="1:7" x14ac:dyDescent="0.3">
      <c r="A12" s="7" t="s">
        <v>25</v>
      </c>
      <c r="B12" s="8">
        <v>60</v>
      </c>
      <c r="C12" s="8">
        <v>288</v>
      </c>
      <c r="D12" s="8">
        <v>60</v>
      </c>
      <c r="E12" s="8">
        <v>90</v>
      </c>
      <c r="F12" s="8">
        <v>735</v>
      </c>
      <c r="G12" s="8">
        <v>1233</v>
      </c>
    </row>
    <row r="13" spans="1:7" x14ac:dyDescent="0.3">
      <c r="A13" s="7" t="s">
        <v>21</v>
      </c>
      <c r="B13" s="8">
        <v>4536</v>
      </c>
      <c r="C13" s="8"/>
      <c r="D13" s="8">
        <v>2592</v>
      </c>
      <c r="E13" s="8">
        <v>2592</v>
      </c>
      <c r="F13" s="8">
        <v>1944</v>
      </c>
      <c r="G13" s="8">
        <v>11664</v>
      </c>
    </row>
    <row r="14" spans="1:7" x14ac:dyDescent="0.3">
      <c r="A14" s="7" t="s">
        <v>49</v>
      </c>
      <c r="B14" s="8"/>
      <c r="C14" s="8"/>
      <c r="D14" s="8"/>
      <c r="E14" s="8">
        <v>69</v>
      </c>
      <c r="F14" s="8">
        <v>159</v>
      </c>
      <c r="G14" s="8">
        <v>228</v>
      </c>
    </row>
    <row r="15" spans="1:7" x14ac:dyDescent="0.3">
      <c r="A15" s="7" t="s">
        <v>45</v>
      </c>
      <c r="B15" s="8"/>
      <c r="C15" s="8">
        <v>48</v>
      </c>
      <c r="D15" s="8"/>
      <c r="E15" s="8">
        <v>132</v>
      </c>
      <c r="F15" s="8">
        <v>84</v>
      </c>
      <c r="G15" s="8">
        <v>264</v>
      </c>
    </row>
    <row r="16" spans="1:7" x14ac:dyDescent="0.3">
      <c r="A16" s="7" t="s">
        <v>30</v>
      </c>
      <c r="B16" s="8">
        <v>60</v>
      </c>
      <c r="C16" s="8"/>
      <c r="D16" s="8">
        <v>60</v>
      </c>
      <c r="E16" s="8">
        <v>120</v>
      </c>
      <c r="F16" s="8">
        <v>204</v>
      </c>
      <c r="G16" s="8">
        <v>444</v>
      </c>
    </row>
    <row r="17" spans="1:7" x14ac:dyDescent="0.3">
      <c r="A17" s="7" t="s">
        <v>28</v>
      </c>
      <c r="B17" s="8">
        <v>324</v>
      </c>
      <c r="C17" s="8"/>
      <c r="D17" s="8">
        <v>324</v>
      </c>
      <c r="E17" s="8">
        <v>360</v>
      </c>
      <c r="F17" s="8">
        <v>240</v>
      </c>
      <c r="G17" s="8">
        <v>1248</v>
      </c>
    </row>
    <row r="18" spans="1:7" x14ac:dyDescent="0.3">
      <c r="A18" s="7" t="s">
        <v>31</v>
      </c>
      <c r="B18" s="8">
        <v>69</v>
      </c>
      <c r="C18" s="8"/>
      <c r="D18" s="8"/>
      <c r="E18" s="8">
        <v>135</v>
      </c>
      <c r="F18" s="8">
        <v>165</v>
      </c>
      <c r="G18" s="8">
        <v>369</v>
      </c>
    </row>
    <row r="19" spans="1:7" x14ac:dyDescent="0.3">
      <c r="A19" s="7" t="s">
        <v>66</v>
      </c>
      <c r="B19" s="8">
        <v>5913</v>
      </c>
      <c r="C19" s="8">
        <v>410</v>
      </c>
      <c r="D19" s="8">
        <v>3102</v>
      </c>
      <c r="E19" s="8">
        <v>5736</v>
      </c>
      <c r="F19" s="8">
        <v>7102</v>
      </c>
      <c r="G19" s="8">
        <v>22263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6BB13-535E-4CE4-8A11-85ACE20B2D38}">
  <dimension ref="A1:S43"/>
  <sheetViews>
    <sheetView workbookViewId="0">
      <selection activeCell="J2" sqref="J2"/>
    </sheetView>
  </sheetViews>
  <sheetFormatPr defaultRowHeight="16.5" x14ac:dyDescent="0.3"/>
  <cols>
    <col min="10" max="10" width="48.5" bestFit="1" customWidth="1"/>
    <col min="14" max="14" width="14" style="4" bestFit="1" customWidth="1"/>
    <col min="15" max="15" width="11.125" bestFit="1" customWidth="1"/>
    <col min="16" max="17" width="11.125" customWidth="1"/>
    <col min="18" max="18" width="48.5" bestFit="1" customWidth="1"/>
  </cols>
  <sheetData>
    <row r="1" spans="1:19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12</v>
      </c>
      <c r="L1" t="s">
        <v>62</v>
      </c>
      <c r="M1" t="s">
        <v>63</v>
      </c>
      <c r="N1" s="4" t="s">
        <v>13</v>
      </c>
      <c r="O1" t="s">
        <v>64</v>
      </c>
    </row>
    <row r="2" spans="1:19" x14ac:dyDescent="0.3">
      <c r="A2">
        <v>45989</v>
      </c>
      <c r="B2" t="s">
        <v>16</v>
      </c>
      <c r="C2" t="s">
        <v>17</v>
      </c>
      <c r="D2" t="s">
        <v>18</v>
      </c>
      <c r="E2" t="s">
        <v>19</v>
      </c>
      <c r="F2">
        <v>111709</v>
      </c>
      <c r="G2" t="s">
        <v>20</v>
      </c>
      <c r="H2">
        <v>40007175</v>
      </c>
      <c r="I2">
        <v>701775</v>
      </c>
      <c r="J2" t="s">
        <v>21</v>
      </c>
      <c r="K2">
        <v>756</v>
      </c>
      <c r="L2">
        <v>6</v>
      </c>
      <c r="M2">
        <f>K2*L2</f>
        <v>4536</v>
      </c>
      <c r="N2" s="4">
        <v>45989</v>
      </c>
      <c r="O2" s="6" t="s">
        <v>74</v>
      </c>
      <c r="P2" s="4"/>
      <c r="Q2" s="4"/>
      <c r="R2" t="s">
        <v>21</v>
      </c>
      <c r="S2">
        <v>6</v>
      </c>
    </row>
    <row r="3" spans="1:19" x14ac:dyDescent="0.3">
      <c r="A3">
        <v>45989</v>
      </c>
      <c r="F3">
        <v>111717</v>
      </c>
      <c r="G3" s="9" t="s">
        <v>24</v>
      </c>
      <c r="H3">
        <v>40007182</v>
      </c>
      <c r="I3">
        <v>116180</v>
      </c>
      <c r="J3" t="s">
        <v>25</v>
      </c>
      <c r="K3">
        <v>29</v>
      </c>
      <c r="L3">
        <v>3</v>
      </c>
      <c r="M3">
        <f t="shared" ref="M3:M43" si="0">K3*L3</f>
        <v>87</v>
      </c>
      <c r="N3" s="4">
        <v>45989</v>
      </c>
      <c r="O3" s="6" t="s">
        <v>76</v>
      </c>
      <c r="P3" s="4"/>
      <c r="Q3" s="4"/>
      <c r="R3" t="s">
        <v>25</v>
      </c>
      <c r="S3">
        <v>3</v>
      </c>
    </row>
    <row r="4" spans="1:19" x14ac:dyDescent="0.3">
      <c r="A4">
        <v>45989</v>
      </c>
      <c r="F4">
        <v>111717</v>
      </c>
      <c r="G4" s="9" t="s">
        <v>24</v>
      </c>
      <c r="H4">
        <v>40007182</v>
      </c>
      <c r="I4">
        <v>116180</v>
      </c>
      <c r="J4" t="s">
        <v>25</v>
      </c>
      <c r="K4">
        <v>67</v>
      </c>
      <c r="L4">
        <v>3</v>
      </c>
      <c r="M4">
        <f t="shared" si="0"/>
        <v>201</v>
      </c>
      <c r="N4" s="4">
        <v>45989</v>
      </c>
      <c r="O4" s="6" t="s">
        <v>76</v>
      </c>
      <c r="P4" s="4"/>
      <c r="Q4" s="4"/>
      <c r="R4" t="s">
        <v>26</v>
      </c>
      <c r="S4">
        <v>10</v>
      </c>
    </row>
    <row r="5" spans="1:19" x14ac:dyDescent="0.3">
      <c r="A5">
        <v>45989</v>
      </c>
      <c r="F5">
        <v>111717</v>
      </c>
      <c r="G5" s="9" t="s">
        <v>24</v>
      </c>
      <c r="H5">
        <v>40007182</v>
      </c>
      <c r="I5">
        <v>578785</v>
      </c>
      <c r="J5" t="s">
        <v>26</v>
      </c>
      <c r="K5">
        <v>74</v>
      </c>
      <c r="L5">
        <v>10</v>
      </c>
      <c r="M5">
        <v>74</v>
      </c>
      <c r="N5" s="4">
        <v>45989</v>
      </c>
      <c r="O5" s="6" t="s">
        <v>76</v>
      </c>
      <c r="P5" s="4"/>
      <c r="Q5" s="4"/>
      <c r="R5" t="s">
        <v>28</v>
      </c>
      <c r="S5">
        <v>6</v>
      </c>
    </row>
    <row r="6" spans="1:19" x14ac:dyDescent="0.3">
      <c r="A6">
        <v>45989</v>
      </c>
      <c r="F6">
        <v>111896</v>
      </c>
      <c r="G6" t="s">
        <v>27</v>
      </c>
      <c r="H6">
        <v>40007370</v>
      </c>
      <c r="I6">
        <v>116180</v>
      </c>
      <c r="J6" t="s">
        <v>25</v>
      </c>
      <c r="K6">
        <v>20</v>
      </c>
      <c r="L6">
        <v>3</v>
      </c>
      <c r="M6">
        <f t="shared" si="0"/>
        <v>60</v>
      </c>
      <c r="N6" s="4">
        <v>45989</v>
      </c>
      <c r="O6" s="6" t="s">
        <v>77</v>
      </c>
      <c r="P6" s="4"/>
      <c r="Q6" s="4"/>
      <c r="R6" t="s">
        <v>29</v>
      </c>
      <c r="S6">
        <v>6</v>
      </c>
    </row>
    <row r="7" spans="1:19" x14ac:dyDescent="0.3">
      <c r="A7">
        <v>45989</v>
      </c>
      <c r="F7">
        <v>111896</v>
      </c>
      <c r="G7" t="s">
        <v>27</v>
      </c>
      <c r="H7">
        <v>40007370</v>
      </c>
      <c r="I7">
        <v>117547</v>
      </c>
      <c r="J7" t="s">
        <v>73</v>
      </c>
      <c r="K7">
        <v>54</v>
      </c>
      <c r="L7">
        <v>6</v>
      </c>
      <c r="M7">
        <f t="shared" si="0"/>
        <v>324</v>
      </c>
      <c r="N7" s="4">
        <v>45989</v>
      </c>
      <c r="O7" s="6" t="s">
        <v>77</v>
      </c>
      <c r="P7" s="4"/>
      <c r="Q7" s="4"/>
      <c r="R7" t="s">
        <v>30</v>
      </c>
      <c r="S7">
        <v>3</v>
      </c>
    </row>
    <row r="8" spans="1:19" x14ac:dyDescent="0.3">
      <c r="A8">
        <v>45989</v>
      </c>
      <c r="F8">
        <v>111896</v>
      </c>
      <c r="G8" t="s">
        <v>27</v>
      </c>
      <c r="H8">
        <v>40007370</v>
      </c>
      <c r="I8">
        <v>589462</v>
      </c>
      <c r="J8" t="s">
        <v>29</v>
      </c>
      <c r="K8">
        <v>11</v>
      </c>
      <c r="L8">
        <v>6</v>
      </c>
      <c r="M8">
        <f t="shared" si="0"/>
        <v>66</v>
      </c>
      <c r="N8" s="4">
        <v>45989</v>
      </c>
      <c r="O8" s="6" t="s">
        <v>77</v>
      </c>
      <c r="P8" s="4"/>
      <c r="Q8" s="4"/>
      <c r="R8" t="s">
        <v>31</v>
      </c>
      <c r="S8">
        <v>3</v>
      </c>
    </row>
    <row r="9" spans="1:19" x14ac:dyDescent="0.3">
      <c r="A9">
        <v>45989</v>
      </c>
      <c r="F9">
        <v>111896</v>
      </c>
      <c r="G9" t="s">
        <v>27</v>
      </c>
      <c r="H9">
        <v>40007370</v>
      </c>
      <c r="I9">
        <v>117771</v>
      </c>
      <c r="J9" t="s">
        <v>30</v>
      </c>
      <c r="K9">
        <v>20</v>
      </c>
      <c r="L9">
        <v>3</v>
      </c>
      <c r="M9">
        <f t="shared" si="0"/>
        <v>60</v>
      </c>
      <c r="N9" s="4">
        <v>45989</v>
      </c>
      <c r="O9" s="6" t="s">
        <v>77</v>
      </c>
      <c r="P9" s="4"/>
      <c r="Q9" s="4"/>
      <c r="R9" t="s">
        <v>33</v>
      </c>
      <c r="S9">
        <v>12</v>
      </c>
    </row>
    <row r="10" spans="1:19" x14ac:dyDescent="0.3">
      <c r="A10">
        <v>45989</v>
      </c>
      <c r="F10">
        <v>111897</v>
      </c>
      <c r="G10" t="s">
        <v>20</v>
      </c>
      <c r="H10">
        <v>40007371</v>
      </c>
      <c r="I10">
        <v>646546</v>
      </c>
      <c r="J10" t="s">
        <v>31</v>
      </c>
      <c r="K10">
        <v>23</v>
      </c>
      <c r="L10">
        <v>3</v>
      </c>
      <c r="M10">
        <f t="shared" si="0"/>
        <v>69</v>
      </c>
      <c r="N10" s="4">
        <v>45989</v>
      </c>
      <c r="O10" s="6" t="s">
        <v>74</v>
      </c>
      <c r="P10" s="4"/>
      <c r="Q10" s="4"/>
      <c r="R10" t="s">
        <v>45</v>
      </c>
      <c r="S10">
        <v>12</v>
      </c>
    </row>
    <row r="11" spans="1:19" x14ac:dyDescent="0.3">
      <c r="A11">
        <v>45989</v>
      </c>
      <c r="F11">
        <v>111897</v>
      </c>
      <c r="G11" t="s">
        <v>20</v>
      </c>
      <c r="H11">
        <v>40007371</v>
      </c>
      <c r="I11">
        <v>116180</v>
      </c>
      <c r="J11" t="s">
        <v>25</v>
      </c>
      <c r="K11">
        <v>20</v>
      </c>
      <c r="L11">
        <v>3</v>
      </c>
      <c r="M11">
        <f t="shared" si="0"/>
        <v>60</v>
      </c>
      <c r="N11" s="4">
        <v>45989</v>
      </c>
      <c r="O11" s="6" t="s">
        <v>74</v>
      </c>
      <c r="P11" s="4"/>
      <c r="Q11" s="4"/>
      <c r="R11" t="s">
        <v>48</v>
      </c>
    </row>
    <row r="12" spans="1:19" x14ac:dyDescent="0.3">
      <c r="A12">
        <v>45989</v>
      </c>
      <c r="F12">
        <v>111897</v>
      </c>
      <c r="G12" t="s">
        <v>20</v>
      </c>
      <c r="H12">
        <v>40007371</v>
      </c>
      <c r="I12">
        <v>117547</v>
      </c>
      <c r="J12" t="s">
        <v>28</v>
      </c>
      <c r="K12">
        <v>54</v>
      </c>
      <c r="L12">
        <v>6</v>
      </c>
      <c r="M12">
        <f t="shared" si="0"/>
        <v>324</v>
      </c>
      <c r="N12" s="4">
        <v>45989</v>
      </c>
      <c r="O12" s="6" t="s">
        <v>74</v>
      </c>
      <c r="P12" s="4"/>
      <c r="Q12" s="4"/>
      <c r="R12" t="s">
        <v>49</v>
      </c>
      <c r="S12">
        <v>3</v>
      </c>
    </row>
    <row r="13" spans="1:19" x14ac:dyDescent="0.3">
      <c r="A13">
        <v>45989</v>
      </c>
      <c r="F13">
        <v>111897</v>
      </c>
      <c r="G13" t="s">
        <v>20</v>
      </c>
      <c r="H13">
        <v>40007371</v>
      </c>
      <c r="I13">
        <v>117771</v>
      </c>
      <c r="J13" t="s">
        <v>30</v>
      </c>
      <c r="K13">
        <v>20</v>
      </c>
      <c r="L13">
        <v>3</v>
      </c>
      <c r="M13">
        <f t="shared" si="0"/>
        <v>60</v>
      </c>
      <c r="N13" s="4">
        <v>45989</v>
      </c>
      <c r="O13" s="6" t="s">
        <v>74</v>
      </c>
      <c r="P13" s="4"/>
      <c r="Q13" s="4"/>
      <c r="R13" t="s">
        <v>50</v>
      </c>
      <c r="S13">
        <v>6</v>
      </c>
    </row>
    <row r="14" spans="1:19" x14ac:dyDescent="0.3">
      <c r="A14">
        <v>45989</v>
      </c>
      <c r="F14">
        <v>111898</v>
      </c>
      <c r="G14" t="s">
        <v>32</v>
      </c>
      <c r="H14">
        <v>40007372</v>
      </c>
      <c r="I14">
        <v>645380</v>
      </c>
      <c r="J14" t="s">
        <v>33</v>
      </c>
      <c r="K14">
        <v>72</v>
      </c>
      <c r="L14">
        <v>12</v>
      </c>
      <c r="M14">
        <f t="shared" si="0"/>
        <v>864</v>
      </c>
      <c r="N14" s="4">
        <v>45989</v>
      </c>
      <c r="O14" s="6" t="s">
        <v>74</v>
      </c>
      <c r="P14" s="4"/>
      <c r="Q14" s="4"/>
      <c r="R14" t="s">
        <v>51</v>
      </c>
      <c r="S14">
        <v>3</v>
      </c>
    </row>
    <row r="15" spans="1:19" x14ac:dyDescent="0.3">
      <c r="A15">
        <v>46002</v>
      </c>
      <c r="B15" t="s">
        <v>16</v>
      </c>
      <c r="C15" t="s">
        <v>17</v>
      </c>
      <c r="D15" t="s">
        <v>18</v>
      </c>
      <c r="E15" t="s">
        <v>19</v>
      </c>
      <c r="F15">
        <v>111715</v>
      </c>
      <c r="G15" t="s">
        <v>44</v>
      </c>
      <c r="H15">
        <v>40007180</v>
      </c>
      <c r="I15">
        <v>691217</v>
      </c>
      <c r="J15" t="s">
        <v>45</v>
      </c>
      <c r="K15">
        <v>4</v>
      </c>
      <c r="L15">
        <v>12</v>
      </c>
      <c r="M15">
        <f t="shared" si="0"/>
        <v>48</v>
      </c>
      <c r="N15" s="4">
        <v>46002</v>
      </c>
      <c r="O15" s="6" t="s">
        <v>76</v>
      </c>
      <c r="P15" s="4"/>
      <c r="Q15" s="4"/>
      <c r="R15" t="s">
        <v>53</v>
      </c>
      <c r="S15">
        <v>6</v>
      </c>
    </row>
    <row r="16" spans="1:19" x14ac:dyDescent="0.3">
      <c r="A16">
        <v>46003</v>
      </c>
      <c r="B16" t="s">
        <v>16</v>
      </c>
      <c r="C16" t="s">
        <v>17</v>
      </c>
      <c r="D16" t="s">
        <v>18</v>
      </c>
      <c r="E16" t="s">
        <v>19</v>
      </c>
      <c r="F16">
        <v>111896</v>
      </c>
      <c r="G16" t="s">
        <v>27</v>
      </c>
      <c r="H16">
        <v>40007370</v>
      </c>
      <c r="I16">
        <v>701775</v>
      </c>
      <c r="J16" t="s">
        <v>21</v>
      </c>
      <c r="K16">
        <v>432</v>
      </c>
      <c r="L16">
        <v>6</v>
      </c>
      <c r="M16">
        <f t="shared" si="0"/>
        <v>2592</v>
      </c>
      <c r="N16" s="4">
        <v>46003</v>
      </c>
      <c r="O16" s="6" t="s">
        <v>77</v>
      </c>
      <c r="P16" s="4"/>
      <c r="Q16" s="4"/>
      <c r="R16" t="s">
        <v>54</v>
      </c>
      <c r="S16">
        <v>6</v>
      </c>
    </row>
    <row r="17" spans="1:17" x14ac:dyDescent="0.3">
      <c r="A17">
        <v>46052</v>
      </c>
      <c r="B17" t="s">
        <v>16</v>
      </c>
      <c r="C17" t="s">
        <v>17</v>
      </c>
      <c r="D17" t="s">
        <v>18</v>
      </c>
      <c r="E17" t="s">
        <v>19</v>
      </c>
      <c r="F17">
        <v>112125</v>
      </c>
      <c r="G17" t="s">
        <v>46</v>
      </c>
      <c r="H17">
        <v>40007602</v>
      </c>
      <c r="I17">
        <v>701775</v>
      </c>
      <c r="J17" t="s">
        <v>21</v>
      </c>
      <c r="K17">
        <v>432</v>
      </c>
      <c r="L17">
        <v>6</v>
      </c>
      <c r="M17">
        <f t="shared" si="0"/>
        <v>2592</v>
      </c>
      <c r="N17" s="4">
        <v>46052</v>
      </c>
      <c r="O17" s="6" t="s">
        <v>78</v>
      </c>
      <c r="P17" s="4"/>
      <c r="Q17" s="4"/>
    </row>
    <row r="18" spans="1:17" x14ac:dyDescent="0.3">
      <c r="A18">
        <v>46052</v>
      </c>
      <c r="F18">
        <v>112179</v>
      </c>
      <c r="G18" t="s">
        <v>46</v>
      </c>
      <c r="H18">
        <v>40007653</v>
      </c>
      <c r="I18">
        <v>646546</v>
      </c>
      <c r="J18" t="s">
        <v>31</v>
      </c>
      <c r="K18">
        <v>45</v>
      </c>
      <c r="L18">
        <v>3</v>
      </c>
      <c r="M18">
        <f t="shared" si="0"/>
        <v>135</v>
      </c>
      <c r="N18" s="4">
        <v>46052</v>
      </c>
      <c r="O18" s="6" t="s">
        <v>78</v>
      </c>
      <c r="P18" s="4"/>
      <c r="Q18" s="4"/>
    </row>
    <row r="19" spans="1:17" x14ac:dyDescent="0.3">
      <c r="A19">
        <v>46052</v>
      </c>
      <c r="F19">
        <v>112179</v>
      </c>
      <c r="G19" t="s">
        <v>46</v>
      </c>
      <c r="H19">
        <v>40007653</v>
      </c>
      <c r="I19">
        <v>646567</v>
      </c>
      <c r="J19" t="s">
        <v>49</v>
      </c>
      <c r="K19">
        <v>23</v>
      </c>
      <c r="L19">
        <v>3</v>
      </c>
      <c r="M19">
        <f t="shared" si="0"/>
        <v>69</v>
      </c>
      <c r="N19" s="4">
        <v>46052</v>
      </c>
      <c r="O19" s="6" t="s">
        <v>78</v>
      </c>
      <c r="P19" s="4"/>
      <c r="Q19" s="4"/>
    </row>
    <row r="20" spans="1:17" x14ac:dyDescent="0.3">
      <c r="A20">
        <v>46052</v>
      </c>
      <c r="F20">
        <v>112179</v>
      </c>
      <c r="G20" t="s">
        <v>46</v>
      </c>
      <c r="H20">
        <v>40007653</v>
      </c>
      <c r="I20">
        <v>116180</v>
      </c>
      <c r="J20" t="s">
        <v>25</v>
      </c>
      <c r="K20">
        <v>30</v>
      </c>
      <c r="L20">
        <v>3</v>
      </c>
      <c r="M20">
        <f t="shared" si="0"/>
        <v>90</v>
      </c>
      <c r="N20" s="4">
        <v>46052</v>
      </c>
      <c r="O20" s="6" t="s">
        <v>78</v>
      </c>
      <c r="P20" s="4"/>
      <c r="Q20" s="4"/>
    </row>
    <row r="21" spans="1:17" x14ac:dyDescent="0.3">
      <c r="A21">
        <v>46052</v>
      </c>
      <c r="F21">
        <v>112179</v>
      </c>
      <c r="G21" t="s">
        <v>46</v>
      </c>
      <c r="H21">
        <v>40007653</v>
      </c>
      <c r="I21">
        <v>589466</v>
      </c>
      <c r="J21" t="s">
        <v>50</v>
      </c>
      <c r="K21">
        <v>30</v>
      </c>
      <c r="L21">
        <v>6</v>
      </c>
      <c r="M21">
        <f t="shared" si="0"/>
        <v>180</v>
      </c>
      <c r="N21" s="4">
        <v>46052</v>
      </c>
      <c r="O21" s="6" t="s">
        <v>78</v>
      </c>
      <c r="P21" s="4"/>
      <c r="Q21" s="4"/>
    </row>
    <row r="22" spans="1:17" x14ac:dyDescent="0.3">
      <c r="A22">
        <v>46052</v>
      </c>
      <c r="F22">
        <v>112179</v>
      </c>
      <c r="G22" t="s">
        <v>46</v>
      </c>
      <c r="H22">
        <v>40007653</v>
      </c>
      <c r="I22">
        <v>117547</v>
      </c>
      <c r="J22" t="s">
        <v>28</v>
      </c>
      <c r="K22">
        <v>60</v>
      </c>
      <c r="L22">
        <v>6</v>
      </c>
      <c r="M22">
        <f t="shared" si="0"/>
        <v>360</v>
      </c>
      <c r="N22" s="4">
        <v>46052</v>
      </c>
      <c r="O22" s="6" t="s">
        <v>78</v>
      </c>
      <c r="P22" s="4"/>
      <c r="Q22" s="4"/>
    </row>
    <row r="23" spans="1:17" x14ac:dyDescent="0.3">
      <c r="A23">
        <v>46052</v>
      </c>
      <c r="F23">
        <v>112179</v>
      </c>
      <c r="G23" t="s">
        <v>46</v>
      </c>
      <c r="H23">
        <v>40007653</v>
      </c>
      <c r="I23">
        <v>646548</v>
      </c>
      <c r="J23" t="s">
        <v>51</v>
      </c>
      <c r="K23">
        <v>20</v>
      </c>
      <c r="L23">
        <v>3</v>
      </c>
      <c r="M23">
        <f t="shared" si="0"/>
        <v>60</v>
      </c>
      <c r="N23" s="4">
        <v>46052</v>
      </c>
      <c r="O23" s="6" t="s">
        <v>78</v>
      </c>
      <c r="P23" s="4"/>
      <c r="Q23" s="4"/>
    </row>
    <row r="24" spans="1:17" x14ac:dyDescent="0.3">
      <c r="A24">
        <v>46052</v>
      </c>
      <c r="F24">
        <v>112179</v>
      </c>
      <c r="G24" t="s">
        <v>46</v>
      </c>
      <c r="H24">
        <v>40007653</v>
      </c>
      <c r="I24">
        <v>589462</v>
      </c>
      <c r="J24" t="s">
        <v>29</v>
      </c>
      <c r="K24">
        <v>10</v>
      </c>
      <c r="L24">
        <v>6</v>
      </c>
      <c r="M24">
        <f t="shared" si="0"/>
        <v>60</v>
      </c>
      <c r="N24" s="4">
        <v>46052</v>
      </c>
      <c r="O24" s="6" t="s">
        <v>78</v>
      </c>
      <c r="P24" s="4"/>
      <c r="Q24" s="4"/>
    </row>
    <row r="25" spans="1:17" x14ac:dyDescent="0.3">
      <c r="A25">
        <v>46052</v>
      </c>
      <c r="F25">
        <v>112179</v>
      </c>
      <c r="G25" t="s">
        <v>46</v>
      </c>
      <c r="H25">
        <v>40007653</v>
      </c>
      <c r="I25">
        <v>117771</v>
      </c>
      <c r="J25" t="s">
        <v>30</v>
      </c>
      <c r="K25">
        <v>40</v>
      </c>
      <c r="L25">
        <v>3</v>
      </c>
      <c r="M25">
        <f t="shared" si="0"/>
        <v>120</v>
      </c>
      <c r="N25" s="4">
        <v>46052</v>
      </c>
      <c r="O25" s="6" t="s">
        <v>78</v>
      </c>
      <c r="P25" s="4"/>
      <c r="Q25" s="4"/>
    </row>
    <row r="26" spans="1:17" x14ac:dyDescent="0.3">
      <c r="A26">
        <v>46052</v>
      </c>
      <c r="F26">
        <v>112180</v>
      </c>
      <c r="G26" t="s">
        <v>52</v>
      </c>
      <c r="H26">
        <v>40007654</v>
      </c>
      <c r="I26">
        <v>691217</v>
      </c>
      <c r="J26" t="s">
        <v>45</v>
      </c>
      <c r="K26">
        <v>11</v>
      </c>
      <c r="L26">
        <v>12</v>
      </c>
      <c r="M26">
        <f t="shared" si="0"/>
        <v>132</v>
      </c>
      <c r="N26" s="4">
        <v>46052</v>
      </c>
      <c r="O26" s="6" t="s">
        <v>78</v>
      </c>
      <c r="P26" s="4"/>
      <c r="Q26" s="4"/>
    </row>
    <row r="27" spans="1:17" x14ac:dyDescent="0.3">
      <c r="A27">
        <v>46052</v>
      </c>
      <c r="F27">
        <v>112181</v>
      </c>
      <c r="G27" t="s">
        <v>47</v>
      </c>
      <c r="H27">
        <v>40007655</v>
      </c>
      <c r="I27">
        <v>695413</v>
      </c>
      <c r="J27" t="s">
        <v>53</v>
      </c>
      <c r="K27">
        <v>20</v>
      </c>
      <c r="L27">
        <v>6</v>
      </c>
      <c r="M27">
        <f t="shared" si="0"/>
        <v>120</v>
      </c>
      <c r="N27" s="4">
        <v>46052</v>
      </c>
      <c r="O27" s="6" t="s">
        <v>78</v>
      </c>
      <c r="P27" s="4"/>
      <c r="Q27" s="4"/>
    </row>
    <row r="28" spans="1:17" x14ac:dyDescent="0.3">
      <c r="A28">
        <v>46052</v>
      </c>
      <c r="F28">
        <v>112181</v>
      </c>
      <c r="G28" t="s">
        <v>47</v>
      </c>
      <c r="H28">
        <v>40007655</v>
      </c>
      <c r="I28">
        <v>699883</v>
      </c>
      <c r="J28" t="s">
        <v>54</v>
      </c>
      <c r="K28">
        <v>15</v>
      </c>
      <c r="L28">
        <v>6</v>
      </c>
      <c r="M28">
        <f t="shared" si="0"/>
        <v>90</v>
      </c>
      <c r="N28" s="4">
        <v>46052</v>
      </c>
      <c r="O28" s="6" t="s">
        <v>78</v>
      </c>
      <c r="P28" s="4"/>
      <c r="Q28" s="4"/>
    </row>
    <row r="29" spans="1:17" x14ac:dyDescent="0.3">
      <c r="A29">
        <v>46052</v>
      </c>
      <c r="F29">
        <v>112182</v>
      </c>
      <c r="G29" t="s">
        <v>55</v>
      </c>
      <c r="H29">
        <v>40007656</v>
      </c>
      <c r="I29">
        <v>645380</v>
      </c>
      <c r="J29" t="s">
        <v>33</v>
      </c>
      <c r="K29">
        <v>144</v>
      </c>
      <c r="L29">
        <v>12</v>
      </c>
      <c r="M29">
        <f t="shared" si="0"/>
        <v>1728</v>
      </c>
      <c r="N29" s="4">
        <v>46052</v>
      </c>
      <c r="O29" s="6" t="s">
        <v>78</v>
      </c>
      <c r="P29" s="4"/>
      <c r="Q29" s="4"/>
    </row>
    <row r="30" spans="1:17" x14ac:dyDescent="0.3">
      <c r="A30">
        <v>46080</v>
      </c>
      <c r="B30" t="s">
        <v>16</v>
      </c>
      <c r="C30" t="s">
        <v>17</v>
      </c>
      <c r="D30" t="s">
        <v>18</v>
      </c>
      <c r="E30" t="s">
        <v>19</v>
      </c>
      <c r="F30">
        <v>112183</v>
      </c>
      <c r="G30" t="s">
        <v>58</v>
      </c>
      <c r="H30">
        <v>40007657</v>
      </c>
      <c r="I30">
        <v>701775</v>
      </c>
      <c r="J30" t="s">
        <v>21</v>
      </c>
      <c r="K30">
        <v>324</v>
      </c>
      <c r="L30">
        <v>6</v>
      </c>
      <c r="M30">
        <f t="shared" si="0"/>
        <v>1944</v>
      </c>
      <c r="N30" s="4">
        <v>46080</v>
      </c>
      <c r="O30" s="6" t="s">
        <v>79</v>
      </c>
      <c r="P30" s="4"/>
      <c r="Q30" s="4"/>
    </row>
    <row r="31" spans="1:17" x14ac:dyDescent="0.3">
      <c r="A31">
        <v>46080</v>
      </c>
      <c r="F31">
        <v>112398</v>
      </c>
      <c r="G31" t="s">
        <v>58</v>
      </c>
      <c r="H31">
        <v>40007877</v>
      </c>
      <c r="I31">
        <v>646546</v>
      </c>
      <c r="J31" t="s">
        <v>31</v>
      </c>
      <c r="K31">
        <v>55</v>
      </c>
      <c r="L31">
        <v>3</v>
      </c>
      <c r="M31">
        <f t="shared" si="0"/>
        <v>165</v>
      </c>
      <c r="N31" s="4">
        <v>46080</v>
      </c>
      <c r="O31" s="6" t="s">
        <v>79</v>
      </c>
      <c r="P31" s="4"/>
      <c r="Q31" s="4"/>
    </row>
    <row r="32" spans="1:17" x14ac:dyDescent="0.3">
      <c r="A32">
        <v>46080</v>
      </c>
      <c r="F32">
        <v>112398</v>
      </c>
      <c r="G32" t="s">
        <v>58</v>
      </c>
      <c r="H32">
        <v>40007877</v>
      </c>
      <c r="I32">
        <v>646567</v>
      </c>
      <c r="J32" t="s">
        <v>49</v>
      </c>
      <c r="K32">
        <v>53</v>
      </c>
      <c r="L32">
        <v>3</v>
      </c>
      <c r="M32">
        <f t="shared" si="0"/>
        <v>159</v>
      </c>
      <c r="N32" s="4">
        <v>46080</v>
      </c>
      <c r="O32" s="6" t="s">
        <v>79</v>
      </c>
      <c r="P32" s="4"/>
      <c r="Q32" s="4"/>
    </row>
    <row r="33" spans="1:17" x14ac:dyDescent="0.3">
      <c r="A33">
        <v>46080</v>
      </c>
      <c r="F33">
        <v>112398</v>
      </c>
      <c r="G33" t="s">
        <v>58</v>
      </c>
      <c r="H33">
        <v>40007877</v>
      </c>
      <c r="I33">
        <v>116180</v>
      </c>
      <c r="J33" t="s">
        <v>25</v>
      </c>
      <c r="K33">
        <v>245</v>
      </c>
      <c r="L33">
        <v>3</v>
      </c>
      <c r="M33">
        <f t="shared" si="0"/>
        <v>735</v>
      </c>
      <c r="N33" s="4">
        <v>46080</v>
      </c>
      <c r="O33" s="6" t="s">
        <v>79</v>
      </c>
      <c r="P33" s="4"/>
      <c r="Q33" s="4"/>
    </row>
    <row r="34" spans="1:17" x14ac:dyDescent="0.3">
      <c r="A34">
        <v>46080</v>
      </c>
      <c r="F34">
        <v>112398</v>
      </c>
      <c r="G34" t="s">
        <v>58</v>
      </c>
      <c r="H34">
        <v>40007877</v>
      </c>
      <c r="I34">
        <v>589466</v>
      </c>
      <c r="J34" t="s">
        <v>50</v>
      </c>
      <c r="K34">
        <v>55</v>
      </c>
      <c r="L34">
        <v>6</v>
      </c>
      <c r="M34">
        <f t="shared" si="0"/>
        <v>330</v>
      </c>
      <c r="N34" s="4">
        <v>46080</v>
      </c>
      <c r="O34" s="6" t="s">
        <v>79</v>
      </c>
      <c r="P34" s="4"/>
      <c r="Q34" s="4"/>
    </row>
    <row r="35" spans="1:17" x14ac:dyDescent="0.3">
      <c r="A35">
        <v>46080</v>
      </c>
      <c r="F35">
        <v>112398</v>
      </c>
      <c r="G35" t="s">
        <v>58</v>
      </c>
      <c r="H35">
        <v>40007877</v>
      </c>
      <c r="I35">
        <v>117547</v>
      </c>
      <c r="J35" t="s">
        <v>28</v>
      </c>
      <c r="K35">
        <v>40</v>
      </c>
      <c r="L35">
        <v>6</v>
      </c>
      <c r="M35">
        <f t="shared" si="0"/>
        <v>240</v>
      </c>
      <c r="N35" s="4">
        <v>46080</v>
      </c>
      <c r="O35" s="6" t="s">
        <v>79</v>
      </c>
      <c r="P35" s="4"/>
      <c r="Q35" s="4"/>
    </row>
    <row r="36" spans="1:17" x14ac:dyDescent="0.3">
      <c r="A36">
        <v>46080</v>
      </c>
      <c r="F36">
        <v>112398</v>
      </c>
      <c r="G36" t="s">
        <v>58</v>
      </c>
      <c r="H36">
        <v>40007877</v>
      </c>
      <c r="I36">
        <v>646548</v>
      </c>
      <c r="J36" t="s">
        <v>51</v>
      </c>
      <c r="K36">
        <v>46</v>
      </c>
      <c r="L36">
        <v>3</v>
      </c>
      <c r="M36">
        <f t="shared" si="0"/>
        <v>138</v>
      </c>
      <c r="N36" s="4">
        <v>46080</v>
      </c>
      <c r="O36" s="6" t="s">
        <v>79</v>
      </c>
      <c r="P36" s="4"/>
      <c r="Q36" s="4"/>
    </row>
    <row r="37" spans="1:17" x14ac:dyDescent="0.3">
      <c r="A37">
        <v>46080</v>
      </c>
      <c r="F37">
        <v>112398</v>
      </c>
      <c r="G37" t="s">
        <v>58</v>
      </c>
      <c r="H37">
        <v>40007877</v>
      </c>
      <c r="I37">
        <v>589462</v>
      </c>
      <c r="J37" t="s">
        <v>29</v>
      </c>
      <c r="K37">
        <v>22</v>
      </c>
      <c r="L37">
        <v>6</v>
      </c>
      <c r="M37">
        <f t="shared" si="0"/>
        <v>132</v>
      </c>
      <c r="N37" s="4">
        <v>46080</v>
      </c>
      <c r="O37" s="6" t="s">
        <v>79</v>
      </c>
      <c r="P37" s="4"/>
      <c r="Q37" s="4"/>
    </row>
    <row r="38" spans="1:17" x14ac:dyDescent="0.3">
      <c r="A38">
        <v>46080</v>
      </c>
      <c r="F38">
        <v>112398</v>
      </c>
      <c r="G38" t="s">
        <v>58</v>
      </c>
      <c r="H38">
        <v>40007877</v>
      </c>
      <c r="I38">
        <v>578785</v>
      </c>
      <c r="J38" t="s">
        <v>26</v>
      </c>
      <c r="K38">
        <v>331</v>
      </c>
      <c r="L38">
        <v>10</v>
      </c>
      <c r="M38">
        <v>331</v>
      </c>
      <c r="N38" s="4">
        <v>46080</v>
      </c>
      <c r="O38" s="6" t="s">
        <v>79</v>
      </c>
      <c r="P38" s="4"/>
      <c r="Q38" s="4"/>
    </row>
    <row r="39" spans="1:17" x14ac:dyDescent="0.3">
      <c r="A39">
        <v>46080</v>
      </c>
      <c r="F39">
        <v>112398</v>
      </c>
      <c r="G39" t="s">
        <v>58</v>
      </c>
      <c r="H39">
        <v>40007877</v>
      </c>
      <c r="I39">
        <v>117771</v>
      </c>
      <c r="J39" t="s">
        <v>30</v>
      </c>
      <c r="K39">
        <v>68</v>
      </c>
      <c r="L39">
        <v>3</v>
      </c>
      <c r="M39">
        <f t="shared" si="0"/>
        <v>204</v>
      </c>
      <c r="N39" s="4">
        <v>46080</v>
      </c>
      <c r="O39" s="6" t="s">
        <v>79</v>
      </c>
      <c r="P39" s="4"/>
      <c r="Q39" s="4"/>
    </row>
    <row r="40" spans="1:17" x14ac:dyDescent="0.3">
      <c r="A40">
        <v>46080</v>
      </c>
      <c r="F40">
        <v>112399</v>
      </c>
      <c r="G40" t="s">
        <v>59</v>
      </c>
      <c r="H40">
        <v>40007878</v>
      </c>
      <c r="I40">
        <v>691217</v>
      </c>
      <c r="J40" t="s">
        <v>45</v>
      </c>
      <c r="K40">
        <v>7</v>
      </c>
      <c r="L40">
        <v>12</v>
      </c>
      <c r="M40">
        <f t="shared" si="0"/>
        <v>84</v>
      </c>
      <c r="N40" s="4">
        <v>46080</v>
      </c>
      <c r="O40" s="6" t="s">
        <v>79</v>
      </c>
      <c r="P40" s="4"/>
      <c r="Q40" s="4"/>
    </row>
    <row r="41" spans="1:17" x14ac:dyDescent="0.3">
      <c r="A41">
        <v>46080</v>
      </c>
      <c r="F41">
        <v>112400</v>
      </c>
      <c r="G41" t="s">
        <v>60</v>
      </c>
      <c r="H41">
        <v>40007879</v>
      </c>
      <c r="I41">
        <v>695413</v>
      </c>
      <c r="J41" t="s">
        <v>53</v>
      </c>
      <c r="K41">
        <v>16</v>
      </c>
      <c r="L41">
        <v>6</v>
      </c>
      <c r="M41">
        <f t="shared" si="0"/>
        <v>96</v>
      </c>
      <c r="N41" s="4">
        <v>46080</v>
      </c>
      <c r="O41" s="6" t="s">
        <v>79</v>
      </c>
      <c r="P41" s="4"/>
      <c r="Q41" s="4"/>
    </row>
    <row r="42" spans="1:17" x14ac:dyDescent="0.3">
      <c r="A42">
        <v>46080</v>
      </c>
      <c r="F42">
        <v>112400</v>
      </c>
      <c r="G42" t="s">
        <v>60</v>
      </c>
      <c r="H42">
        <v>40007879</v>
      </c>
      <c r="I42">
        <v>699883</v>
      </c>
      <c r="J42" t="s">
        <v>54</v>
      </c>
      <c r="K42">
        <v>24</v>
      </c>
      <c r="L42">
        <v>6</v>
      </c>
      <c r="M42">
        <f t="shared" si="0"/>
        <v>144</v>
      </c>
      <c r="N42" s="4">
        <v>46080</v>
      </c>
      <c r="O42" s="6" t="s">
        <v>79</v>
      </c>
      <c r="P42" s="4"/>
      <c r="Q42" s="4"/>
    </row>
    <row r="43" spans="1:17" x14ac:dyDescent="0.3">
      <c r="A43">
        <v>46080</v>
      </c>
      <c r="F43">
        <v>112401</v>
      </c>
      <c r="G43" t="s">
        <v>61</v>
      </c>
      <c r="H43">
        <v>40007880</v>
      </c>
      <c r="I43">
        <v>645380</v>
      </c>
      <c r="J43" t="s">
        <v>33</v>
      </c>
      <c r="K43">
        <v>200</v>
      </c>
      <c r="L43">
        <v>12</v>
      </c>
      <c r="M43">
        <f t="shared" si="0"/>
        <v>2400</v>
      </c>
      <c r="N43" s="4">
        <v>46080</v>
      </c>
      <c r="O43" s="6" t="s">
        <v>79</v>
      </c>
      <c r="P43" s="4"/>
      <c r="Q43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All debtor Code</vt:lpstr>
      <vt:lpstr>Sheet2</vt:lpstr>
      <vt:lpstr>Sheet1</vt:lpstr>
    </vt:vector>
  </TitlesOfParts>
  <Company>Danone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KARWA Ankit</dc:creator>
  <cp:lastModifiedBy>Yeonghoon Kim</cp:lastModifiedBy>
  <dcterms:created xsi:type="dcterms:W3CDTF">2025-11-18T14:50:05Z</dcterms:created>
  <dcterms:modified xsi:type="dcterms:W3CDTF">2025-12-01T01:59:40Z</dcterms:modified>
</cp:coreProperties>
</file>
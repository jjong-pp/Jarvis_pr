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11월\크로네\"/>
    </mc:Choice>
  </mc:AlternateContent>
  <xr:revisionPtr revIDLastSave="0" documentId="13_ncr:1_{9011D729-2657-4381-8C1C-36253AADD9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Order!$A$18:$M$37</definedName>
    <definedName name="ExactAddinConnection" hidden="1">"001"</definedName>
    <definedName name="ExactAddinConnection.001" hidden="1">"WFRPARNLB062.nead.danet\\EXACTPROD;001;DIDKIVOL;1"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" l="1"/>
  <c r="J21" i="1"/>
  <c r="J34" i="1"/>
  <c r="J35" i="1"/>
  <c r="J36" i="1"/>
  <c r="J37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I21" i="1"/>
  <c r="F21" i="1"/>
  <c r="E21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<sst xmlns="http://schemas.openxmlformats.org/spreadsheetml/2006/main" count="289" uniqueCount="256">
  <si>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</si>
  <si>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</si>
  <si>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</si>
  <si>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</si>
  <si>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</si>
  <si>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</si>
  <si>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</si>
  <si>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</si>
  <si>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</si>
  <si>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</si>
  <si>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</si>
  <si>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</si>
  <si>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</si>
  <si>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</si>
  <si>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</si>
  <si>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</si>
  <si>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</si>
  <si>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</si>
  <si>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</si>
  <si>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</si>
  <si>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</si>
  <si>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</si>
  <si>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</si>
  <si>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</si>
  <si>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</si>
  <si>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</si>
  <si>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</si>
  <si>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</si>
  <si>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</si>
  <si>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</si>
  <si>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</si>
  <si>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</si>
  <si>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</si>
  <si>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</si>
  <si>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</si>
  <si>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</si>
  <si>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</si>
  <si>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</si>
  <si>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</si>
  <si>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</si>
  <si>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</si>
  <si>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</si>
  <si>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</si>
  <si>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</si>
  <si>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</si>
  <si>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</si>
  <si>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</si>
  <si>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</si>
  <si>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</si>
  <si>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</si>
  <si>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</si>
  <si>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</si>
  <si>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</si>
  <si>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</si>
  <si>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</si>
  <si>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</si>
  <si>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</si>
  <si>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</si>
  <si>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</si>
  <si>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</si>
  <si>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</si>
  <si>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</si>
  <si>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</si>
  <si>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</si>
  <si>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</si>
  <si>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</si>
  <si>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</si>
  <si>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</si>
  <si>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</si>
  <si>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</si>
  <si>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</si>
  <si>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</si>
  <si>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</si>
  <si>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</si>
  <si>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</si>
  <si>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</si>
  <si>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</si>
  <si>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</si>
  <si>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</si>
  <si>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</si>
  <si>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</si>
  <si>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</si>
  <si>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</si>
  <si>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</si>
  <si>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</si>
  <si>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</si>
  <si>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</si>
  <si>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</si>
  <si>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</si>
  <si>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</si>
  <si>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</si>
  <si>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</si>
  <si>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</si>
  <si>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</si>
  <si>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</si>
  <si>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</si>
  <si>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</si>
  <si>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</si>
  <si>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</si>
  <si>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</si>
  <si>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</si>
  <si>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</si>
  <si>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</si>
  <si>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</si>
  <si>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</si>
  <si>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</si>
  <si>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</si>
  <si>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</si>
  <si>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</si>
  <si>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</si>
  <si>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</si>
  <si>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</si>
  <si>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</si>
  <si>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</si>
  <si>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</si>
  <si>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</si>
  <si>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</si>
  <si>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</si>
  <si>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</si>
  <si>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</si>
  <si>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</si>
  <si>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</si>
  <si>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</si>
  <si>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</si>
  <si>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</si>
  <si>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</si>
  <si>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</si>
  <si>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</si>
  <si>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</si>
  <si>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</si>
  <si>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</si>
  <si>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</si>
  <si>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</si>
  <si>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</si>
  <si>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</si>
  <si>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</si>
  <si>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</si>
  <si>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</si>
  <si>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</si>
  <si>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</si>
  <si>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</si>
  <si>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</si>
  <si>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</si>
  <si>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</si>
  <si>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</si>
  <si>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</si>
  <si>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</si>
  <si>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</si>
  <si>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</si>
  <si>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</si>
  <si>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</si>
  <si>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</si>
  <si>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</si>
  <si>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</si>
  <si>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</si>
  <si>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</si>
  <si>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</si>
  <si>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</si>
  <si>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</si>
  <si>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</si>
  <si>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</si>
  <si>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</si>
  <si>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</si>
  <si>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</si>
  <si>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</si>
  <si>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</si>
  <si>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</si>
  <si>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</si>
  <si>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</si>
  <si>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</si>
  <si>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</si>
  <si>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</si>
  <si>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</si>
  <si>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</si>
  <si>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</si>
  <si>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</si>
  <si>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</si>
  <si>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</si>
  <si>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</si>
  <si>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</si>
  <si>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</si>
  <si>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</si>
  <si>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</si>
  <si>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</si>
  <si>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</si>
  <si>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</si>
  <si>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</si>
  <si>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</si>
  <si>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</si>
  <si>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</si>
  <si>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</si>
  <si>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</si>
  <si>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</si>
  <si>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</si>
  <si>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</si>
  <si>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</si>
  <si>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</si>
  <si>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</si>
  <si>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</si>
  <si>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</si>
  <si>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</si>
  <si>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</si>
  <si>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</si>
  <si>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</si>
  <si>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</si>
  <si>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</si>
  <si>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</si>
  <si>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</si>
  <si>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</si>
  <si>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</si>
  <si>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</si>
  <si>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</si>
  <si>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</si>
  <si>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</si>
  <si>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</si>
  <si>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</si>
  <si>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</si>
  <si>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</si>
  <si>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</si>
  <si>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</si>
  <si>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</si>
  <si>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</si>
  <si>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</si>
  <si>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</si>
  <si>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</si>
  <si>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</si>
  <si>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</si>
  <si>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</si>
  <si>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</si>
  <si>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</si>
  <si>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</si>
  <si>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</si>
  <si>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</si>
  <si>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</si>
  <si>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</si>
  <si>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</si>
  <si>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</si>
  <si>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</si>
  <si>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</si>
  <si>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</si>
  <si>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</si>
  <si>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</si>
  <si>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</si>
  <si>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</si>
  <si>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</si>
  <si>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</si>
  <si>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</si>
  <si>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</si>
  <si>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</si>
  <si>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</si>
  <si>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</si>
  <si>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</si>
  <si>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</si>
  <si>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 xml:space="preserve">February </t>
  </si>
  <si>
    <t>W/F/02/2026</t>
  </si>
  <si>
    <t>Cannot be placed anymore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</si>
</sst>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  <font>
      <i/>
      <sz val="10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9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186" fontId="26" fillId="0" borderId="2" xfId="1" applyNumberFormat="1" applyFont="1" applyFill="1" applyBorder="1" applyAlignment="1"/>
    <xf numFmtId="41" fontId="26" fillId="17" borderId="2" xfId="1" applyFont="1" applyFill="1" applyBorder="1" applyAlignment="1"/>
    <xf numFmtId="186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zoomScale="70" zoomScaleNormal="70" workbookViewId="0">
      <selection activeCell="D18" sqref="D18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5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27</v>
      </c>
    </row>
    <row r="6" spans="1:3">
      <c r="A6" s="2" t="s">
        <v>241</v>
      </c>
      <c r="B6" s="53">
        <v>2</v>
      </c>
    </row>
    <row r="7" spans="1:3">
      <c r="A7" s="2" t="s">
        <v>242</v>
      </c>
      <c r="B7" s="53">
        <v>2026</v>
      </c>
    </row>
    <row r="8" spans="1:3">
      <c r="A8" s="2" t="s">
        <v>1</v>
      </c>
      <c r="B8" s="16" t="s">
        <v>253</v>
      </c>
      <c r="C8" s="9"/>
    </row>
    <row r="9" spans="1:3">
      <c r="A9" s="2" t="s">
        <v>2</v>
      </c>
      <c r="B9" s="18" t="s">
        <v>254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20" ht="17.25" thickBot="1"/>
    <row r="18" spans="1:20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P18" s="56" t="s">
        <v>195</v>
      </c>
      <c r="Q18" s="57" t="s">
        <v>196</v>
      </c>
      <c r="R18" s="57" t="s">
        <v>197</v>
      </c>
      <c r="S18" s="57" t="s">
        <v>198</v>
      </c>
      <c r="T18" s="57" t="s">
        <v>199</v>
      </c>
    </row>
    <row r="19" spans="1:20" ht="17.25" thickBot="1">
      <c r="A19" s="15">
        <v>677044</v>
      </c>
      <c r="B19" s="15" t="s">
        <v>188</v>
      </c>
      <c r="C19" s="65">
        <v>800</v>
      </c>
      <c r="D19" s="65" t="s">
        <v>173</v>
      </c>
      <c r="E19" s="66" t="str">
        <f>VLOOKUP($D19,'[1]Lookup info'!$D:$H,2,FALSE)</f>
        <v>0120</v>
      </c>
      <c r="F19" s="66" t="str">
        <f>VLOOKUP($D19,'[1]Lookup info'!$D:$H,5,FALSE)</f>
        <v>F</v>
      </c>
      <c r="G19" s="67">
        <v>96</v>
      </c>
      <c r="H19" s="25">
        <v>62</v>
      </c>
      <c r="I19" s="25">
        <f>H19*G19</f>
        <v>5952</v>
      </c>
      <c r="J19" s="64">
        <f t="shared" ref="J19:J25" si="0">IF(G19="","",K19/G19)</f>
        <v>0</v>
      </c>
      <c r="K19" s="48"/>
      <c r="L19" s="11"/>
      <c r="M19" s="1">
        <f t="shared" ref="M19:M21" si="1">K19*24</f>
        <v>0</v>
      </c>
      <c r="P19" s="82" t="s">
        <v>200</v>
      </c>
      <c r="Q19" s="58" t="s">
        <v>201</v>
      </c>
      <c r="R19" s="59" t="s">
        <v>202</v>
      </c>
      <c r="S19" s="59" t="s">
        <v>203</v>
      </c>
      <c r="T19" s="63" t="s">
        <v>204</v>
      </c>
    </row>
    <row r="20" spans="1:20" ht="17.25" thickBot="1">
      <c r="A20" s="15">
        <v>677045</v>
      </c>
      <c r="B20" s="15" t="s">
        <v>189</v>
      </c>
      <c r="C20" s="65">
        <v>800</v>
      </c>
      <c r="D20" s="65" t="s">
        <v>173</v>
      </c>
      <c r="E20" s="66" t="str">
        <f>VLOOKUP($D20,'[1]Lookup info'!$D:$H,2,FALSE)</f>
        <v>0120</v>
      </c>
      <c r="F20" s="66" t="str">
        <f>VLOOKUP($D20,'[1]Lookup info'!$D:$H,5,FALSE)</f>
        <v>F</v>
      </c>
      <c r="G20" s="67">
        <v>96</v>
      </c>
      <c r="H20" s="25">
        <v>78</v>
      </c>
      <c r="I20" s="25">
        <f t="shared" ref="I20:I25" si="2">H20*G20</f>
        <v>7488</v>
      </c>
      <c r="J20" s="64">
        <f t="shared" si="0"/>
        <v>59</v>
      </c>
      <c r="K20" s="48">
        <v>5664</v>
      </c>
      <c r="L20" s="13"/>
      <c r="M20" s="1">
        <f t="shared" si="1"/>
        <v>135936</v>
      </c>
      <c r="P20" s="83"/>
      <c r="Q20" s="58" t="s">
        <v>205</v>
      </c>
      <c r="R20" s="59" t="s">
        <v>206</v>
      </c>
      <c r="S20" s="59" t="s">
        <v>207</v>
      </c>
      <c r="T20" s="63" t="s">
        <v>208</v>
      </c>
    </row>
    <row r="21" spans="1:20" ht="17.25" thickBot="1">
      <c r="A21" s="15">
        <v>677047</v>
      </c>
      <c r="B21" s="15" t="s">
        <v>190</v>
      </c>
      <c r="C21" s="65">
        <v>800</v>
      </c>
      <c r="D21" s="65" t="s">
        <v>173</v>
      </c>
      <c r="E21" s="66" t="str">
        <f>VLOOKUP($D21,'[1]Lookup info'!$D:$H,2,FALSE)</f>
        <v>0120</v>
      </c>
      <c r="F21" s="66" t="str">
        <f>VLOOKUP($D21,'[1]Lookup info'!$D:$H,5,FALSE)</f>
        <v>F</v>
      </c>
      <c r="G21" s="67">
        <v>96</v>
      </c>
      <c r="H21" s="25">
        <v>50</v>
      </c>
      <c r="I21" s="25">
        <f t="shared" si="2"/>
        <v>4800</v>
      </c>
      <c r="J21" s="64">
        <f t="shared" si="0"/>
        <v>63</v>
      </c>
      <c r="K21" s="48">
        <v>6048</v>
      </c>
      <c r="M21" s="1">
        <f t="shared" si="1"/>
        <v>145152</v>
      </c>
      <c r="P21" s="83"/>
      <c r="Q21" s="58" t="s">
        <v>209</v>
      </c>
      <c r="R21" s="59" t="s">
        <v>210</v>
      </c>
      <c r="S21" s="59" t="s">
        <v>211</v>
      </c>
      <c r="T21" s="63" t="s">
        <v>212</v>
      </c>
    </row>
    <row r="22" spans="1:20" ht="17.25" thickBot="1">
      <c r="A22" s="15">
        <v>708117</v>
      </c>
      <c r="B22" s="15" t="s">
        <v>191</v>
      </c>
      <c r="C22" s="65">
        <v>800</v>
      </c>
      <c r="D22" s="65" t="s">
        <v>169</v>
      </c>
      <c r="E22" s="66" t="str">
        <f>VLOOKUP($D22,'[1]Lookup info'!$D:$H,2,FALSE)</f>
        <v>0023</v>
      </c>
      <c r="F22" s="66" t="str">
        <f>VLOOKUP($D22,'[1]Lookup info'!$D:$H,5,FALSE)</f>
        <v>W</v>
      </c>
      <c r="G22" s="67">
        <v>45</v>
      </c>
      <c r="H22" s="25">
        <v>1</v>
      </c>
      <c r="I22" s="25">
        <f t="shared" si="2"/>
        <v>45</v>
      </c>
      <c r="J22" s="64">
        <f t="shared" si="0"/>
        <v>4</v>
      </c>
      <c r="K22" s="48">
        <v>180</v>
      </c>
      <c r="M22" s="1">
        <f t="shared" ref="M22:M24" si="3">K22*7</f>
        <v>1260</v>
      </c>
      <c r="P22" s="83"/>
      <c r="Q22" s="58" t="s">
        <v>213</v>
      </c>
      <c r="R22" s="59" t="s">
        <v>214</v>
      </c>
      <c r="S22" s="59" t="s">
        <v>215</v>
      </c>
      <c r="T22" s="63" t="s">
        <v>216</v>
      </c>
    </row>
    <row r="23" spans="1:20" ht="17.25" thickBot="1">
      <c r="A23" s="15">
        <v>708111</v>
      </c>
      <c r="B23" s="15" t="s">
        <v>192</v>
      </c>
      <c r="C23" s="65">
        <v>800</v>
      </c>
      <c r="D23" s="65" t="s">
        <v>169</v>
      </c>
      <c r="E23" s="66" t="str">
        <f>VLOOKUP($D23,'[1]Lookup info'!$D:$H,2,FALSE)</f>
        <v>0023</v>
      </c>
      <c r="F23" s="66" t="str">
        <f>VLOOKUP($D23,'[1]Lookup info'!$D:$H,5,FALSE)</f>
        <v>W</v>
      </c>
      <c r="G23" s="67">
        <v>45</v>
      </c>
      <c r="H23" s="25">
        <v>10</v>
      </c>
      <c r="I23" s="25">
        <f t="shared" si="2"/>
        <v>450</v>
      </c>
      <c r="J23" s="64">
        <f t="shared" si="0"/>
        <v>0</v>
      </c>
      <c r="K23" s="48"/>
      <c r="M23" s="1">
        <f t="shared" si="3"/>
        <v>0</v>
      </c>
      <c r="P23" s="84"/>
      <c r="Q23" s="58" t="s">
        <v>217</v>
      </c>
      <c r="R23" s="59" t="s">
        <v>218</v>
      </c>
      <c r="S23" s="59" t="s">
        <v>219</v>
      </c>
      <c r="T23" s="63" t="s">
        <v>220</v>
      </c>
    </row>
    <row r="24" spans="1:20" ht="17.25" thickBot="1">
      <c r="A24" s="16">
        <v>708112</v>
      </c>
      <c r="B24" s="16" t="s">
        <v>193</v>
      </c>
      <c r="C24" s="68">
        <v>800</v>
      </c>
      <c r="D24" s="68" t="s">
        <v>169</v>
      </c>
      <c r="E24" s="69" t="str">
        <f>VLOOKUP($D24,'[1]Lookup info'!$D:$H,2,FALSE)</f>
        <v>0023</v>
      </c>
      <c r="F24" s="69" t="str">
        <f>VLOOKUP($D24,'[1]Lookup info'!$D:$H,5,FALSE)</f>
        <v>W</v>
      </c>
      <c r="G24" s="67">
        <v>45</v>
      </c>
      <c r="H24" s="25">
        <v>5</v>
      </c>
      <c r="I24" s="25">
        <f t="shared" si="2"/>
        <v>225</v>
      </c>
      <c r="J24" s="64">
        <f t="shared" si="0"/>
        <v>14</v>
      </c>
      <c r="K24" s="48">
        <v>630</v>
      </c>
      <c r="L24"/>
      <c r="M24" s="1">
        <f t="shared" si="3"/>
        <v>4410</v>
      </c>
      <c r="P24" s="82" t="s">
        <v>221</v>
      </c>
      <c r="Q24" s="60" t="s">
        <v>222</v>
      </c>
      <c r="R24" s="59" t="s">
        <v>234</v>
      </c>
      <c r="S24" s="59" t="s">
        <v>235</v>
      </c>
      <c r="T24" s="59" t="s">
        <v>220</v>
      </c>
    </row>
    <row r="25" spans="1:20" ht="17.25" thickBot="1">
      <c r="A25" s="16">
        <v>708113</v>
      </c>
      <c r="B25" s="16" t="s">
        <v>194</v>
      </c>
      <c r="C25" s="68">
        <v>800</v>
      </c>
      <c r="D25" s="68" t="s">
        <v>169</v>
      </c>
      <c r="E25" s="69" t="str">
        <f>VLOOKUP($D25,'[1]Lookup info'!$D:$H,2,FALSE)</f>
        <v>0023</v>
      </c>
      <c r="F25" s="69" t="str">
        <f>VLOOKUP($D25,'[1]Lookup info'!$D:$H,5,FALSE)</f>
        <v>W</v>
      </c>
      <c r="G25" s="67">
        <v>45</v>
      </c>
      <c r="H25" s="25"/>
      <c r="I25" s="25">
        <f t="shared" si="2"/>
        <v>0</v>
      </c>
      <c r="J25" s="64">
        <f t="shared" si="0"/>
        <v>0</v>
      </c>
      <c r="K25" s="48"/>
      <c r="L25"/>
      <c r="P25" s="83"/>
      <c r="Q25" s="60" t="s">
        <v>223</v>
      </c>
      <c r="R25" s="59" t="s">
        <v>234</v>
      </c>
      <c r="S25" s="59" t="s">
        <v>235</v>
      </c>
      <c r="T25" s="59" t="s">
        <v>220</v>
      </c>
    </row>
    <row r="26" spans="1:20" ht="17.25" thickBot="1">
      <c r="A26" s="70">
        <v>698408</v>
      </c>
      <c r="B26" s="70" t="s">
        <v>236</v>
      </c>
      <c r="C26" s="71">
        <v>800</v>
      </c>
      <c r="D26" s="71" t="s">
        <v>173</v>
      </c>
      <c r="E26" s="72" t="str">
        <f>VLOOKUP($D26,'Lookup info'!$D:$H,2,FALSE)</f>
        <v>0120</v>
      </c>
      <c r="F26" s="72" t="str">
        <f>VLOOKUP($D26,'Lookup info'!$D:$H,5,FALSE)</f>
        <v>F</v>
      </c>
      <c r="G26" s="73">
        <v>96</v>
      </c>
      <c r="H26" s="78">
        <v>6</v>
      </c>
      <c r="I26" s="54">
        <f t="shared" ref="I26:I33" si="4">H26*G26</f>
        <v>576</v>
      </c>
      <c r="J26" s="64">
        <f t="shared" ref="J26:J37" si="5">IF(G26="","",K26/G26)</f>
        <v>0</v>
      </c>
      <c r="K26" s="48"/>
      <c r="L26"/>
      <c r="P26" s="83"/>
      <c r="Q26" s="60" t="s">
        <v>224</v>
      </c>
      <c r="R26" s="59" t="s">
        <v>225</v>
      </c>
      <c r="S26" s="59" t="s">
        <v>226</v>
      </c>
      <c r="T26" s="59" t="s">
        <v>227</v>
      </c>
    </row>
    <row r="27" spans="1:20" ht="17.25" thickBot="1">
      <c r="A27" s="70">
        <v>698409</v>
      </c>
      <c r="B27" s="70" t="s">
        <v>237</v>
      </c>
      <c r="C27" s="71">
        <v>800</v>
      </c>
      <c r="D27" s="71" t="s">
        <v>173</v>
      </c>
      <c r="E27" s="72" t="str">
        <f>VLOOKUP($D27,'Lookup info'!$D:$H,2,FALSE)</f>
        <v>0120</v>
      </c>
      <c r="F27" s="72" t="str">
        <f>VLOOKUP($D27,'Lookup info'!$D:$H,5,FALSE)</f>
        <v>F</v>
      </c>
      <c r="G27" s="73">
        <v>96</v>
      </c>
      <c r="H27" s="78">
        <v>2</v>
      </c>
      <c r="I27" s="54">
        <f t="shared" si="4"/>
        <v>192</v>
      </c>
      <c r="J27" s="64">
        <f t="shared" si="5"/>
        <v>0</v>
      </c>
      <c r="K27" s="48"/>
      <c r="L27"/>
      <c r="P27" s="84"/>
      <c r="Q27" s="60" t="s">
        <v>217</v>
      </c>
      <c r="R27" s="59" t="s">
        <v>228</v>
      </c>
      <c r="S27" s="59" t="s">
        <v>229</v>
      </c>
      <c r="T27" s="59" t="s">
        <v>230</v>
      </c>
    </row>
    <row r="28" spans="1:20" ht="17.25" thickBot="1">
      <c r="A28" s="70">
        <v>653156</v>
      </c>
      <c r="B28" s="70" t="s">
        <v>238</v>
      </c>
      <c r="C28" s="71">
        <v>400</v>
      </c>
      <c r="D28" s="71" t="s">
        <v>168</v>
      </c>
      <c r="E28" s="72" t="str">
        <f>VLOOKUP($D28,'Lookup info'!$D:$H,2,FALSE)</f>
        <v>0002</v>
      </c>
      <c r="F28" s="72" t="str">
        <f>VLOOKUP($D28,'Lookup info'!$D:$H,5,FALSE)</f>
        <v>C</v>
      </c>
      <c r="G28" s="73">
        <v>42</v>
      </c>
      <c r="H28" s="78">
        <v>0.5</v>
      </c>
      <c r="I28" s="54">
        <f t="shared" si="4"/>
        <v>21</v>
      </c>
      <c r="J28" s="64">
        <f t="shared" si="5"/>
        <v>2</v>
      </c>
      <c r="K28" s="48">
        <v>84</v>
      </c>
      <c r="L28"/>
      <c r="P28" s="55"/>
      <c r="Q28" s="55"/>
      <c r="R28" s="61" t="s">
        <v>231</v>
      </c>
      <c r="S28" s="59" t="s">
        <v>232</v>
      </c>
      <c r="T28" s="59" t="s">
        <v>233</v>
      </c>
    </row>
    <row r="29" spans="1:20">
      <c r="A29" s="70">
        <v>653299</v>
      </c>
      <c r="B29" s="70" t="s">
        <v>239</v>
      </c>
      <c r="C29" s="71">
        <v>400</v>
      </c>
      <c r="D29" s="71" t="s">
        <v>168</v>
      </c>
      <c r="E29" s="72" t="str">
        <f>VLOOKUP($D29,'Lookup info'!$D:$H,2,FALSE)</f>
        <v>0002</v>
      </c>
      <c r="F29" s="72" t="str">
        <f>VLOOKUP($D29,'Lookup info'!$D:$H,5,FALSE)</f>
        <v>C</v>
      </c>
      <c r="G29" s="73">
        <v>42</v>
      </c>
      <c r="H29" s="54"/>
      <c r="I29" s="54">
        <f t="shared" si="4"/>
        <v>0</v>
      </c>
      <c r="J29" s="64">
        <f t="shared" si="5"/>
        <v>0</v>
      </c>
      <c r="K29" s="48"/>
      <c r="L29"/>
      <c r="P29" s="1"/>
    </row>
    <row r="30" spans="1:20">
      <c r="A30" s="70">
        <v>703818</v>
      </c>
      <c r="B30" s="70" t="s">
        <v>243</v>
      </c>
      <c r="C30" s="71"/>
      <c r="D30" s="71" t="s">
        <v>171</v>
      </c>
      <c r="E30" s="72" t="str">
        <f>VLOOKUP($D30,'Lookup info'!$D:$H,2,FALSE)</f>
        <v>0074</v>
      </c>
      <c r="F30" s="72" t="str">
        <f>VLOOKUP($D30,'Lookup info'!$D:$H,5,FALSE)</f>
        <v>O</v>
      </c>
      <c r="G30" s="73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75">
        <v>3333</v>
      </c>
      <c r="P30" s="1"/>
    </row>
    <row r="31" spans="1:20">
      <c r="A31" s="70">
        <v>703819</v>
      </c>
      <c r="B31" s="70" t="s">
        <v>244</v>
      </c>
      <c r="C31" s="71"/>
      <c r="D31" s="71" t="s">
        <v>171</v>
      </c>
      <c r="E31" s="72" t="str">
        <f>VLOOKUP($D31,'Lookup info'!$D:$H,2,FALSE)</f>
        <v>0074</v>
      </c>
      <c r="F31" s="72" t="str">
        <f>VLOOKUP($D31,'Lookup info'!$D:$H,5,FALSE)</f>
        <v>O</v>
      </c>
      <c r="G31" s="73">
        <v>128</v>
      </c>
      <c r="H31" s="54"/>
      <c r="I31" s="54">
        <f t="shared" si="4"/>
        <v>0</v>
      </c>
      <c r="J31" s="64">
        <f t="shared" si="5"/>
        <v>0</v>
      </c>
      <c r="K31" s="48"/>
      <c r="L31"/>
      <c r="N31" s="75">
        <v>3333</v>
      </c>
      <c r="P31" s="1"/>
    </row>
    <row r="32" spans="1:20">
      <c r="A32" s="70">
        <v>704052</v>
      </c>
      <c r="B32" s="70" t="s">
        <v>245</v>
      </c>
      <c r="C32" s="71"/>
      <c r="D32" s="65" t="s">
        <v>169</v>
      </c>
      <c r="E32" s="72" t="str">
        <f>VLOOKUP($D32,'Lookup info'!$D:$H,2,FALSE)</f>
        <v>0023</v>
      </c>
      <c r="F32" s="72" t="str">
        <f>VLOOKUP($D32,'Lookup info'!$D:$H,5,FALSE)</f>
        <v>W</v>
      </c>
      <c r="G32" s="73">
        <v>90</v>
      </c>
      <c r="H32" s="54">
        <v>21</v>
      </c>
      <c r="I32" s="54">
        <f t="shared" si="4"/>
        <v>1890</v>
      </c>
      <c r="J32" s="64">
        <f t="shared" si="5"/>
        <v>4</v>
      </c>
      <c r="K32" s="48">
        <v>360</v>
      </c>
      <c r="L32"/>
      <c r="N32" s="75">
        <v>600</v>
      </c>
      <c r="P32" s="1"/>
    </row>
    <row r="33" spans="1:16">
      <c r="A33" s="70">
        <v>704054</v>
      </c>
      <c r="B33" s="70" t="s">
        <v>246</v>
      </c>
      <c r="C33" s="71"/>
      <c r="D33" s="65" t="s">
        <v>169</v>
      </c>
      <c r="E33" s="72" t="str">
        <f>VLOOKUP($D33,'Lookup info'!$D:$H,2,FALSE)</f>
        <v>0023</v>
      </c>
      <c r="F33" s="72" t="str">
        <f>VLOOKUP($D33,'Lookup info'!$D:$H,5,FALSE)</f>
        <v>W</v>
      </c>
      <c r="G33" s="73">
        <v>90</v>
      </c>
      <c r="H33" s="54">
        <v>26</v>
      </c>
      <c r="I33" s="54">
        <f t="shared" si="4"/>
        <v>2340</v>
      </c>
      <c r="J33" s="64">
        <f t="shared" si="5"/>
        <v>22</v>
      </c>
      <c r="K33" s="48">
        <v>1980</v>
      </c>
      <c r="L33"/>
      <c r="N33" s="75">
        <v>600</v>
      </c>
      <c r="P33" s="1"/>
    </row>
    <row r="34" spans="1:16">
      <c r="A34" s="74">
        <v>663243</v>
      </c>
      <c r="B34" s="74" t="s">
        <v>249</v>
      </c>
      <c r="C34" s="71"/>
      <c r="D34" s="65" t="s">
        <v>167</v>
      </c>
      <c r="E34" s="72" t="str">
        <f>VLOOKUP($D34,'Lookup info'!$D:$H,2,FALSE)</f>
        <v>0001</v>
      </c>
      <c r="F34" s="72" t="str">
        <f>VLOOKUP($D34,'Lookup info'!$D:$H,5,FALSE)</f>
        <v>Z</v>
      </c>
      <c r="G34" s="73">
        <v>143</v>
      </c>
      <c r="H34" s="79"/>
      <c r="I34" s="79">
        <f t="shared" ref="I34:I37" si="6">H34*G34</f>
        <v>0</v>
      </c>
      <c r="J34" s="80">
        <f t="shared" si="5"/>
        <v>0</v>
      </c>
      <c r="K34" s="81"/>
      <c r="L34"/>
      <c r="N34" s="75" t="s">
        <v>248</v>
      </c>
      <c r="O34" s="77" t="s">
        <v>255</v>
      </c>
      <c r="P34" s="1"/>
    </row>
    <row r="35" spans="1:16">
      <c r="A35" s="74">
        <v>672129</v>
      </c>
      <c r="B35" s="74" t="s">
        <v>250</v>
      </c>
      <c r="C35" s="71"/>
      <c r="D35" s="65" t="s">
        <v>167</v>
      </c>
      <c r="E35" s="72" t="str">
        <f>VLOOKUP($D35,'Lookup info'!$D:$H,2,FALSE)</f>
        <v>0001</v>
      </c>
      <c r="F35" s="72" t="str">
        <f>VLOOKUP($D35,'Lookup info'!$D:$H,5,FALSE)</f>
        <v>Z</v>
      </c>
      <c r="G35" s="73">
        <v>143</v>
      </c>
      <c r="H35" s="79"/>
      <c r="I35" s="79">
        <f t="shared" si="6"/>
        <v>0</v>
      </c>
      <c r="J35" s="80">
        <f t="shared" si="5"/>
        <v>0</v>
      </c>
      <c r="K35" s="81"/>
      <c r="L35"/>
      <c r="N35" s="75" t="s">
        <v>248</v>
      </c>
      <c r="O35" s="77" t="s">
        <v>255</v>
      </c>
      <c r="P35" s="1"/>
    </row>
    <row r="36" spans="1:16">
      <c r="A36" s="74">
        <v>672127</v>
      </c>
      <c r="B36" s="74" t="s">
        <v>251</v>
      </c>
      <c r="C36" s="71"/>
      <c r="D36" s="65" t="s">
        <v>167</v>
      </c>
      <c r="E36" s="72" t="str">
        <f>VLOOKUP($D36,'Lookup info'!$D:$H,2,FALSE)</f>
        <v>0001</v>
      </c>
      <c r="F36" s="72" t="str">
        <f>VLOOKUP($D36,'Lookup info'!$D:$H,5,FALSE)</f>
        <v>Z</v>
      </c>
      <c r="G36" s="73">
        <v>143</v>
      </c>
      <c r="H36" s="79"/>
      <c r="I36" s="79">
        <f t="shared" si="6"/>
        <v>0</v>
      </c>
      <c r="J36" s="80">
        <f t="shared" si="5"/>
        <v>0</v>
      </c>
      <c r="K36" s="81"/>
      <c r="L36"/>
      <c r="N36" s="75" t="s">
        <v>248</v>
      </c>
      <c r="O36" s="77" t="s">
        <v>255</v>
      </c>
      <c r="P36" s="1"/>
    </row>
    <row r="37" spans="1:16">
      <c r="A37" s="74">
        <v>671574</v>
      </c>
      <c r="B37" s="74" t="s">
        <v>252</v>
      </c>
      <c r="C37" s="71"/>
      <c r="D37" s="65" t="s">
        <v>167</v>
      </c>
      <c r="E37" s="72" t="str">
        <f>VLOOKUP($D37,'Lookup info'!$D:$H,2,FALSE)</f>
        <v>0001</v>
      </c>
      <c r="F37" s="72" t="str">
        <f>VLOOKUP($D37,'Lookup info'!$D:$H,5,FALSE)</f>
        <v>Z</v>
      </c>
      <c r="G37" s="73">
        <v>143</v>
      </c>
      <c r="H37" s="79"/>
      <c r="I37" s="79">
        <f t="shared" si="6"/>
        <v>0</v>
      </c>
      <c r="J37" s="80">
        <f t="shared" si="5"/>
        <v>0</v>
      </c>
      <c r="K37" s="81"/>
      <c r="L37"/>
      <c r="N37" s="75" t="s">
        <v>248</v>
      </c>
      <c r="O37" s="77" t="s">
        <v>255</v>
      </c>
      <c r="P37" s="1"/>
    </row>
    <row r="38" spans="1:16">
      <c r="A38" s="8"/>
      <c r="B38" s="3"/>
      <c r="C38" s="3"/>
      <c r="D38" s="3"/>
      <c r="E38" s="3"/>
      <c r="F38" s="3"/>
      <c r="G38" s="3"/>
      <c r="J38" s="51"/>
      <c r="K38" s="3"/>
      <c r="P38" s="1"/>
    </row>
    <row r="39" spans="1:16">
      <c r="A39" s="8"/>
      <c r="B39" s="8"/>
      <c r="C39" s="3"/>
      <c r="J39" s="8" t="s">
        <v>19</v>
      </c>
      <c r="K39" s="3"/>
      <c r="P39" s="1"/>
    </row>
    <row r="40" spans="1:16">
      <c r="A40" s="8"/>
      <c r="B40" s="8"/>
      <c r="C40" s="3"/>
      <c r="J40" s="8" t="s">
        <v>20</v>
      </c>
      <c r="K40" s="26"/>
    </row>
    <row r="41" spans="1:16">
      <c r="A41" s="11"/>
      <c r="B41" s="11"/>
    </row>
    <row r="43" spans="1:16">
      <c r="A43"/>
      <c r="B43"/>
      <c r="C43"/>
      <c r="D43"/>
      <c r="E43"/>
      <c r="F43"/>
      <c r="G43"/>
      <c r="H43"/>
      <c r="I43"/>
      <c r="J43" s="21"/>
    </row>
    <row r="44" spans="1:16">
      <c r="A44"/>
      <c r="B44"/>
      <c r="C44"/>
      <c r="D44"/>
      <c r="E44"/>
      <c r="F44"/>
      <c r="G44"/>
      <c r="H44"/>
      <c r="I44"/>
      <c r="J44" s="21"/>
    </row>
    <row r="45" spans="1:16">
      <c r="A45"/>
      <c r="B45"/>
      <c r="C45"/>
      <c r="D45"/>
      <c r="E45"/>
      <c r="F45"/>
      <c r="G45"/>
      <c r="H45"/>
      <c r="I45"/>
      <c r="J45" s="21"/>
    </row>
    <row r="46" spans="1:16">
      <c r="A46"/>
      <c r="B46"/>
      <c r="C46"/>
      <c r="D46"/>
      <c r="E46"/>
      <c r="F46"/>
      <c r="G46"/>
      <c r="H46"/>
      <c r="I46"/>
      <c r="J46" s="21"/>
    </row>
    <row r="47" spans="1:16">
      <c r="A47"/>
      <c r="B47"/>
      <c r="C47"/>
      <c r="D47"/>
      <c r="E47"/>
      <c r="F47"/>
      <c r="G47"/>
      <c r="H47"/>
      <c r="I47"/>
      <c r="J47" s="21"/>
    </row>
    <row r="48" spans="1:16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mergeCells count="2">
    <mergeCell ref="P19:P23"/>
    <mergeCell ref="P24:P27"/>
  </mergeCells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F27" sqref="F2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5" t="s">
        <v>28</v>
      </c>
      <c r="B3" s="86"/>
      <c r="D3" s="87" t="s">
        <v>152</v>
      </c>
      <c r="E3" s="88"/>
      <c r="F3" s="88"/>
      <c r="G3" s="88"/>
      <c r="H3" s="89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2025-12-08T04:20:27Z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